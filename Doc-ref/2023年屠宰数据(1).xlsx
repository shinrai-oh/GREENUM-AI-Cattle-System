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2023" sheetId="9" r:id="rId1"/>
    <sheet name="西门塔尔公牛屠宰数据" sheetId="12" r:id="rId2"/>
    <sheet name="黄公牛屠宰数据" sheetId="14" r:id="rId3"/>
  </sheets>
  <definedNames>
    <definedName name="_xlnm._FilterDatabase" localSheetId="0" hidden="1">'2023'!$A$1:$AC$65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  <author>Administrator</author>
  </authors>
  <commentList>
    <comment ref="X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大块+小块</t>
        </r>
      </text>
    </comment>
    <comment ref="C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榜单号：0001678
</t>
        </r>
      </text>
    </comment>
    <comment ref="C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榜单号：0002456</t>
        </r>
      </text>
    </comment>
    <comment ref="C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榜单号：0002460</t>
        </r>
      </text>
    </comment>
    <comment ref="C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榜单号：0002476</t>
        </r>
      </text>
    </comment>
    <comment ref="C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榜单号：0002473</t>
        </r>
      </text>
    </comment>
    <comment ref="C1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0000604
</t>
        </r>
      </text>
    </comment>
    <comment ref="C1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0000633
</t>
        </r>
      </text>
    </comment>
    <comment ref="C1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0000638
</t>
        </r>
      </text>
    </comment>
    <comment ref="C1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0000640</t>
        </r>
      </text>
    </comment>
    <comment ref="C1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0000643</t>
        </r>
      </text>
    </comment>
    <comment ref="C2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0000646</t>
        </r>
      </text>
    </comment>
    <comment ref="C2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0000599</t>
        </r>
      </text>
    </comment>
    <comment ref="C2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0001277</t>
        </r>
      </text>
    </comment>
    <comment ref="C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0001282</t>
        </r>
      </text>
    </comment>
    <comment ref="C2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0001287</t>
        </r>
      </text>
    </comment>
    <comment ref="C2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0001291</t>
        </r>
      </text>
    </comment>
    <comment ref="C3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0002553</t>
        </r>
      </text>
    </comment>
    <comment ref="C3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0002554
</t>
        </r>
      </text>
    </comment>
    <comment ref="C3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0002558运输中淘汰</t>
        </r>
      </text>
    </comment>
    <comment ref="C3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0002558</t>
        </r>
      </text>
    </comment>
    <comment ref="C3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0002563</t>
        </r>
      </text>
    </comment>
    <comment ref="C3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0002570</t>
        </r>
      </text>
    </comment>
    <comment ref="C4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0002573</t>
        </r>
      </text>
    </comment>
    <comment ref="C4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0000655</t>
        </r>
      </text>
    </comment>
    <comment ref="C4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0000663</t>
        </r>
      </text>
    </comment>
    <comment ref="C4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0000664</t>
        </r>
      </text>
    </comment>
    <comment ref="C4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0000670
</t>
        </r>
      </text>
    </comment>
    <comment ref="C4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0000674</t>
        </r>
      </text>
    </comment>
    <comment ref="C4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0000675</t>
        </r>
      </text>
    </comment>
    <comment ref="C5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252</t>
        </r>
      </text>
    </comment>
    <comment ref="C5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253</t>
        </r>
      </text>
    </comment>
    <comment ref="C5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268</t>
        </r>
      </text>
    </comment>
    <comment ref="G5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西杂平均胴体重</t>
        </r>
      </text>
    </comment>
    <comment ref="H5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平均屠宰率</t>
        </r>
      </text>
    </comment>
    <comment ref="F6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出栏总重</t>
        </r>
      </text>
    </comment>
    <comment ref="G6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养殖场出栏均重</t>
        </r>
      </text>
    </comment>
  </commentList>
</comments>
</file>

<file path=xl/comments2.xml><?xml version="1.0" encoding="utf-8"?>
<comments xmlns="http://schemas.openxmlformats.org/spreadsheetml/2006/main">
  <authors>
    <author>DELL</author>
    <author>Administrator</author>
  </authors>
  <commentList>
    <comment ref="Y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大块+小块</t>
        </r>
      </text>
    </comment>
    <comment ref="C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榜单号：0001678
</t>
        </r>
      </text>
    </comment>
    <comment ref="C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榜单号：0002456</t>
        </r>
      </text>
    </comment>
    <comment ref="C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榜单号：0002460</t>
        </r>
      </text>
    </comment>
    <comment ref="C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榜单号：0002476</t>
        </r>
      </text>
    </comment>
    <comment ref="C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0000604
</t>
        </r>
      </text>
    </comment>
    <comment ref="C1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0000633
</t>
        </r>
      </text>
    </comment>
    <comment ref="C1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0000638
</t>
        </r>
      </text>
    </comment>
    <comment ref="C1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0000640</t>
        </r>
      </text>
    </comment>
    <comment ref="C1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0000643</t>
        </r>
      </text>
    </comment>
    <comment ref="C1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0000646</t>
        </r>
      </text>
    </comment>
    <comment ref="C2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0000599</t>
        </r>
      </text>
    </comment>
    <comment ref="C2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0001277</t>
        </r>
      </text>
    </comment>
    <comment ref="C2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0001282</t>
        </r>
      </text>
    </comment>
    <comment ref="C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0001287</t>
        </r>
      </text>
    </comment>
    <comment ref="C2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0001291</t>
        </r>
      </text>
    </comment>
    <comment ref="C2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0002553</t>
        </r>
      </text>
    </comment>
    <comment ref="C3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0002558运输中淘汰</t>
        </r>
      </text>
    </comment>
    <comment ref="C3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0002558</t>
        </r>
      </text>
    </comment>
    <comment ref="C3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0002570</t>
        </r>
      </text>
    </comment>
    <comment ref="C3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0002573</t>
        </r>
      </text>
    </comment>
    <comment ref="C3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0000655</t>
        </r>
      </text>
    </comment>
    <comment ref="C3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0000663</t>
        </r>
      </text>
    </comment>
    <comment ref="U3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中餐肉4头均重=388.29/4=97.07kg/头，</t>
        </r>
      </text>
    </comment>
    <comment ref="Z3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b/>
            <sz val="14"/>
            <rFont val="宋体"/>
            <charset val="134"/>
          </rPr>
          <t>碎肉筋率 = 131.38/1380.5 = 9.516%？？？？？？？</t>
        </r>
      </text>
    </comment>
    <comment ref="C3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0000664</t>
        </r>
      </text>
    </comment>
    <comment ref="C3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0000670
</t>
        </r>
      </text>
    </comment>
  </commentList>
</comments>
</file>

<file path=xl/comments3.xml><?xml version="1.0" encoding="utf-8"?>
<comments xmlns="http://schemas.openxmlformats.org/spreadsheetml/2006/main">
  <authors>
    <author>DELL</author>
    <author>Administrator</author>
  </authors>
  <commentList>
    <comment ref="X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大块+小块</t>
        </r>
      </text>
    </comment>
    <comment ref="C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榜单号：0002473</t>
        </r>
      </text>
    </comment>
  </commentList>
</comments>
</file>

<file path=xl/sharedStrings.xml><?xml version="1.0" encoding="utf-8"?>
<sst xmlns="http://schemas.openxmlformats.org/spreadsheetml/2006/main" count="268" uniqueCount="64">
  <si>
    <t>日期(2023年)</t>
  </si>
  <si>
    <t>头数</t>
  </si>
  <si>
    <t>牛号</t>
  </si>
  <si>
    <t>养殖场过磅数</t>
  </si>
  <si>
    <r>
      <rPr>
        <sz val="10"/>
        <rFont val="宋体"/>
        <charset val="134"/>
      </rPr>
      <t>宰前体重（</t>
    </r>
    <r>
      <rPr>
        <sz val="10"/>
        <rFont val="Times New Roman"/>
        <charset val="134"/>
      </rPr>
      <t>kg</t>
    </r>
    <r>
      <rPr>
        <sz val="10"/>
        <rFont val="宋体"/>
        <charset val="134"/>
      </rPr>
      <t>）</t>
    </r>
  </si>
  <si>
    <t>胴体重</t>
  </si>
  <si>
    <t>排酸后重</t>
  </si>
  <si>
    <t>头蹄重</t>
  </si>
  <si>
    <t>牛油重</t>
  </si>
  <si>
    <t>牛皮重</t>
  </si>
  <si>
    <t>牛骨重</t>
  </si>
  <si>
    <t>净肉重</t>
  </si>
  <si>
    <t>出肉率</t>
  </si>
  <si>
    <t>各类肉入库重(kg)</t>
  </si>
  <si>
    <t>腱子</t>
  </si>
  <si>
    <t>白腩</t>
  </si>
  <si>
    <t>上脑   (西餐肉)</t>
  </si>
  <si>
    <t>美肥</t>
  </si>
  <si>
    <t>里脊</t>
  </si>
  <si>
    <t>牛霖   (中餐肉)</t>
  </si>
  <si>
    <t>牛排</t>
  </si>
  <si>
    <t>肋条</t>
  </si>
  <si>
    <t>板筋</t>
  </si>
  <si>
    <t>碎肉</t>
  </si>
  <si>
    <t>碎肉筋</t>
  </si>
  <si>
    <t>牛鞭</t>
  </si>
  <si>
    <t>牛尾</t>
  </si>
  <si>
    <t>牛骨髓</t>
  </si>
  <si>
    <t>下水</t>
  </si>
  <si>
    <t>牛肠</t>
  </si>
  <si>
    <t>百叶</t>
  </si>
  <si>
    <t>牛肚</t>
  </si>
  <si>
    <r>
      <rPr>
        <sz val="10"/>
        <rFont val="宋体"/>
        <charset val="134"/>
      </rPr>
      <t>（</t>
    </r>
    <r>
      <rPr>
        <sz val="10"/>
        <rFont val="Times New Roman"/>
        <charset val="134"/>
      </rPr>
      <t>kg</t>
    </r>
    <r>
      <rPr>
        <sz val="10"/>
        <rFont val="宋体"/>
        <charset val="134"/>
      </rPr>
      <t>）</t>
    </r>
  </si>
  <si>
    <t>肉重/活体重</t>
  </si>
  <si>
    <t>KG</t>
  </si>
  <si>
    <t>副</t>
  </si>
  <si>
    <t>西/公</t>
  </si>
  <si>
    <t>黄/公</t>
  </si>
  <si>
    <t>小计</t>
  </si>
  <si>
    <t>平均出肉率</t>
  </si>
  <si>
    <t>淘汰母牛</t>
  </si>
  <si>
    <t>无</t>
  </si>
  <si>
    <t>安格斯</t>
  </si>
  <si>
    <t>西/母</t>
  </si>
  <si>
    <t>安格斯/公</t>
  </si>
  <si>
    <t>公牛体重</t>
  </si>
  <si>
    <t>母牛体重</t>
  </si>
  <si>
    <t>母牛出肉率</t>
  </si>
  <si>
    <t>公牛出肉率</t>
  </si>
  <si>
    <t>西杂公胴体</t>
  </si>
  <si>
    <t>西杂出栏重量</t>
  </si>
  <si>
    <t xml:space="preserve">排酸损耗率=（胴体重-排酸后重量）/胴体重）×100% </t>
  </si>
  <si>
    <t>净出肉率40 %</t>
  </si>
  <si>
    <t>（净出肉率（%）=净肉重/宰前活重×100%  其中：净肉重=胴体-骨重-牛油</t>
  </si>
  <si>
    <t>牛骨个体均重</t>
  </si>
  <si>
    <t>上脑    (西餐肉)</t>
  </si>
  <si>
    <t>牛霖    (中餐肉)</t>
  </si>
  <si>
    <t>（kg)</t>
  </si>
  <si>
    <t>宰前活重</t>
  </si>
  <si>
    <t>出肉率%</t>
  </si>
  <si>
    <t>中餐肉</t>
  </si>
  <si>
    <t>牛腩</t>
  </si>
  <si>
    <t>吊龙</t>
  </si>
  <si>
    <t>肥牛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</si>
</sst>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0.00_ "/>
    <numFmt numFmtId="178" formatCode="0.000_ "/>
    <numFmt numFmtId="179" formatCode="0.0000_ "/>
    <numFmt numFmtId="180" formatCode="0.0_ "/>
    <numFmt numFmtId="181" formatCode="0.00000_ "/>
  </numFmts>
  <fonts count="31">
    <font>
      <sz val="12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b/>
      <sz val="12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14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9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top" wrapText="1"/>
    </xf>
    <xf numFmtId="58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top" wrapText="1"/>
    </xf>
    <xf numFmtId="177" fontId="1" fillId="0" borderId="1" xfId="0" applyNumberFormat="1" applyFont="1" applyFill="1" applyBorder="1" applyAlignment="1">
      <alignment horizontal="center" vertical="center"/>
    </xf>
    <xf numFmtId="9" fontId="0" fillId="0" borderId="0" xfId="0" applyNumberFormat="1">
      <alignment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58" fontId="1" fillId="0" borderId="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58" fontId="1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177" fontId="1" fillId="3" borderId="3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177" fontId="1" fillId="0" borderId="5" xfId="0" applyNumberFormat="1" applyFont="1" applyFill="1" applyBorder="1" applyAlignment="1">
      <alignment horizontal="center" vertical="center"/>
    </xf>
    <xf numFmtId="177" fontId="1" fillId="3" borderId="4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81" fontId="0" fillId="0" borderId="0" xfId="0" applyNumberFormat="1">
      <alignment vertical="center"/>
    </xf>
    <xf numFmtId="179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7" fontId="1" fillId="5" borderId="0" xfId="0" applyNumberFormat="1" applyFont="1" applyFill="1" applyAlignment="1">
      <alignment horizontal="center" vertical="center"/>
    </xf>
    <xf numFmtId="58" fontId="5" fillId="0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Fill="1" applyBorder="1" applyAlignment="1">
      <alignment horizontal="center" vertical="center"/>
    </xf>
    <xf numFmtId="58" fontId="5" fillId="0" borderId="0" xfId="0" applyNumberFormat="1" applyFont="1" applyFill="1" applyAlignment="1">
      <alignment horizontal="center" vertical="center"/>
    </xf>
    <xf numFmtId="58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7" fontId="1" fillId="5" borderId="1" xfId="0" applyNumberFormat="1" applyFont="1" applyFill="1" applyBorder="1" applyAlignment="1">
      <alignment horizontal="center" vertical="center" wrapText="1"/>
    </xf>
    <xf numFmtId="177" fontId="1" fillId="5" borderId="1" xfId="0" applyNumberFormat="1" applyFont="1" applyFill="1" applyBorder="1" applyAlignment="1">
      <alignment horizontal="center" vertical="top" wrapText="1"/>
    </xf>
    <xf numFmtId="177" fontId="1" fillId="5" borderId="3" xfId="0" applyNumberFormat="1" applyFont="1" applyFill="1" applyBorder="1" applyAlignment="1">
      <alignment horizontal="center" vertical="center"/>
    </xf>
    <xf numFmtId="177" fontId="1" fillId="5" borderId="4" xfId="0" applyNumberFormat="1" applyFont="1" applyFill="1" applyBorder="1" applyAlignment="1">
      <alignment horizontal="center" vertical="center"/>
    </xf>
    <xf numFmtId="177" fontId="1" fillId="5" borderId="1" xfId="0" applyNumberFormat="1" applyFont="1" applyFill="1" applyBorder="1" applyAlignment="1">
      <alignment horizontal="center" vertical="center"/>
    </xf>
    <xf numFmtId="177" fontId="1" fillId="5" borderId="5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9" fontId="5" fillId="5" borderId="1" xfId="0" applyNumberFormat="1" applyFont="1" applyFill="1" applyBorder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9" fontId="1" fillId="5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179" fontId="1" fillId="5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0" fontId="1" fillId="0" borderId="0" xfId="3" applyNumberFormat="1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5"/>
  <sheetViews>
    <sheetView tabSelected="1" workbookViewId="0">
      <pane xSplit="3" ySplit="2" topLeftCell="D3" activePane="bottomRight" state="frozen"/>
      <selection/>
      <selection pane="topRight"/>
      <selection pane="bottomLeft"/>
      <selection pane="bottomRight" activeCell="C23" sqref="C23:C24"/>
    </sheetView>
  </sheetViews>
  <sheetFormatPr defaultColWidth="9" defaultRowHeight="21" customHeight="1"/>
  <cols>
    <col min="1" max="1" width="9.375" style="1"/>
    <col min="2" max="2" width="4.625" style="1" customWidth="1"/>
    <col min="3" max="3" width="8.75" style="1" customWidth="1"/>
    <col min="4" max="4" width="7.125" style="1" customWidth="1"/>
    <col min="5" max="5" width="8.625" style="1" customWidth="1"/>
    <col min="6" max="6" width="7.5" style="1" customWidth="1"/>
    <col min="7" max="7" width="8.5" style="1" customWidth="1"/>
    <col min="8" max="8" width="7.5" style="1" customWidth="1"/>
    <col min="9" max="9" width="8" style="1" customWidth="1"/>
    <col min="10" max="10" width="8.5" style="1" customWidth="1"/>
    <col min="11" max="11" width="6.875" style="1" customWidth="1"/>
    <col min="12" max="12" width="6.75" style="1" hidden="1" customWidth="1"/>
    <col min="13" max="13" width="10.125" style="58" customWidth="1"/>
    <col min="14" max="14" width="12.875" style="1"/>
    <col min="15" max="15" width="9" style="1"/>
    <col min="16" max="16" width="9.25" style="1"/>
    <col min="17" max="17" width="9.375" style="1" customWidth="1"/>
    <col min="18" max="19" width="7.375" style="1" customWidth="1"/>
    <col min="20" max="20" width="8.625" style="1" customWidth="1"/>
    <col min="21" max="21" width="7.375" style="1" customWidth="1"/>
    <col min="22" max="23" width="6.375" style="1" customWidth="1"/>
    <col min="24" max="25" width="7.375" style="1" customWidth="1"/>
    <col min="26" max="27" width="6.375" style="1" customWidth="1"/>
    <col min="28" max="28" width="9" style="1"/>
    <col min="29" max="29" width="5.875" style="1" customWidth="1"/>
    <col min="30" max="16384" width="9" style="1"/>
  </cols>
  <sheetData>
    <row r="1" customHeight="1" spans="1:32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6" t="s">
        <v>12</v>
      </c>
      <c r="N1" s="2" t="s">
        <v>13</v>
      </c>
      <c r="O1" s="6" t="s">
        <v>14</v>
      </c>
      <c r="P1" s="6" t="s">
        <v>15</v>
      </c>
      <c r="Q1" s="2" t="s">
        <v>16</v>
      </c>
      <c r="R1" s="6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11" t="s">
        <v>28</v>
      </c>
      <c r="AD1" s="6" t="s">
        <v>29</v>
      </c>
      <c r="AE1" s="6" t="s">
        <v>30</v>
      </c>
      <c r="AF1" s="6" t="s">
        <v>31</v>
      </c>
    </row>
    <row r="2" s="1" customFormat="1" customHeight="1" spans="1:32">
      <c r="A2" s="2"/>
      <c r="B2" s="2"/>
      <c r="C2" s="3"/>
      <c r="D2" s="3"/>
      <c r="E2" s="2"/>
      <c r="F2" s="4" t="s">
        <v>32</v>
      </c>
      <c r="G2" s="4" t="s">
        <v>32</v>
      </c>
      <c r="H2" s="4" t="s">
        <v>32</v>
      </c>
      <c r="I2" s="4" t="s">
        <v>32</v>
      </c>
      <c r="J2" s="4" t="s">
        <v>32</v>
      </c>
      <c r="K2" s="4" t="s">
        <v>32</v>
      </c>
      <c r="L2" s="4" t="s">
        <v>32</v>
      </c>
      <c r="M2" s="67" t="s">
        <v>33</v>
      </c>
      <c r="N2" s="2"/>
      <c r="O2" s="6" t="s">
        <v>34</v>
      </c>
      <c r="P2" s="6" t="s">
        <v>34</v>
      </c>
      <c r="Q2" s="6" t="s">
        <v>34</v>
      </c>
      <c r="R2" s="6" t="s">
        <v>34</v>
      </c>
      <c r="S2" s="6" t="s">
        <v>34</v>
      </c>
      <c r="T2" s="6" t="s">
        <v>34</v>
      </c>
      <c r="U2" s="6" t="s">
        <v>34</v>
      </c>
      <c r="V2" s="6" t="s">
        <v>34</v>
      </c>
      <c r="W2" s="6" t="s">
        <v>34</v>
      </c>
      <c r="X2" s="6" t="s">
        <v>34</v>
      </c>
      <c r="Y2" s="6" t="s">
        <v>34</v>
      </c>
      <c r="Z2" s="6" t="s">
        <v>35</v>
      </c>
      <c r="AA2" s="6" t="s">
        <v>35</v>
      </c>
      <c r="AB2" s="6" t="s">
        <v>34</v>
      </c>
      <c r="AC2" s="11" t="s">
        <v>35</v>
      </c>
      <c r="AD2" s="6">
        <v>10</v>
      </c>
      <c r="AE2" s="6">
        <v>20</v>
      </c>
      <c r="AF2" s="6">
        <v>20</v>
      </c>
    </row>
    <row r="3" customHeight="1" spans="1:32">
      <c r="A3" s="5">
        <v>45286</v>
      </c>
      <c r="B3" s="13">
        <v>4</v>
      </c>
      <c r="C3" s="13" t="s">
        <v>36</v>
      </c>
      <c r="D3" s="13">
        <v>2540</v>
      </c>
      <c r="E3" s="13">
        <v>2287</v>
      </c>
      <c r="F3" s="13">
        <v>1159</v>
      </c>
      <c r="G3" s="13">
        <v>1148</v>
      </c>
      <c r="H3" s="13">
        <v>180.2</v>
      </c>
      <c r="I3" s="13">
        <v>157.4</v>
      </c>
      <c r="J3" s="13">
        <v>189.27</v>
      </c>
      <c r="K3" s="13">
        <v>218</v>
      </c>
      <c r="L3" s="13"/>
      <c r="M3" s="68">
        <f>(N3+N4)/E3</f>
        <v>0.408132925229558</v>
      </c>
      <c r="N3" s="6">
        <f>SUM(O3:Y3)</f>
        <v>574.64</v>
      </c>
      <c r="O3" s="6">
        <v>13</v>
      </c>
      <c r="P3" s="6">
        <v>97.8</v>
      </c>
      <c r="Q3" s="6">
        <f>22+5.1+13.4+8.4+86-100+12.44</f>
        <v>47.34</v>
      </c>
      <c r="R3" s="6">
        <f>5.8+7.7+6+6.3+12.4</f>
        <v>38.2</v>
      </c>
      <c r="S3" s="6">
        <f>6.6+1.9</f>
        <v>8.5</v>
      </c>
      <c r="T3" s="6">
        <f>26.6+20.8+28+7.4+41+11.7+15+3.2+0.4+19.3+33.5+12.5+7.5+9.4+16.2+1.5+2.3</f>
        <v>256.3</v>
      </c>
      <c r="U3" s="6">
        <f>26.6+22.5</f>
        <v>49.1</v>
      </c>
      <c r="V3" s="6">
        <v>3.4</v>
      </c>
      <c r="W3" s="6">
        <f>1.8+0.8</f>
        <v>2.6</v>
      </c>
      <c r="X3" s="6">
        <v>9.5</v>
      </c>
      <c r="Y3" s="6">
        <f>4.1+2.8+5+5+32</f>
        <v>48.9</v>
      </c>
      <c r="Z3" s="13">
        <v>4</v>
      </c>
      <c r="AA3" s="13">
        <v>4</v>
      </c>
      <c r="AB3" s="6">
        <v>0.45</v>
      </c>
      <c r="AC3" s="50">
        <v>4</v>
      </c>
      <c r="AD3" s="6"/>
      <c r="AE3" s="6"/>
      <c r="AF3" s="6"/>
    </row>
    <row r="4" customHeight="1" spans="1:32">
      <c r="A4" s="5">
        <v>45290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69"/>
      <c r="N4" s="6">
        <f t="shared" ref="N4:N9" si="0">SUM(O4:Y4)</f>
        <v>358.76</v>
      </c>
      <c r="O4" s="6">
        <v>17.4</v>
      </c>
      <c r="P4" s="6">
        <f>36.6+57</f>
        <v>93.6</v>
      </c>
      <c r="Q4" s="6">
        <f>49.7+86-35</f>
        <v>100.7</v>
      </c>
      <c r="R4" s="6"/>
      <c r="S4" s="6">
        <v>6.5</v>
      </c>
      <c r="T4" s="6">
        <v>99.6</v>
      </c>
      <c r="U4" s="6">
        <v>22.5</v>
      </c>
      <c r="V4" s="6">
        <v>0.5</v>
      </c>
      <c r="W4" s="6">
        <v>0.7</v>
      </c>
      <c r="X4" s="6">
        <v>1.39</v>
      </c>
      <c r="Y4" s="6">
        <v>15.87</v>
      </c>
      <c r="Z4" s="14"/>
      <c r="AA4" s="14"/>
      <c r="AB4" s="6">
        <v>0.2</v>
      </c>
      <c r="AC4" s="51"/>
      <c r="AD4" s="6"/>
      <c r="AE4" s="6"/>
      <c r="AF4" s="6"/>
    </row>
    <row r="5" customHeight="1" spans="1:32">
      <c r="A5" s="5">
        <v>44929</v>
      </c>
      <c r="B5" s="13">
        <v>4</v>
      </c>
      <c r="C5" s="13" t="s">
        <v>36</v>
      </c>
      <c r="D5" s="13">
        <v>2450</v>
      </c>
      <c r="E5" s="13">
        <v>2286</v>
      </c>
      <c r="F5" s="13">
        <v>1160</v>
      </c>
      <c r="G5" s="13">
        <v>1149</v>
      </c>
      <c r="H5" s="13">
        <v>180.2</v>
      </c>
      <c r="I5" s="13">
        <v>157.4</v>
      </c>
      <c r="J5" s="13">
        <v>189.27</v>
      </c>
      <c r="K5" s="13">
        <v>218</v>
      </c>
      <c r="L5" s="13"/>
      <c r="M5" s="68">
        <f>(N5+N6)/E5</f>
        <v>0.410463692038495</v>
      </c>
      <c r="N5" s="6">
        <f t="shared" si="0"/>
        <v>434.73</v>
      </c>
      <c r="O5" s="6">
        <v>30</v>
      </c>
      <c r="P5" s="6">
        <f>15.1+57</f>
        <v>72.1</v>
      </c>
      <c r="Q5" s="6">
        <f>3.2+86+35</f>
        <v>124.2</v>
      </c>
      <c r="R5" s="6">
        <v>3.3</v>
      </c>
      <c r="S5" s="6">
        <v>22.63</v>
      </c>
      <c r="T5" s="6">
        <f>5.5+6.1+8.9+5+9.2+11.2+35.2+5.2+9.5+7.2+2.1+12.7+4.8+2.1+0.7+1.5+101.6-80</f>
        <v>148.5</v>
      </c>
      <c r="U5" s="6"/>
      <c r="V5" s="6"/>
      <c r="W5" s="6"/>
      <c r="X5" s="6"/>
      <c r="Y5" s="6">
        <f>22+12</f>
        <v>34</v>
      </c>
      <c r="Z5" s="13">
        <v>4</v>
      </c>
      <c r="AA5" s="13">
        <v>4</v>
      </c>
      <c r="AB5" s="13">
        <v>0.2</v>
      </c>
      <c r="AC5" s="50">
        <v>4</v>
      </c>
      <c r="AD5" s="6"/>
      <c r="AE5" s="6"/>
      <c r="AF5" s="6"/>
    </row>
    <row r="6" customHeight="1" spans="1:32">
      <c r="A6" s="5">
        <v>44931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69"/>
      <c r="N6" s="6">
        <f t="shared" si="0"/>
        <v>503.59</v>
      </c>
      <c r="O6" s="6">
        <v>29.1</v>
      </c>
      <c r="P6" s="6">
        <f>13.7+57</f>
        <v>70.7</v>
      </c>
      <c r="Q6" s="6">
        <v>87.99</v>
      </c>
      <c r="R6" s="6">
        <f>18.8+6.1</f>
        <v>24.9</v>
      </c>
      <c r="S6" s="6">
        <v>22.6</v>
      </c>
      <c r="T6" s="6">
        <f>2.2+18.4+12.1+1.2+13.3+4+16.1+8.8+10.9+17.2+9.4+101.6</f>
        <v>215.2</v>
      </c>
      <c r="U6" s="6">
        <v>31.8</v>
      </c>
      <c r="V6" s="6"/>
      <c r="W6" s="6">
        <v>3.3</v>
      </c>
      <c r="X6" s="6"/>
      <c r="Y6" s="6">
        <v>18</v>
      </c>
      <c r="Z6" s="14"/>
      <c r="AA6" s="14"/>
      <c r="AB6" s="14"/>
      <c r="AC6" s="51"/>
      <c r="AD6" s="6"/>
      <c r="AE6" s="6"/>
      <c r="AF6" s="6"/>
    </row>
    <row r="7" customHeight="1" spans="1:32">
      <c r="A7" s="5">
        <v>44932</v>
      </c>
      <c r="B7" s="6">
        <v>4</v>
      </c>
      <c r="C7" s="6" t="s">
        <v>36</v>
      </c>
      <c r="D7" s="6">
        <v>2860</v>
      </c>
      <c r="E7" s="6">
        <v>2634</v>
      </c>
      <c r="F7" s="6">
        <v>1530</v>
      </c>
      <c r="G7" s="6">
        <v>1519</v>
      </c>
      <c r="H7" s="6">
        <v>180.2</v>
      </c>
      <c r="I7" s="6">
        <v>157.4</v>
      </c>
      <c r="J7" s="6">
        <v>189.27</v>
      </c>
      <c r="K7" s="6">
        <v>218</v>
      </c>
      <c r="L7" s="6"/>
      <c r="M7" s="70">
        <f>N7/E7</f>
        <v>0.400975702353835</v>
      </c>
      <c r="N7" s="6">
        <f t="shared" si="0"/>
        <v>1056.17</v>
      </c>
      <c r="O7" s="6">
        <v>130</v>
      </c>
      <c r="P7" s="6">
        <f>12.5+14.6+16+57+20+13.7+14</f>
        <v>147.8</v>
      </c>
      <c r="Q7" s="6">
        <f>2.9+7.8+6+86</f>
        <v>102.7</v>
      </c>
      <c r="R7" s="6">
        <f>5.7+13+11.8+24.9+7.8</f>
        <v>63.2</v>
      </c>
      <c r="S7" s="6">
        <f>7.1+22.6</f>
        <v>29.7</v>
      </c>
      <c r="T7" s="6">
        <f>9.77+2.8+12+3.3+12.3+12.4+5.1+6.6+9.7+9.25+10.8+6.3+3.6+13.7+14.3+1.5+6.5+12+8.5+101.6+80+111.4</f>
        <v>453.42</v>
      </c>
      <c r="U7" s="6">
        <f>25.5+31.8</f>
        <v>57.3</v>
      </c>
      <c r="V7" s="6">
        <v>3.2</v>
      </c>
      <c r="W7" s="6">
        <v>2.1</v>
      </c>
      <c r="X7" s="6">
        <v>5.75</v>
      </c>
      <c r="Y7" s="6">
        <f>41+18+2</f>
        <v>61</v>
      </c>
      <c r="Z7" s="6">
        <v>4</v>
      </c>
      <c r="AA7" s="6">
        <v>4</v>
      </c>
      <c r="AB7" s="6">
        <v>0.1</v>
      </c>
      <c r="AC7" s="11">
        <v>4</v>
      </c>
      <c r="AD7" s="6"/>
      <c r="AE7" s="6"/>
      <c r="AF7" s="6"/>
    </row>
    <row r="8" customHeight="1" spans="1:32">
      <c r="A8" s="5">
        <v>44934</v>
      </c>
      <c r="B8" s="6">
        <v>4</v>
      </c>
      <c r="C8" s="6" t="s">
        <v>36</v>
      </c>
      <c r="D8" s="6">
        <v>2390</v>
      </c>
      <c r="E8" s="6">
        <v>2182</v>
      </c>
      <c r="F8" s="6">
        <v>1055</v>
      </c>
      <c r="G8" s="6">
        <v>1040</v>
      </c>
      <c r="H8" s="6">
        <v>180.2</v>
      </c>
      <c r="I8" s="6">
        <v>157.4</v>
      </c>
      <c r="J8" s="6">
        <v>189.29</v>
      </c>
      <c r="K8" s="6">
        <v>218.3</v>
      </c>
      <c r="L8" s="6"/>
      <c r="M8" s="70">
        <f>N8/E8</f>
        <v>0.400164986251146</v>
      </c>
      <c r="N8" s="6">
        <f t="shared" si="0"/>
        <v>873.16</v>
      </c>
      <c r="O8" s="6">
        <v>95.42</v>
      </c>
      <c r="P8" s="6">
        <f>5.5+57.22+14.5</f>
        <v>77.22</v>
      </c>
      <c r="Q8" s="6">
        <f>86+100</f>
        <v>186</v>
      </c>
      <c r="R8" s="6">
        <v>67.9</v>
      </c>
      <c r="S8" s="6">
        <v>22.6</v>
      </c>
      <c r="T8" s="6">
        <f>10.5+1.6+24.9+2.9+82.1+101.61+74.6+148.33-110</f>
        <v>336.54</v>
      </c>
      <c r="U8" s="6">
        <f>5.28+48.4</f>
        <v>53.68</v>
      </c>
      <c r="V8" s="6">
        <v>1.8</v>
      </c>
      <c r="W8" s="6"/>
      <c r="X8" s="6">
        <v>15</v>
      </c>
      <c r="Y8" s="6">
        <v>17</v>
      </c>
      <c r="Z8" s="6">
        <v>4</v>
      </c>
      <c r="AA8" s="6">
        <v>4</v>
      </c>
      <c r="AB8" s="6">
        <v>0.1</v>
      </c>
      <c r="AC8" s="11">
        <v>4</v>
      </c>
      <c r="AD8" s="6"/>
      <c r="AE8" s="6"/>
      <c r="AF8" s="6"/>
    </row>
    <row r="9" customHeight="1" spans="1:32">
      <c r="A9" s="5">
        <v>44937</v>
      </c>
      <c r="B9" s="6">
        <v>1</v>
      </c>
      <c r="C9" s="6" t="s">
        <v>37</v>
      </c>
      <c r="D9" s="6">
        <v>330</v>
      </c>
      <c r="E9" s="6">
        <v>320</v>
      </c>
      <c r="F9" s="6">
        <f>330*0.55</f>
        <v>181.5</v>
      </c>
      <c r="G9" s="6">
        <v>170</v>
      </c>
      <c r="H9" s="6">
        <v>29</v>
      </c>
      <c r="I9" s="6">
        <v>30</v>
      </c>
      <c r="J9" s="6">
        <v>25</v>
      </c>
      <c r="K9" s="6">
        <v>55.5</v>
      </c>
      <c r="L9" s="6"/>
      <c r="M9" s="70">
        <f>N9/E9</f>
        <v>0.34375</v>
      </c>
      <c r="N9" s="6">
        <f t="shared" si="0"/>
        <v>110</v>
      </c>
      <c r="O9" s="6"/>
      <c r="P9" s="6"/>
      <c r="Q9" s="6"/>
      <c r="R9" s="6"/>
      <c r="S9" s="6"/>
      <c r="T9" s="6">
        <v>110</v>
      </c>
      <c r="U9" s="6"/>
      <c r="V9" s="6"/>
      <c r="W9" s="6"/>
      <c r="X9" s="6"/>
      <c r="Y9" s="6"/>
      <c r="Z9" s="6">
        <v>1</v>
      </c>
      <c r="AA9" s="6">
        <v>1</v>
      </c>
      <c r="AB9" s="6">
        <v>0.2</v>
      </c>
      <c r="AC9" s="11">
        <v>1</v>
      </c>
      <c r="AD9" s="6"/>
      <c r="AE9" s="6"/>
      <c r="AF9" s="6"/>
    </row>
    <row r="10" customHeight="1" spans="1:32">
      <c r="A10" s="5">
        <v>44957</v>
      </c>
      <c r="B10" s="6">
        <v>2</v>
      </c>
      <c r="C10" s="6" t="s">
        <v>36</v>
      </c>
      <c r="D10" s="13">
        <v>2190</v>
      </c>
      <c r="E10" s="13">
        <v>2015</v>
      </c>
      <c r="F10" s="13">
        <v>1204.5</v>
      </c>
      <c r="G10" s="13">
        <v>1194.5</v>
      </c>
      <c r="H10" s="13">
        <v>150</v>
      </c>
      <c r="I10" s="13">
        <v>139.7</v>
      </c>
      <c r="J10" s="13">
        <v>161.6</v>
      </c>
      <c r="K10" s="13">
        <v>156.6</v>
      </c>
      <c r="L10" s="6"/>
      <c r="M10" s="68">
        <f t="shared" ref="M10:M15" si="1">(N10+N11)/E10</f>
        <v>0.441821339950372</v>
      </c>
      <c r="N10" s="6">
        <f t="shared" ref="N10:N21" si="2">SUM(O10:Y10)</f>
        <v>518.9</v>
      </c>
      <c r="O10" s="6">
        <f>3.5+1.77+15.6+14.6</f>
        <v>35.47</v>
      </c>
      <c r="P10" s="6">
        <f>12.7+2.5+13+19.5+6.12+5.16+15.45</f>
        <v>74.43</v>
      </c>
      <c r="Q10" s="6">
        <f>10.8+16.7+7.4+2.75+10.44+4.46+20.55+20.45</f>
        <v>93.55</v>
      </c>
      <c r="R10" s="6">
        <v>28.2</v>
      </c>
      <c r="S10" s="6">
        <f>4.2+2.3+5.87</f>
        <v>12.37</v>
      </c>
      <c r="T10" s="6">
        <f>75+14.7+14.1+26.9+21+18.9+7.4+3.28+20.9+10</f>
        <v>212.18</v>
      </c>
      <c r="U10" s="6">
        <v>21.8</v>
      </c>
      <c r="V10" s="6">
        <f>0.3+0.7+1.3</f>
        <v>2.3</v>
      </c>
      <c r="W10" s="6">
        <v>1.4</v>
      </c>
      <c r="X10" s="6"/>
      <c r="Y10" s="6">
        <f>2.1+2+13.2-1+20.9</f>
        <v>37.2</v>
      </c>
      <c r="Z10" s="6">
        <v>2</v>
      </c>
      <c r="AA10" s="6">
        <v>2</v>
      </c>
      <c r="AB10" s="6">
        <v>0.35</v>
      </c>
      <c r="AC10" s="11">
        <v>2</v>
      </c>
      <c r="AD10" s="6"/>
      <c r="AE10" s="6"/>
      <c r="AF10" s="6"/>
    </row>
    <row r="11" customHeight="1" spans="1:32">
      <c r="A11" s="5">
        <v>44959</v>
      </c>
      <c r="B11" s="6">
        <v>2</v>
      </c>
      <c r="C11" s="6" t="s">
        <v>36</v>
      </c>
      <c r="D11" s="14"/>
      <c r="E11" s="14"/>
      <c r="F11" s="14"/>
      <c r="G11" s="14"/>
      <c r="H11" s="14"/>
      <c r="I11" s="14"/>
      <c r="J11" s="14"/>
      <c r="K11" s="14"/>
      <c r="L11" s="6"/>
      <c r="M11" s="69"/>
      <c r="N11" s="6">
        <f t="shared" si="2"/>
        <v>371.37</v>
      </c>
      <c r="O11" s="6">
        <f>12.4+5.9+11.05+0.82</f>
        <v>30.17</v>
      </c>
      <c r="P11" s="6">
        <f>17.9+12+10.35+2.5+5.3</f>
        <v>48.05</v>
      </c>
      <c r="Q11" s="6">
        <f>5.4+8.4+18.25+15.2+5.8+8.39</f>
        <v>61.44</v>
      </c>
      <c r="R11" s="6">
        <v>19.8</v>
      </c>
      <c r="S11" s="6">
        <f>5.47+3.49</f>
        <v>8.96</v>
      </c>
      <c r="T11" s="6">
        <f>56.2+44.3+16.15+5+14.7+3.2+1.76</f>
        <v>141.31</v>
      </c>
      <c r="U11" s="6">
        <v>24.4</v>
      </c>
      <c r="V11" s="6">
        <v>2.14</v>
      </c>
      <c r="W11" s="6">
        <v>1.3</v>
      </c>
      <c r="X11" s="6"/>
      <c r="Y11" s="6">
        <v>33.8</v>
      </c>
      <c r="Z11" s="6">
        <v>2</v>
      </c>
      <c r="AA11" s="6">
        <v>2</v>
      </c>
      <c r="AB11" s="6">
        <v>0.24</v>
      </c>
      <c r="AC11" s="11">
        <v>2</v>
      </c>
      <c r="AD11" s="6"/>
      <c r="AE11" s="6"/>
      <c r="AF11" s="6"/>
    </row>
    <row r="12" customHeight="1" spans="1:32">
      <c r="A12" s="5">
        <v>44963</v>
      </c>
      <c r="B12" s="6">
        <v>2</v>
      </c>
      <c r="C12" s="6" t="s">
        <v>36</v>
      </c>
      <c r="D12" s="6">
        <v>1380</v>
      </c>
      <c r="E12" s="6">
        <v>1295</v>
      </c>
      <c r="F12" s="6">
        <v>759</v>
      </c>
      <c r="G12" s="6">
        <v>748</v>
      </c>
      <c r="H12" s="6">
        <v>87.5</v>
      </c>
      <c r="I12" s="6">
        <v>62</v>
      </c>
      <c r="J12" s="6">
        <v>92</v>
      </c>
      <c r="K12" s="6">
        <v>83.5</v>
      </c>
      <c r="L12" s="6"/>
      <c r="M12" s="70">
        <f>N12/E12</f>
        <v>0.417328185328185</v>
      </c>
      <c r="N12" s="6">
        <f t="shared" si="2"/>
        <v>540.44</v>
      </c>
      <c r="O12" s="6">
        <f>2.7+4.34+3.35+15+15.6+0.4</f>
        <v>41.39</v>
      </c>
      <c r="P12" s="6">
        <f>13+7.32+8.99+17.45+16.8</f>
        <v>63.56</v>
      </c>
      <c r="Q12" s="6">
        <f>6.9+23.8+6.5+8.2+7.75+21.2+21.55</f>
        <v>95.9</v>
      </c>
      <c r="R12" s="6">
        <f>17+11.3</f>
        <v>28.3</v>
      </c>
      <c r="S12" s="6">
        <f>1+5.81+7.87</f>
        <v>14.68</v>
      </c>
      <c r="T12" s="6">
        <f>50+27+11.7+7.1+15.9+32.4+21+5.1+7.2+3.07+3.65+2.72+3.61+21.55+22</f>
        <v>234</v>
      </c>
      <c r="U12" s="6">
        <f>17+6.2+3.2</f>
        <v>26.4</v>
      </c>
      <c r="V12" s="6">
        <v>2.25</v>
      </c>
      <c r="W12" s="6">
        <v>1.6</v>
      </c>
      <c r="X12" s="6"/>
      <c r="Y12" s="6">
        <f>0.96-0.7+15.6+16.5</f>
        <v>32.36</v>
      </c>
      <c r="Z12" s="6">
        <v>2</v>
      </c>
      <c r="AA12" s="6">
        <v>2</v>
      </c>
      <c r="AB12" s="6">
        <v>0.3</v>
      </c>
      <c r="AC12" s="11">
        <v>2</v>
      </c>
      <c r="AD12" s="6"/>
      <c r="AE12" s="6"/>
      <c r="AF12" s="6"/>
    </row>
    <row r="13" customHeight="1" spans="1:32">
      <c r="A13" s="5">
        <v>44964</v>
      </c>
      <c r="B13" s="6">
        <v>2</v>
      </c>
      <c r="C13" s="13" t="s">
        <v>36</v>
      </c>
      <c r="D13" s="13">
        <v>2520</v>
      </c>
      <c r="E13" s="13">
        <v>2457</v>
      </c>
      <c r="F13" s="13">
        <v>1386</v>
      </c>
      <c r="G13" s="13">
        <v>1375</v>
      </c>
      <c r="H13" s="13">
        <v>168.3</v>
      </c>
      <c r="I13" s="13">
        <v>115.7</v>
      </c>
      <c r="J13" s="13">
        <v>166.8</v>
      </c>
      <c r="K13" s="13">
        <v>137.6</v>
      </c>
      <c r="L13" s="6"/>
      <c r="M13" s="68">
        <f t="shared" si="1"/>
        <v>0.461790801790802</v>
      </c>
      <c r="N13" s="6">
        <f t="shared" si="2"/>
        <v>552.11</v>
      </c>
      <c r="O13" s="6">
        <f>6+3.34+14.5+14.7</f>
        <v>38.54</v>
      </c>
      <c r="P13" s="6">
        <f>32+9.35+6.65+25.1+15.45</f>
        <v>88.55</v>
      </c>
      <c r="Q13" s="6">
        <f>40.9+10.4+26.2+21.6</f>
        <v>99.1</v>
      </c>
      <c r="R13" s="6">
        <f>28.9+19</f>
        <v>47.9</v>
      </c>
      <c r="S13" s="6">
        <f>7+7.18</f>
        <v>14.18</v>
      </c>
      <c r="T13" s="6">
        <f>63.8+7.5+5.2+40+50+3+3.35+3.14+20.5+14.85</f>
        <v>211.34</v>
      </c>
      <c r="U13" s="6">
        <f>25.5+10</f>
        <v>35.5</v>
      </c>
      <c r="V13" s="6">
        <v>2</v>
      </c>
      <c r="W13" s="6"/>
      <c r="X13" s="6"/>
      <c r="Y13" s="6">
        <v>15</v>
      </c>
      <c r="Z13" s="6">
        <v>2</v>
      </c>
      <c r="AA13" s="6">
        <v>2</v>
      </c>
      <c r="AB13" s="6">
        <v>2</v>
      </c>
      <c r="AC13" s="11">
        <v>2</v>
      </c>
      <c r="AD13" s="6"/>
      <c r="AE13" s="6"/>
      <c r="AF13" s="6"/>
    </row>
    <row r="14" customHeight="1" spans="1:32">
      <c r="A14" s="5">
        <v>44965</v>
      </c>
      <c r="B14" s="6">
        <v>2</v>
      </c>
      <c r="C14" s="14"/>
      <c r="D14" s="14"/>
      <c r="E14" s="14"/>
      <c r="F14" s="14"/>
      <c r="G14" s="14"/>
      <c r="H14" s="14"/>
      <c r="I14" s="14"/>
      <c r="J14" s="14"/>
      <c r="K14" s="14"/>
      <c r="L14" s="6"/>
      <c r="M14" s="69"/>
      <c r="N14" s="6">
        <f t="shared" si="2"/>
        <v>582.51</v>
      </c>
      <c r="O14" s="6">
        <f>2.5+1.5+4.51+13.5+12.8+5.72</f>
        <v>40.53</v>
      </c>
      <c r="P14" s="6">
        <f>29+4.49+15.4+12.5</f>
        <v>61.39</v>
      </c>
      <c r="Q14" s="6">
        <f>13+9+11.9+11.9+19+10.8+55.2+15.2+5+4.76+17.4+15.5</f>
        <v>188.66</v>
      </c>
      <c r="R14" s="6">
        <v>16</v>
      </c>
      <c r="S14" s="6">
        <f>4.08+6.15</f>
        <v>10.23</v>
      </c>
      <c r="T14" s="6">
        <f>55.5+68+18.4+3.62+3.46+16.1+16.05</f>
        <v>181.13</v>
      </c>
      <c r="U14" s="6">
        <v>26.5</v>
      </c>
      <c r="V14" s="6">
        <v>2.6</v>
      </c>
      <c r="W14" s="6">
        <f>2.7+0.32</f>
        <v>3.02</v>
      </c>
      <c r="X14" s="6"/>
      <c r="Y14" s="6">
        <f>46+1.5-0.45+5.4</f>
        <v>52.45</v>
      </c>
      <c r="Z14" s="6">
        <v>2</v>
      </c>
      <c r="AA14" s="6">
        <v>2</v>
      </c>
      <c r="AB14" s="6">
        <v>0.6</v>
      </c>
      <c r="AC14" s="11">
        <v>2</v>
      </c>
      <c r="AD14" s="6"/>
      <c r="AE14" s="6"/>
      <c r="AF14" s="6"/>
    </row>
    <row r="15" customHeight="1" spans="1:32">
      <c r="A15" s="5">
        <v>44966</v>
      </c>
      <c r="B15" s="6">
        <v>2</v>
      </c>
      <c r="C15" s="13" t="s">
        <v>36</v>
      </c>
      <c r="D15" s="13">
        <v>2670</v>
      </c>
      <c r="E15" s="13">
        <v>2570</v>
      </c>
      <c r="F15" s="13">
        <v>1468.5</v>
      </c>
      <c r="G15" s="13">
        <v>1457.3</v>
      </c>
      <c r="H15" s="13">
        <v>172.8</v>
      </c>
      <c r="I15" s="13">
        <v>112.4</v>
      </c>
      <c r="J15" s="13">
        <v>164.9</v>
      </c>
      <c r="K15" s="13">
        <v>254.6</v>
      </c>
      <c r="L15" s="6"/>
      <c r="M15" s="68">
        <f t="shared" si="1"/>
        <v>0.435311284046693</v>
      </c>
      <c r="N15" s="6">
        <f t="shared" si="2"/>
        <v>505.96</v>
      </c>
      <c r="O15" s="6">
        <f>4.1+13.85+15.1</f>
        <v>33.05</v>
      </c>
      <c r="P15" s="6">
        <f>7.37+7.56+14.1+23.75</f>
        <v>52.78</v>
      </c>
      <c r="Q15" s="6">
        <f>9.2+7.4+13.9+4.6+5.51+6.59+15.55+22.65</f>
        <v>85.4</v>
      </c>
      <c r="R15" s="6">
        <v>16.6</v>
      </c>
      <c r="S15" s="6">
        <f>8.01+7.79</f>
        <v>15.8</v>
      </c>
      <c r="T15" s="6">
        <f>55.6+13+44.2+1.6+2.9+3.9+15.25+21.4+100</f>
        <v>257.85</v>
      </c>
      <c r="U15" s="6">
        <v>18</v>
      </c>
      <c r="V15" s="6">
        <v>0.73</v>
      </c>
      <c r="W15" s="6">
        <v>0.98</v>
      </c>
      <c r="X15" s="6"/>
      <c r="Y15" s="6">
        <v>24.77</v>
      </c>
      <c r="Z15" s="6">
        <v>2</v>
      </c>
      <c r="AA15" s="6">
        <v>2</v>
      </c>
      <c r="AB15" s="6">
        <v>0.16</v>
      </c>
      <c r="AC15" s="11">
        <v>2</v>
      </c>
      <c r="AD15" s="6"/>
      <c r="AE15" s="6"/>
      <c r="AF15" s="6"/>
    </row>
    <row r="16" customHeight="1" spans="1:32">
      <c r="A16" s="5">
        <v>44970</v>
      </c>
      <c r="B16" s="6">
        <v>2</v>
      </c>
      <c r="C16" s="14"/>
      <c r="D16" s="14"/>
      <c r="E16" s="14"/>
      <c r="F16" s="14"/>
      <c r="G16" s="14"/>
      <c r="H16" s="14"/>
      <c r="I16" s="14"/>
      <c r="J16" s="14"/>
      <c r="K16" s="14"/>
      <c r="L16" s="6"/>
      <c r="M16" s="69"/>
      <c r="N16" s="6">
        <f t="shared" si="2"/>
        <v>612.79</v>
      </c>
      <c r="O16" s="6">
        <f>12.55+0.3+11.8+0.3+12.25+5+4.34</f>
        <v>46.54</v>
      </c>
      <c r="P16" s="6">
        <f>5.5+6.12+6.09+14.3+11.95+12</f>
        <v>55.96</v>
      </c>
      <c r="Q16" s="6">
        <f>7.3+7.4+23+6.3+9.6+6.7+5.92+5.52+4.91+17.75+17.7+16.15+1.65</f>
        <v>129.9</v>
      </c>
      <c r="R16" s="6">
        <v>28.3</v>
      </c>
      <c r="S16" s="6">
        <f>8.12+3.69+6.35</f>
        <v>18.16</v>
      </c>
      <c r="T16" s="6">
        <f>55.6+19.9+13.9+8.5+3.9+2+3.2+3.9+15.95+14.9+13.95+100</f>
        <v>255.7</v>
      </c>
      <c r="U16" s="6">
        <v>27</v>
      </c>
      <c r="V16" s="6"/>
      <c r="W16" s="6"/>
      <c r="X16" s="6"/>
      <c r="Y16" s="6">
        <f>1.23+50</f>
        <v>51.23</v>
      </c>
      <c r="Z16" s="6">
        <v>2</v>
      </c>
      <c r="AA16" s="6">
        <v>2</v>
      </c>
      <c r="AB16" s="6"/>
      <c r="AC16" s="11">
        <v>2</v>
      </c>
      <c r="AD16" s="6"/>
      <c r="AE16" s="6"/>
      <c r="AF16" s="6"/>
    </row>
    <row r="17" s="1" customFormat="1" customHeight="1" spans="1:32">
      <c r="A17" s="5">
        <v>44971</v>
      </c>
      <c r="B17" s="13">
        <v>4</v>
      </c>
      <c r="C17" s="13" t="s">
        <v>36</v>
      </c>
      <c r="D17" s="13">
        <v>2810</v>
      </c>
      <c r="E17" s="13">
        <v>2773</v>
      </c>
      <c r="F17" s="13">
        <v>1545.5</v>
      </c>
      <c r="G17" s="13">
        <v>1535</v>
      </c>
      <c r="H17" s="6">
        <v>47</v>
      </c>
      <c r="I17" s="6">
        <v>23.9</v>
      </c>
      <c r="J17" s="6">
        <v>40.6</v>
      </c>
      <c r="K17" s="6">
        <v>24.7</v>
      </c>
      <c r="L17" s="6"/>
      <c r="M17" s="68">
        <f>(N17+N18+N19)/E17</f>
        <v>0.470234403173458</v>
      </c>
      <c r="N17" s="6">
        <f t="shared" si="2"/>
        <v>319.2</v>
      </c>
      <c r="O17" s="6">
        <f>5.6+8</f>
        <v>13.6</v>
      </c>
      <c r="P17" s="6">
        <f>12.8+30.4+29.5-10</f>
        <v>62.7</v>
      </c>
      <c r="Q17" s="6">
        <f>13.6+3.4+20+14.9+16.6+12.1+7.3</f>
        <v>87.9</v>
      </c>
      <c r="R17" s="6">
        <f>8.2+22.9</f>
        <v>31.1</v>
      </c>
      <c r="S17" s="6">
        <v>3.5</v>
      </c>
      <c r="T17" s="6">
        <v>58.9</v>
      </c>
      <c r="U17" s="6">
        <f>25.4+14.5</f>
        <v>39.9</v>
      </c>
      <c r="V17" s="6">
        <v>5</v>
      </c>
      <c r="W17" s="6">
        <v>3.4</v>
      </c>
      <c r="X17" s="6">
        <v>6.1</v>
      </c>
      <c r="Y17" s="6">
        <v>7.1</v>
      </c>
      <c r="Z17" s="6">
        <v>1</v>
      </c>
      <c r="AA17" s="6">
        <v>1</v>
      </c>
      <c r="AB17" s="6">
        <v>0.6</v>
      </c>
      <c r="AC17" s="11">
        <v>1</v>
      </c>
      <c r="AD17" s="6"/>
      <c r="AE17" s="6"/>
      <c r="AF17" s="6"/>
    </row>
    <row r="18" s="1" customFormat="1" customHeight="1" spans="1:32">
      <c r="A18" s="5">
        <v>44974</v>
      </c>
      <c r="B18" s="15"/>
      <c r="C18" s="15"/>
      <c r="D18" s="15"/>
      <c r="E18" s="15"/>
      <c r="F18" s="15"/>
      <c r="G18" s="15"/>
      <c r="H18" s="13">
        <v>137.5</v>
      </c>
      <c r="I18" s="13">
        <v>94.6</v>
      </c>
      <c r="J18" s="13">
        <v>139.7</v>
      </c>
      <c r="K18" s="13">
        <v>196.8</v>
      </c>
      <c r="L18" s="6"/>
      <c r="M18" s="71"/>
      <c r="N18" s="6">
        <f t="shared" si="2"/>
        <v>508.52</v>
      </c>
      <c r="O18" s="6">
        <f>3.3+6.52+7.87+13+1.3+12.35</f>
        <v>44.34</v>
      </c>
      <c r="P18" s="6">
        <f>17.7+6.97+11.5+9.8+8.6</f>
        <v>54.57</v>
      </c>
      <c r="Q18" s="6">
        <f>4.7+13.2+11.2+25.81+8+3.65+18.05</f>
        <v>84.61</v>
      </c>
      <c r="R18" s="6">
        <v>32.3</v>
      </c>
      <c r="S18" s="6">
        <f>7.66+6.64</f>
        <v>14.3</v>
      </c>
      <c r="T18" s="6">
        <f>2.14+70.3+0.42+24.7+20.5+14.4+63.2+2.8+6.6+3.8+3.45+2.95+10.85</f>
        <v>226.11</v>
      </c>
      <c r="U18" s="6">
        <f>19+0.95</f>
        <v>19.95</v>
      </c>
      <c r="V18" s="6"/>
      <c r="W18" s="6">
        <v>1.31</v>
      </c>
      <c r="X18" s="6"/>
      <c r="Y18" s="6">
        <f>4+2.64+23+1+0.39</f>
        <v>31.03</v>
      </c>
      <c r="Z18" s="6">
        <v>2</v>
      </c>
      <c r="AA18" s="6">
        <v>2</v>
      </c>
      <c r="AB18" s="6"/>
      <c r="AC18" s="11">
        <v>2</v>
      </c>
      <c r="AD18" s="6"/>
      <c r="AE18" s="6"/>
      <c r="AF18" s="6"/>
    </row>
    <row r="19" s="1" customFormat="1" customHeight="1" spans="1:32">
      <c r="A19" s="5">
        <v>44977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6"/>
      <c r="M19" s="69"/>
      <c r="N19" s="6">
        <f t="shared" si="2"/>
        <v>476.24</v>
      </c>
      <c r="O19" s="6">
        <f>6.15+13.8+13.55+1.2</f>
        <v>34.7</v>
      </c>
      <c r="P19" s="6">
        <f>42.6+12.5+6.66+7.08+6.1+7.8</f>
        <v>82.74</v>
      </c>
      <c r="Q19" s="6">
        <f>15.4+10+11.9+32.5+6+5.36+5.1+10.7+9.2</f>
        <v>106.16</v>
      </c>
      <c r="R19" s="6">
        <v>19.6</v>
      </c>
      <c r="S19" s="6">
        <f>8.61+8.17</f>
        <v>16.78</v>
      </c>
      <c r="T19" s="6">
        <f>32.5+29.2+39.4+4.5+17.3+6.7+1.4+3.2+4.6+10.2+8.05</f>
        <v>157.05</v>
      </c>
      <c r="U19" s="6">
        <v>29.5</v>
      </c>
      <c r="V19" s="6">
        <v>0.9</v>
      </c>
      <c r="W19" s="6">
        <v>1.9</v>
      </c>
      <c r="X19" s="6">
        <v>4.91</v>
      </c>
      <c r="Y19" s="6">
        <v>22</v>
      </c>
      <c r="Z19" s="6">
        <v>1</v>
      </c>
      <c r="AA19" s="6">
        <v>1</v>
      </c>
      <c r="AB19" s="6">
        <v>0.3</v>
      </c>
      <c r="AC19" s="11">
        <v>1</v>
      </c>
      <c r="AD19" s="6"/>
      <c r="AE19" s="6"/>
      <c r="AF19" s="6"/>
    </row>
    <row r="20" s="1" customFormat="1" customHeight="1" spans="1:32">
      <c r="A20" s="5">
        <v>44978</v>
      </c>
      <c r="B20" s="6">
        <v>2</v>
      </c>
      <c r="C20" s="13" t="s">
        <v>36</v>
      </c>
      <c r="D20" s="13">
        <v>2590</v>
      </c>
      <c r="E20" s="13">
        <v>2485</v>
      </c>
      <c r="F20" s="13">
        <v>1424.5</v>
      </c>
      <c r="G20" s="13">
        <v>1410</v>
      </c>
      <c r="H20" s="13">
        <v>161.6</v>
      </c>
      <c r="I20" s="13">
        <f>108.2+8.6</f>
        <v>116.8</v>
      </c>
      <c r="J20" s="13">
        <v>165.4</v>
      </c>
      <c r="K20" s="13">
        <f>165.6+131.6</f>
        <v>297.2</v>
      </c>
      <c r="L20" s="6"/>
      <c r="M20" s="68">
        <f>(N20+N21)/E20</f>
        <v>0.416800804828974</v>
      </c>
      <c r="N20" s="6">
        <f t="shared" si="2"/>
        <v>551.6</v>
      </c>
      <c r="O20" s="6">
        <f>1.98+8.9+12.35+11.9</f>
        <v>35.13</v>
      </c>
      <c r="P20" s="6">
        <f>16+7+5.3+7.65+6.5</f>
        <v>42.45</v>
      </c>
      <c r="Q20" s="6">
        <f>10.8+9.5+38.1+3.6+5.18+5.38+10.35+10.15+0.5</f>
        <v>93.56</v>
      </c>
      <c r="R20" s="6">
        <f>17.1+15.8</f>
        <v>32.9</v>
      </c>
      <c r="S20" s="6">
        <f>7.06+6.2</f>
        <v>13.26</v>
      </c>
      <c r="T20" s="6">
        <f>18.5+4.9+7.3+62.8+1.5+21+8.6+46.7+11.3+50.6+11.4+8.5+10.2</f>
        <v>263.3</v>
      </c>
      <c r="U20" s="6">
        <f>15+15.3</f>
        <v>30.3</v>
      </c>
      <c r="V20" s="6">
        <v>1.4</v>
      </c>
      <c r="W20" s="6"/>
      <c r="X20" s="6">
        <f>3.65+1.8+1.85</f>
        <v>7.3</v>
      </c>
      <c r="Y20" s="6">
        <f>17+15</f>
        <v>32</v>
      </c>
      <c r="Z20" s="6">
        <v>2</v>
      </c>
      <c r="AA20" s="6">
        <v>2</v>
      </c>
      <c r="AB20" s="6"/>
      <c r="AC20" s="11">
        <v>2</v>
      </c>
      <c r="AD20" s="6"/>
      <c r="AE20" s="6"/>
      <c r="AF20" s="6"/>
    </row>
    <row r="21" customHeight="1" spans="1:32">
      <c r="A21" s="5">
        <v>44979</v>
      </c>
      <c r="B21" s="6">
        <v>2</v>
      </c>
      <c r="C21" s="14"/>
      <c r="D21" s="14"/>
      <c r="E21" s="14"/>
      <c r="F21" s="14"/>
      <c r="G21" s="14"/>
      <c r="H21" s="14"/>
      <c r="I21" s="14"/>
      <c r="J21" s="14"/>
      <c r="K21" s="14"/>
      <c r="L21" s="6"/>
      <c r="M21" s="69"/>
      <c r="N21" s="6">
        <f t="shared" si="2"/>
        <v>484.15</v>
      </c>
      <c r="O21" s="6">
        <f>11.6+8.2</f>
        <v>19.8</v>
      </c>
      <c r="P21" s="6">
        <f>6.85+29.8+43-12.5</f>
        <v>67.15</v>
      </c>
      <c r="Q21" s="6">
        <f>8.4+7.7+15+28.5+5.5+7.3+11+5.7+9.5</f>
        <v>98.6</v>
      </c>
      <c r="R21" s="6">
        <f>14.5+11</f>
        <v>25.5</v>
      </c>
      <c r="S21" s="6">
        <v>6.5</v>
      </c>
      <c r="T21" s="6">
        <f>6.55+59.3+5+50.3+5.8+10+4.4+9.8+5.5+6.8+5.8+5.1+5.7</f>
        <v>180.05</v>
      </c>
      <c r="U21" s="6">
        <f>18+1.7+21.9</f>
        <v>41.6</v>
      </c>
      <c r="V21" s="6">
        <v>6.2</v>
      </c>
      <c r="W21" s="6">
        <v>2.7</v>
      </c>
      <c r="X21" s="6">
        <f>1.75+3+4+1.3</f>
        <v>10.05</v>
      </c>
      <c r="Y21" s="6">
        <v>26</v>
      </c>
      <c r="Z21" s="6">
        <v>2</v>
      </c>
      <c r="AA21" s="6">
        <v>2</v>
      </c>
      <c r="AB21" s="6">
        <f>0.65+0.16</f>
        <v>0.81</v>
      </c>
      <c r="AC21" s="11">
        <v>2</v>
      </c>
      <c r="AD21" s="6"/>
      <c r="AE21" s="6"/>
      <c r="AF21" s="6"/>
    </row>
    <row r="22" customHeight="1" spans="1:32">
      <c r="A22" s="5">
        <v>44987</v>
      </c>
      <c r="B22" s="6">
        <v>4</v>
      </c>
      <c r="C22" s="6" t="s">
        <v>36</v>
      </c>
      <c r="D22" s="6">
        <v>2700</v>
      </c>
      <c r="E22" s="6">
        <v>2510</v>
      </c>
      <c r="F22" s="6">
        <v>1485</v>
      </c>
      <c r="G22" s="6">
        <v>1474.5</v>
      </c>
      <c r="H22" s="6">
        <v>165.6</v>
      </c>
      <c r="I22" s="6">
        <v>156.2</v>
      </c>
      <c r="J22" s="6">
        <v>190</v>
      </c>
      <c r="K22" s="6">
        <v>168.3</v>
      </c>
      <c r="L22" s="6"/>
      <c r="M22" s="70">
        <f>N22/E22</f>
        <v>0.400191235059761</v>
      </c>
      <c r="N22" s="6">
        <f t="shared" ref="N22:N31" si="3">SUM(O22:Y22)</f>
        <v>1004.48</v>
      </c>
      <c r="O22" s="6">
        <f>13.68+19.75+12.75+16.65</f>
        <v>62.83</v>
      </c>
      <c r="P22" s="6">
        <f>29.64+24.3+7.65+44.8+9.95+9.9+55</f>
        <v>181.24</v>
      </c>
      <c r="Q22" s="6">
        <f>115+32.36+32.5+50</f>
        <v>229.86</v>
      </c>
      <c r="R22" s="6">
        <f>13.1+12.5+11.25</f>
        <v>36.85</v>
      </c>
      <c r="S22" s="6">
        <v>28.26</v>
      </c>
      <c r="T22" s="6">
        <f>64.16+13.77+31.05+69.35+72.25+84.75+71.5</f>
        <v>406.83</v>
      </c>
      <c r="U22" s="6">
        <v>15</v>
      </c>
      <c r="V22" s="6">
        <v>2.5</v>
      </c>
      <c r="W22" s="6"/>
      <c r="X22" s="6">
        <v>16.11</v>
      </c>
      <c r="Y22" s="6">
        <v>25</v>
      </c>
      <c r="Z22" s="6">
        <v>4</v>
      </c>
      <c r="AA22" s="6">
        <v>4</v>
      </c>
      <c r="AB22" s="6">
        <v>0.4</v>
      </c>
      <c r="AC22" s="11">
        <v>4</v>
      </c>
      <c r="AD22" s="6"/>
      <c r="AE22" s="6"/>
      <c r="AF22" s="6"/>
    </row>
    <row r="23" customHeight="1" spans="1:32">
      <c r="A23" s="5">
        <v>44991</v>
      </c>
      <c r="B23" s="6">
        <v>2</v>
      </c>
      <c r="C23" s="6" t="s">
        <v>36</v>
      </c>
      <c r="D23" s="13">
        <v>2750</v>
      </c>
      <c r="E23" s="13">
        <v>2620</v>
      </c>
      <c r="F23" s="13">
        <v>1512.5</v>
      </c>
      <c r="G23" s="13">
        <v>1502.5</v>
      </c>
      <c r="H23" s="13">
        <v>180</v>
      </c>
      <c r="I23" s="13">
        <v>109.1</v>
      </c>
      <c r="J23" s="13">
        <v>177.8</v>
      </c>
      <c r="K23" s="13">
        <v>180.7</v>
      </c>
      <c r="L23" s="6"/>
      <c r="M23" s="68">
        <f t="shared" ref="M23:M28" si="4">(N23+N24)/E23</f>
        <v>0.486484732824428</v>
      </c>
      <c r="N23" s="6">
        <f t="shared" si="3"/>
        <v>637.34</v>
      </c>
      <c r="O23" s="6">
        <f>0.4+7.22+37.85+20</f>
        <v>65.47</v>
      </c>
      <c r="P23" s="6">
        <f>14.58+37.2+44.05+50.25+12.5+49.8-55-50</f>
        <v>103.38</v>
      </c>
      <c r="Q23" s="6">
        <f>134.3+15.47+56.1-50-90</f>
        <v>65.87</v>
      </c>
      <c r="R23" s="6">
        <v>30</v>
      </c>
      <c r="S23" s="6">
        <v>19.48</v>
      </c>
      <c r="T23" s="6">
        <f>43.4+7.04+52.55+33.4+88.05+74.1+82.6-100</f>
        <v>281.14</v>
      </c>
      <c r="U23" s="6">
        <v>13</v>
      </c>
      <c r="V23" s="6">
        <v>1</v>
      </c>
      <c r="W23" s="6">
        <v>3.5</v>
      </c>
      <c r="X23" s="6"/>
      <c r="Y23" s="6">
        <v>54.5</v>
      </c>
      <c r="Z23" s="6">
        <v>2</v>
      </c>
      <c r="AA23" s="6">
        <v>2</v>
      </c>
      <c r="AB23" s="6"/>
      <c r="AC23" s="11">
        <v>2</v>
      </c>
      <c r="AD23" s="6"/>
      <c r="AE23" s="6"/>
      <c r="AF23" s="6"/>
    </row>
    <row r="24" customHeight="1" spans="1:32">
      <c r="A24" s="5">
        <v>44992</v>
      </c>
      <c r="B24" s="6">
        <v>2</v>
      </c>
      <c r="C24" s="6"/>
      <c r="D24" s="14"/>
      <c r="E24" s="14"/>
      <c r="F24" s="14"/>
      <c r="G24" s="14"/>
      <c r="H24" s="14"/>
      <c r="I24" s="14"/>
      <c r="J24" s="14"/>
      <c r="K24" s="14"/>
      <c r="L24" s="6"/>
      <c r="M24" s="69"/>
      <c r="N24" s="6">
        <f t="shared" si="3"/>
        <v>637.25</v>
      </c>
      <c r="O24" s="6">
        <f>7.8+6.93+19.05+12.5</f>
        <v>46.28</v>
      </c>
      <c r="P24" s="6">
        <v>27.6</v>
      </c>
      <c r="Q24" s="6">
        <f>44+16.43+29.55</f>
        <v>89.98</v>
      </c>
      <c r="R24" s="6">
        <v>42.5</v>
      </c>
      <c r="S24" s="6">
        <v>7.9</v>
      </c>
      <c r="T24" s="6">
        <f>162.7+26.9+53+97.75</f>
        <v>340.35</v>
      </c>
      <c r="U24" s="6">
        <v>26</v>
      </c>
      <c r="V24" s="6">
        <v>3</v>
      </c>
      <c r="W24" s="6">
        <v>1</v>
      </c>
      <c r="X24" s="6"/>
      <c r="Y24" s="6">
        <v>52.64</v>
      </c>
      <c r="Z24" s="6">
        <v>2</v>
      </c>
      <c r="AA24" s="6">
        <v>2</v>
      </c>
      <c r="AB24" s="6">
        <v>0.24</v>
      </c>
      <c r="AC24" s="11">
        <v>2</v>
      </c>
      <c r="AD24" s="6"/>
      <c r="AE24" s="6"/>
      <c r="AF24" s="6"/>
    </row>
    <row r="25" customHeight="1" spans="1:32">
      <c r="A25" s="5">
        <v>44995</v>
      </c>
      <c r="B25" s="6">
        <v>2</v>
      </c>
      <c r="C25" s="6" t="s">
        <v>36</v>
      </c>
      <c r="D25" s="13">
        <v>2420</v>
      </c>
      <c r="E25" s="13">
        <v>2230</v>
      </c>
      <c r="F25" s="13">
        <v>1331</v>
      </c>
      <c r="G25" s="13">
        <v>1320</v>
      </c>
      <c r="H25" s="13">
        <v>163.3</v>
      </c>
      <c r="I25" s="13">
        <v>104.6</v>
      </c>
      <c r="J25" s="13">
        <v>169</v>
      </c>
      <c r="K25" s="13">
        <v>284.8</v>
      </c>
      <c r="L25" s="6"/>
      <c r="M25" s="68">
        <f t="shared" si="4"/>
        <v>0.414497757847534</v>
      </c>
      <c r="N25" s="6">
        <f t="shared" si="3"/>
        <v>214.5</v>
      </c>
      <c r="O25" s="6">
        <v>5.3</v>
      </c>
      <c r="P25" s="6">
        <f>7.7+50</f>
        <v>57.7</v>
      </c>
      <c r="Q25" s="6">
        <v>45.2</v>
      </c>
      <c r="R25" s="6">
        <v>20</v>
      </c>
      <c r="S25" s="6">
        <v>3.2</v>
      </c>
      <c r="T25" s="6">
        <v>28.8</v>
      </c>
      <c r="U25" s="6"/>
      <c r="V25" s="6"/>
      <c r="W25" s="6">
        <v>2.8</v>
      </c>
      <c r="X25" s="6">
        <v>7.5</v>
      </c>
      <c r="Y25" s="6">
        <v>44</v>
      </c>
      <c r="Z25" s="6">
        <v>2</v>
      </c>
      <c r="AA25" s="6">
        <v>2</v>
      </c>
      <c r="AB25" s="6">
        <v>0.5</v>
      </c>
      <c r="AC25" s="11">
        <v>2</v>
      </c>
      <c r="AD25" s="6"/>
      <c r="AE25" s="6"/>
      <c r="AF25" s="6"/>
    </row>
    <row r="26" customHeight="1" spans="1:32">
      <c r="A26" s="5">
        <v>44998</v>
      </c>
      <c r="B26" s="6">
        <v>2</v>
      </c>
      <c r="C26" s="6"/>
      <c r="D26" s="14"/>
      <c r="E26" s="14"/>
      <c r="F26" s="14"/>
      <c r="G26" s="14"/>
      <c r="H26" s="14"/>
      <c r="I26" s="14"/>
      <c r="J26" s="14"/>
      <c r="K26" s="14"/>
      <c r="L26" s="6"/>
      <c r="M26" s="69"/>
      <c r="N26" s="6">
        <f t="shared" si="3"/>
        <v>709.83</v>
      </c>
      <c r="O26" s="6">
        <v>58.88</v>
      </c>
      <c r="P26" s="6">
        <v>115.69</v>
      </c>
      <c r="Q26" s="6">
        <f>69.8+58.55+1.79</f>
        <v>130.14</v>
      </c>
      <c r="R26" s="6">
        <v>31.8</v>
      </c>
      <c r="S26" s="6">
        <v>18.38</v>
      </c>
      <c r="T26" s="6">
        <f>10.4+273.22</f>
        <v>283.62</v>
      </c>
      <c r="U26" s="6">
        <v>20.4</v>
      </c>
      <c r="V26" s="6"/>
      <c r="W26" s="6">
        <v>2.7</v>
      </c>
      <c r="X26" s="6">
        <v>4.49</v>
      </c>
      <c r="Y26" s="6">
        <v>43.73</v>
      </c>
      <c r="Z26" s="6">
        <v>2</v>
      </c>
      <c r="AA26" s="6">
        <v>2</v>
      </c>
      <c r="AB26" s="6"/>
      <c r="AC26" s="11">
        <v>2</v>
      </c>
      <c r="AD26" s="6"/>
      <c r="AE26" s="6"/>
      <c r="AF26" s="6"/>
    </row>
    <row r="27" s="1" customFormat="1" customHeight="1" spans="1:32">
      <c r="A27" s="5">
        <v>45000</v>
      </c>
      <c r="B27" s="6">
        <v>4</v>
      </c>
      <c r="C27" s="6" t="s">
        <v>36</v>
      </c>
      <c r="D27" s="6">
        <v>2900</v>
      </c>
      <c r="E27" s="6">
        <v>2750</v>
      </c>
      <c r="F27" s="6">
        <v>1595</v>
      </c>
      <c r="G27" s="6">
        <v>1582</v>
      </c>
      <c r="H27" s="6">
        <v>182.2</v>
      </c>
      <c r="I27" s="6">
        <v>136.7</v>
      </c>
      <c r="J27" s="6">
        <v>183.8</v>
      </c>
      <c r="K27" s="6">
        <v>205.2</v>
      </c>
      <c r="L27" s="6"/>
      <c r="M27" s="70">
        <f>N27/E27</f>
        <v>0.404145454545455</v>
      </c>
      <c r="N27" s="6">
        <f t="shared" si="3"/>
        <v>1111.4</v>
      </c>
      <c r="O27" s="6">
        <f>10+2.8+20+4.85+28.1+1.9</f>
        <v>67.65</v>
      </c>
      <c r="P27" s="6">
        <f>17.9+80+12.7+28.25</f>
        <v>138.85</v>
      </c>
      <c r="Q27" s="6">
        <f>90.04+19.77+44.2+90</f>
        <v>244.01</v>
      </c>
      <c r="R27" s="6">
        <f>0.37+32.92+12.5</f>
        <v>45.79</v>
      </c>
      <c r="S27" s="6">
        <f>5.4+19.83</f>
        <v>25.23</v>
      </c>
      <c r="T27" s="6">
        <f>5+64+257.78+10.46+45.45+100</f>
        <v>482.69</v>
      </c>
      <c r="U27" s="6">
        <v>5</v>
      </c>
      <c r="V27" s="6">
        <v>3.33</v>
      </c>
      <c r="W27" s="6">
        <v>2.7</v>
      </c>
      <c r="X27" s="6">
        <f>8.46+1.5</f>
        <v>9.96</v>
      </c>
      <c r="Y27" s="6">
        <f>15+52.19+19</f>
        <v>86.19</v>
      </c>
      <c r="Z27" s="6">
        <v>4</v>
      </c>
      <c r="AA27" s="6">
        <v>4</v>
      </c>
      <c r="AB27" s="6">
        <v>0.8</v>
      </c>
      <c r="AC27" s="11">
        <v>4</v>
      </c>
      <c r="AD27" s="6"/>
      <c r="AE27" s="6"/>
      <c r="AF27" s="6"/>
    </row>
    <row r="28" s="1" customFormat="1" customHeight="1" spans="1:32">
      <c r="A28" s="5">
        <v>45005</v>
      </c>
      <c r="B28" s="6">
        <v>2</v>
      </c>
      <c r="C28" s="13" t="s">
        <v>36</v>
      </c>
      <c r="D28" s="13">
        <v>2710</v>
      </c>
      <c r="E28" s="13">
        <v>2530</v>
      </c>
      <c r="F28" s="13">
        <v>1490.5</v>
      </c>
      <c r="G28" s="13">
        <v>1480</v>
      </c>
      <c r="H28" s="13">
        <v>161.8</v>
      </c>
      <c r="I28" s="13">
        <v>101.1</v>
      </c>
      <c r="J28" s="13">
        <v>171.5</v>
      </c>
      <c r="K28" s="13">
        <v>193.6</v>
      </c>
      <c r="L28" s="6"/>
      <c r="M28" s="68">
        <f t="shared" si="4"/>
        <v>0.492387351778656</v>
      </c>
      <c r="N28" s="6">
        <f t="shared" si="3"/>
        <v>712.69</v>
      </c>
      <c r="O28" s="6">
        <v>65.41</v>
      </c>
      <c r="P28" s="6">
        <v>141.18</v>
      </c>
      <c r="Q28" s="6">
        <f>103.6+79.22-95</f>
        <v>87.82</v>
      </c>
      <c r="R28" s="6">
        <f>16.1+32.5</f>
        <v>48.6</v>
      </c>
      <c r="S28" s="6">
        <v>17.01</v>
      </c>
      <c r="T28" s="6">
        <f>20.7+367.57-95</f>
        <v>293.27</v>
      </c>
      <c r="U28" s="6">
        <v>17.6</v>
      </c>
      <c r="V28" s="6">
        <v>1.8</v>
      </c>
      <c r="W28" s="6"/>
      <c r="X28" s="6">
        <v>3</v>
      </c>
      <c r="Y28" s="6">
        <v>37</v>
      </c>
      <c r="Z28" s="6">
        <v>2</v>
      </c>
      <c r="AA28" s="6">
        <v>2</v>
      </c>
      <c r="AB28" s="6">
        <v>0.3</v>
      </c>
      <c r="AC28" s="11">
        <v>2</v>
      </c>
      <c r="AD28" s="6"/>
      <c r="AE28" s="6"/>
      <c r="AF28" s="6"/>
    </row>
    <row r="29" s="1" customFormat="1" customHeight="1" spans="1:32">
      <c r="A29" s="5">
        <v>45006</v>
      </c>
      <c r="B29" s="6">
        <v>2</v>
      </c>
      <c r="C29" s="14"/>
      <c r="D29" s="14"/>
      <c r="E29" s="14"/>
      <c r="F29" s="14"/>
      <c r="G29" s="14"/>
      <c r="H29" s="14"/>
      <c r="I29" s="14"/>
      <c r="J29" s="14"/>
      <c r="K29" s="14"/>
      <c r="L29" s="6"/>
      <c r="M29" s="69"/>
      <c r="N29" s="6">
        <f t="shared" si="3"/>
        <v>533.05</v>
      </c>
      <c r="O29" s="6">
        <f>0.3+35.74-17</f>
        <v>19.04</v>
      </c>
      <c r="P29" s="6">
        <f>15.5+133.58-46</f>
        <v>103.08</v>
      </c>
      <c r="Q29" s="6">
        <f>55.1+18.8-35.3</f>
        <v>38.6</v>
      </c>
      <c r="R29" s="6">
        <v>10</v>
      </c>
      <c r="S29" s="6">
        <f>10.66-6</f>
        <v>4.66</v>
      </c>
      <c r="T29" s="6">
        <f>14.6+343.96-10.4-81</f>
        <v>267.16</v>
      </c>
      <c r="U29" s="6">
        <v>33.4</v>
      </c>
      <c r="V29" s="6">
        <v>0.8</v>
      </c>
      <c r="W29" s="6">
        <v>4.5</v>
      </c>
      <c r="X29" s="6">
        <v>6.47</v>
      </c>
      <c r="Y29" s="6">
        <f>65.34-20</f>
        <v>45.34</v>
      </c>
      <c r="Z29" s="6">
        <v>2</v>
      </c>
      <c r="AA29" s="6">
        <v>2</v>
      </c>
      <c r="AB29" s="6">
        <v>0.5</v>
      </c>
      <c r="AC29" s="11">
        <v>2</v>
      </c>
      <c r="AD29" s="6"/>
      <c r="AE29" s="6"/>
      <c r="AF29" s="6"/>
    </row>
    <row r="30" customHeight="1" spans="1:32">
      <c r="A30" s="5">
        <v>45009</v>
      </c>
      <c r="B30" s="6">
        <v>3</v>
      </c>
      <c r="C30" s="6" t="s">
        <v>36</v>
      </c>
      <c r="D30" s="6">
        <v>2060</v>
      </c>
      <c r="E30" s="6">
        <v>1905</v>
      </c>
      <c r="F30" s="6">
        <v>1133</v>
      </c>
      <c r="G30" s="6">
        <v>1121</v>
      </c>
      <c r="H30" s="6">
        <v>140.02</v>
      </c>
      <c r="I30" s="6">
        <v>88.5</v>
      </c>
      <c r="J30" s="6">
        <v>138.15</v>
      </c>
      <c r="K30" s="6">
        <v>221.9</v>
      </c>
      <c r="L30" s="6"/>
      <c r="M30" s="70">
        <f>N30/E30</f>
        <v>0.348167979002625</v>
      </c>
      <c r="N30" s="6">
        <f t="shared" si="3"/>
        <v>663.26</v>
      </c>
      <c r="O30" s="6">
        <f>19.29+26</f>
        <v>45.29</v>
      </c>
      <c r="P30" s="6">
        <f>31.37+31.5</f>
        <v>62.87</v>
      </c>
      <c r="Q30" s="6">
        <f>19.69+95+86.3</f>
        <v>200.99</v>
      </c>
      <c r="R30" s="6">
        <v>30.9</v>
      </c>
      <c r="S30" s="6">
        <f>4.78+16.8</f>
        <v>21.58</v>
      </c>
      <c r="T30" s="6">
        <f>89.35+95+52.3</f>
        <v>236.65</v>
      </c>
      <c r="U30" s="6">
        <f>5+19.8</f>
        <v>24.8</v>
      </c>
      <c r="V30" s="6">
        <v>1.1</v>
      </c>
      <c r="W30" s="6">
        <v>1.4</v>
      </c>
      <c r="X30" s="6">
        <v>4.4</v>
      </c>
      <c r="Y30" s="6">
        <v>33.28</v>
      </c>
      <c r="Z30" s="6">
        <v>3</v>
      </c>
      <c r="AA30" s="6">
        <v>3</v>
      </c>
      <c r="AB30" s="6"/>
      <c r="AC30" s="11">
        <v>3</v>
      </c>
      <c r="AD30" s="6"/>
      <c r="AE30" s="6"/>
      <c r="AF30" s="6"/>
    </row>
    <row r="31" s="56" customFormat="1" customHeight="1" spans="1:32">
      <c r="A31" s="59" t="s">
        <v>38</v>
      </c>
      <c r="B31" s="57">
        <f>SUM(B3:B30)</f>
        <v>62</v>
      </c>
      <c r="C31" s="57"/>
      <c r="D31" s="57">
        <f>SUM(D3:D30)</f>
        <v>40270</v>
      </c>
      <c r="E31" s="57">
        <f t="shared" ref="E31:N31" si="5">SUM(E3:E30)</f>
        <v>37849</v>
      </c>
      <c r="F31" s="57">
        <f t="shared" si="5"/>
        <v>21420.5</v>
      </c>
      <c r="G31" s="57">
        <f t="shared" si="5"/>
        <v>21225.8</v>
      </c>
      <c r="H31" s="57">
        <f t="shared" si="5"/>
        <v>2667.42</v>
      </c>
      <c r="I31" s="57">
        <f t="shared" si="5"/>
        <v>2020.9</v>
      </c>
      <c r="J31" s="57">
        <f t="shared" si="5"/>
        <v>2743.35</v>
      </c>
      <c r="K31" s="57">
        <f t="shared" si="5"/>
        <v>3333.3</v>
      </c>
      <c r="L31" s="57">
        <f t="shared" si="5"/>
        <v>0</v>
      </c>
      <c r="M31" s="72"/>
      <c r="N31" s="57">
        <f>SUM(N3:N30)</f>
        <v>16158.64</v>
      </c>
      <c r="O31" s="57">
        <f t="shared" ref="O31:AC31" si="6">SUM(O3:O30)</f>
        <v>1164.33</v>
      </c>
      <c r="P31" s="57">
        <f t="shared" si="6"/>
        <v>2245.14</v>
      </c>
      <c r="Q31" s="57">
        <f t="shared" si="6"/>
        <v>3006.18</v>
      </c>
      <c r="R31" s="57">
        <f t="shared" si="6"/>
        <v>820.44</v>
      </c>
      <c r="S31" s="57">
        <f t="shared" si="6"/>
        <v>406.95</v>
      </c>
      <c r="T31" s="57">
        <f t="shared" si="6"/>
        <v>6618.99</v>
      </c>
      <c r="U31" s="57">
        <f t="shared" si="6"/>
        <v>710.43</v>
      </c>
      <c r="V31" s="57">
        <f t="shared" si="6"/>
        <v>47.95</v>
      </c>
      <c r="W31" s="57">
        <f t="shared" si="6"/>
        <v>44.91</v>
      </c>
      <c r="X31" s="57">
        <f t="shared" si="6"/>
        <v>111.93</v>
      </c>
      <c r="Y31" s="57">
        <f t="shared" si="6"/>
        <v>981.39</v>
      </c>
      <c r="Z31" s="57">
        <f t="shared" si="6"/>
        <v>62</v>
      </c>
      <c r="AA31" s="57">
        <f t="shared" si="6"/>
        <v>62</v>
      </c>
      <c r="AB31" s="57">
        <f t="shared" si="6"/>
        <v>9.35</v>
      </c>
      <c r="AC31" s="57">
        <f t="shared" si="6"/>
        <v>62</v>
      </c>
      <c r="AD31" s="57"/>
      <c r="AE31" s="57"/>
      <c r="AF31" s="57"/>
    </row>
    <row r="32" s="56" customFormat="1" customHeight="1" spans="1:32">
      <c r="A32" s="60" t="s">
        <v>39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73"/>
      <c r="N32" s="60">
        <f>N31/D31</f>
        <v>0.401257511795381</v>
      </c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82"/>
      <c r="AD32" s="57"/>
      <c r="AE32" s="57"/>
      <c r="AF32" s="57"/>
    </row>
    <row r="33" s="1" customFormat="1" customHeight="1" spans="1:32">
      <c r="A33" s="5">
        <v>45006</v>
      </c>
      <c r="B33" s="6">
        <v>1</v>
      </c>
      <c r="C33" s="6" t="s">
        <v>40</v>
      </c>
      <c r="D33" s="6">
        <v>590</v>
      </c>
      <c r="E33" s="6">
        <v>590</v>
      </c>
      <c r="F33" s="6">
        <v>324.5</v>
      </c>
      <c r="G33" s="6">
        <v>310</v>
      </c>
      <c r="H33" s="6">
        <v>41.8</v>
      </c>
      <c r="I33" s="6">
        <v>29.6</v>
      </c>
      <c r="J33" s="6">
        <v>44</v>
      </c>
      <c r="K33" s="6">
        <v>23</v>
      </c>
      <c r="L33" s="6"/>
      <c r="M33" s="70">
        <f>N33/E33</f>
        <v>0.363898305084746</v>
      </c>
      <c r="N33" s="6">
        <f t="shared" ref="N33:N41" si="7">SUM(O33:Y33)</f>
        <v>214.7</v>
      </c>
      <c r="O33" s="6">
        <v>17</v>
      </c>
      <c r="P33" s="6">
        <v>46</v>
      </c>
      <c r="Q33" s="6">
        <v>35.3</v>
      </c>
      <c r="R33" s="6">
        <v>10.4</v>
      </c>
      <c r="S33" s="6">
        <v>5</v>
      </c>
      <c r="T33" s="6">
        <v>81</v>
      </c>
      <c r="U33" s="6"/>
      <c r="V33" s="6"/>
      <c r="W33" s="6"/>
      <c r="X33" s="6"/>
      <c r="Y33" s="6">
        <v>20</v>
      </c>
      <c r="Z33" s="6"/>
      <c r="AA33" s="6">
        <v>1</v>
      </c>
      <c r="AB33" s="6"/>
      <c r="AC33" s="11">
        <v>1</v>
      </c>
      <c r="AD33" s="6"/>
      <c r="AE33" s="6"/>
      <c r="AF33" s="6"/>
    </row>
    <row r="34" s="56" customFormat="1" customHeight="1" spans="1:32">
      <c r="A34" s="61" t="s">
        <v>38</v>
      </c>
      <c r="M34" s="73"/>
      <c r="N34" s="74">
        <f>N33/D33</f>
        <v>0.363898305084746</v>
      </c>
      <c r="AD34" s="83"/>
      <c r="AE34" s="83"/>
      <c r="AF34" s="83"/>
    </row>
    <row r="35" s="6" customFormat="1" customHeight="1" spans="1:32">
      <c r="A35" s="5">
        <v>45010</v>
      </c>
      <c r="B35" s="6">
        <v>1</v>
      </c>
      <c r="C35" s="6" t="s">
        <v>36</v>
      </c>
      <c r="D35" s="6">
        <v>670</v>
      </c>
      <c r="E35" s="6" t="s">
        <v>41</v>
      </c>
      <c r="F35" s="6">
        <v>368.5</v>
      </c>
      <c r="G35" s="6">
        <v>355</v>
      </c>
      <c r="H35" s="6">
        <v>28.05</v>
      </c>
      <c r="I35" s="6">
        <v>28.75</v>
      </c>
      <c r="J35" s="6">
        <v>33.2</v>
      </c>
      <c r="K35" s="6">
        <v>42.3</v>
      </c>
      <c r="M35" s="70">
        <f t="shared" ref="M35:M37" si="8">N35/D35</f>
        <v>0.322835820895522</v>
      </c>
      <c r="N35" s="6">
        <f t="shared" si="7"/>
        <v>216.3</v>
      </c>
      <c r="P35" s="6">
        <v>36.3</v>
      </c>
      <c r="S35" s="6">
        <v>6.4</v>
      </c>
      <c r="T35" s="6">
        <f>101.2+62.4-5.5</f>
        <v>158.1</v>
      </c>
      <c r="Y35" s="6">
        <f>9.5+6</f>
        <v>15.5</v>
      </c>
      <c r="Z35" s="6">
        <v>1</v>
      </c>
      <c r="AA35" s="6">
        <v>1</v>
      </c>
      <c r="AD35" s="6">
        <v>0</v>
      </c>
      <c r="AE35" s="6">
        <v>0</v>
      </c>
      <c r="AF35" s="6">
        <v>0</v>
      </c>
    </row>
    <row r="36" s="6" customFormat="1" customHeight="1" spans="1:32">
      <c r="A36" s="5">
        <v>45010</v>
      </c>
      <c r="B36" s="6">
        <v>3</v>
      </c>
      <c r="C36" s="6" t="s">
        <v>36</v>
      </c>
      <c r="D36" s="6">
        <v>2010</v>
      </c>
      <c r="E36" s="6" t="s">
        <v>41</v>
      </c>
      <c r="F36" s="6">
        <v>1105</v>
      </c>
      <c r="G36" s="6">
        <v>1090</v>
      </c>
      <c r="H36" s="6">
        <v>124.88</v>
      </c>
      <c r="I36" s="6">
        <v>116.75</v>
      </c>
      <c r="J36" s="6">
        <v>140.65</v>
      </c>
      <c r="K36" s="6">
        <v>251.5</v>
      </c>
      <c r="M36" s="70">
        <f t="shared" si="8"/>
        <v>0.406557213930348</v>
      </c>
      <c r="N36" s="6">
        <f t="shared" si="7"/>
        <v>817.18</v>
      </c>
      <c r="O36" s="6">
        <f>2.2+11.22+14.3+13.2+13.75+15</f>
        <v>69.67</v>
      </c>
      <c r="P36" s="6">
        <f>16.5+23.6+21.45+13.65+14.4+9.85+9.9+38.3+43.45</f>
        <v>191.1</v>
      </c>
      <c r="Q36" s="6">
        <f>26.71+20.7+19.5+18.5</f>
        <v>85.41</v>
      </c>
      <c r="R36" s="6">
        <f>10.3+5.15+9.95</f>
        <v>25.4</v>
      </c>
      <c r="S36" s="6">
        <f>4.65+7.25+9.95</f>
        <v>21.85</v>
      </c>
      <c r="T36" s="6">
        <f>52.2+30.9+18.25+13+18.1+72.65+72.7+3+46.55</f>
        <v>327.35</v>
      </c>
      <c r="U36" s="6">
        <v>10</v>
      </c>
      <c r="V36" s="6">
        <v>1.4</v>
      </c>
      <c r="W36" s="6">
        <v>2</v>
      </c>
      <c r="X36" s="6">
        <v>1</v>
      </c>
      <c r="Y36" s="6">
        <f>50+32</f>
        <v>82</v>
      </c>
      <c r="Z36" s="6">
        <v>3</v>
      </c>
      <c r="AA36" s="6">
        <v>3</v>
      </c>
      <c r="AB36" s="6">
        <v>0.7</v>
      </c>
      <c r="AD36" s="6">
        <v>47.63</v>
      </c>
      <c r="AE36" s="6">
        <v>15.42</v>
      </c>
      <c r="AF36" s="6">
        <v>38.24</v>
      </c>
    </row>
    <row r="37" s="6" customFormat="1" customHeight="1" spans="1:32">
      <c r="A37" s="5">
        <v>45013</v>
      </c>
      <c r="B37" s="6">
        <v>4</v>
      </c>
      <c r="C37" s="6" t="s">
        <v>42</v>
      </c>
      <c r="D37" s="6">
        <v>3460</v>
      </c>
      <c r="E37" s="6" t="s">
        <v>41</v>
      </c>
      <c r="F37" s="6">
        <v>1930</v>
      </c>
      <c r="G37" s="6">
        <v>1915</v>
      </c>
      <c r="H37" s="6">
        <v>115.8</v>
      </c>
      <c r="I37" s="6">
        <v>228.5</v>
      </c>
      <c r="J37" s="6">
        <v>134.8</v>
      </c>
      <c r="K37" s="6">
        <v>175</v>
      </c>
      <c r="M37" s="70">
        <f t="shared" si="8"/>
        <v>0.40164161849711</v>
      </c>
      <c r="N37" s="6">
        <f t="shared" si="7"/>
        <v>1389.68</v>
      </c>
      <c r="O37" s="6">
        <f>12.1+10.57+12.7+15.55+10.25+9.9</f>
        <v>71.07</v>
      </c>
      <c r="P37" s="6">
        <f>14.05+28.15+15.85+22.3+51.65+37.3+32.35</f>
        <v>201.65</v>
      </c>
      <c r="Q37" s="6">
        <f>43.6+18.3+21.01+16.95+21.08+15.5+34.8+5.8</f>
        <v>177.04</v>
      </c>
      <c r="R37" s="6">
        <f>33+9.95+19.5</f>
        <v>62.45</v>
      </c>
      <c r="S37" s="6">
        <f>8.35+4+8.3+6.83</f>
        <v>27.48</v>
      </c>
      <c r="T37" s="6">
        <f>11+16.7+20.55+19.75+25.89+80.15+108.1+72.05+80+46.5+250+7.1</f>
        <v>737.79</v>
      </c>
      <c r="U37" s="6">
        <v>10</v>
      </c>
      <c r="V37" s="6">
        <v>1</v>
      </c>
      <c r="W37" s="6">
        <f>3.7+6.9</f>
        <v>10.6</v>
      </c>
      <c r="X37" s="6">
        <f>8.6+4+1</f>
        <v>13.6</v>
      </c>
      <c r="Y37" s="6">
        <f>25+32+20</f>
        <v>77</v>
      </c>
      <c r="Z37" s="6">
        <v>4</v>
      </c>
      <c r="AA37" s="6">
        <v>4</v>
      </c>
      <c r="AB37" s="6">
        <f>0.1+0.5</f>
        <v>0.6</v>
      </c>
      <c r="AD37" s="6">
        <v>47.63</v>
      </c>
      <c r="AE37" s="6">
        <v>15.42</v>
      </c>
      <c r="AF37" s="6">
        <v>38.24</v>
      </c>
    </row>
    <row r="38" s="6" customFormat="1" customHeight="1" spans="1:32">
      <c r="A38" s="5">
        <v>45015</v>
      </c>
      <c r="B38" s="6">
        <v>4</v>
      </c>
      <c r="C38" s="6" t="s">
        <v>36</v>
      </c>
      <c r="D38" s="17">
        <v>2700</v>
      </c>
      <c r="E38" s="6">
        <v>2585</v>
      </c>
      <c r="F38" s="6">
        <v>1485</v>
      </c>
      <c r="G38" s="6">
        <v>1473</v>
      </c>
      <c r="H38" s="6">
        <v>39.3</v>
      </c>
      <c r="I38" s="6">
        <v>88.5</v>
      </c>
      <c r="J38" s="6">
        <v>44.45</v>
      </c>
      <c r="K38" s="6">
        <v>21</v>
      </c>
      <c r="M38" s="70">
        <f>(N38+N39)/D38</f>
        <v>0.409411111111111</v>
      </c>
      <c r="N38" s="6">
        <f t="shared" si="7"/>
        <v>396.14</v>
      </c>
      <c r="O38" s="6">
        <v>10.6</v>
      </c>
      <c r="P38" s="6">
        <f>12.35+14.1</f>
        <v>26.45</v>
      </c>
      <c r="Q38" s="6">
        <f>74.4+72.89</f>
        <v>147.29</v>
      </c>
      <c r="R38" s="6">
        <f>20.6+9.8</f>
        <v>30.4</v>
      </c>
      <c r="S38" s="6">
        <f>3.7+18.7</f>
        <v>22.4</v>
      </c>
      <c r="T38" s="6">
        <f>26.4+6.8+11.2+18</f>
        <v>62.4</v>
      </c>
      <c r="U38" s="6">
        <v>35.7</v>
      </c>
      <c r="W38" s="6">
        <v>2.9</v>
      </c>
      <c r="X38" s="6">
        <v>4</v>
      </c>
      <c r="Y38" s="6">
        <v>54</v>
      </c>
      <c r="Z38" s="6">
        <v>1</v>
      </c>
      <c r="AA38" s="6">
        <v>1</v>
      </c>
      <c r="AB38" s="6">
        <v>0.4</v>
      </c>
      <c r="AD38" s="6">
        <v>47.67</v>
      </c>
      <c r="AE38" s="6">
        <v>15.42</v>
      </c>
      <c r="AF38" s="6">
        <v>38.27</v>
      </c>
    </row>
    <row r="39" s="6" customFormat="1" customHeight="1" spans="1:28">
      <c r="A39" s="5">
        <v>45020</v>
      </c>
      <c r="D39" s="17"/>
      <c r="H39" s="6">
        <v>118.65</v>
      </c>
      <c r="I39" s="6">
        <v>126</v>
      </c>
      <c r="J39" s="6">
        <v>139</v>
      </c>
      <c r="K39" s="6">
        <v>217.5</v>
      </c>
      <c r="M39" s="70"/>
      <c r="N39" s="6">
        <f t="shared" si="7"/>
        <v>709.27</v>
      </c>
      <c r="O39" s="6">
        <v>77.86</v>
      </c>
      <c r="P39" s="6">
        <v>174.26</v>
      </c>
      <c r="Q39" s="6">
        <f>67.2+72.89</f>
        <v>140.09</v>
      </c>
      <c r="R39" s="6">
        <f>23.6+21.25</f>
        <v>44.85</v>
      </c>
      <c r="S39" s="6">
        <f>3.5+18.7</f>
        <v>22.2</v>
      </c>
      <c r="T39" s="6">
        <f>16.4+410.96-250</f>
        <v>177.36</v>
      </c>
      <c r="U39" s="6">
        <f>15.5+3.5</f>
        <v>19</v>
      </c>
      <c r="V39" s="6">
        <v>0.6</v>
      </c>
      <c r="W39" s="6">
        <v>2.2</v>
      </c>
      <c r="Y39" s="6">
        <v>50.85</v>
      </c>
      <c r="Z39" s="6">
        <v>3</v>
      </c>
      <c r="AA39" s="6">
        <v>3</v>
      </c>
      <c r="AB39" s="6">
        <v>0.23</v>
      </c>
    </row>
    <row r="40" s="6" customFormat="1" customHeight="1" spans="1:32">
      <c r="A40" s="5">
        <v>45023</v>
      </c>
      <c r="B40" s="6">
        <v>4</v>
      </c>
      <c r="C40" s="6" t="s">
        <v>36</v>
      </c>
      <c r="D40" s="17">
        <v>2540</v>
      </c>
      <c r="E40" s="6">
        <v>2380</v>
      </c>
      <c r="F40" s="6">
        <v>1397</v>
      </c>
      <c r="G40" s="6">
        <v>1382</v>
      </c>
      <c r="H40" s="6">
        <v>204.85</v>
      </c>
      <c r="I40" s="6">
        <v>153</v>
      </c>
      <c r="J40" s="6">
        <v>208.6</v>
      </c>
      <c r="K40" s="6">
        <v>301</v>
      </c>
      <c r="M40" s="70">
        <f>N40/D40</f>
        <v>0.397437007874016</v>
      </c>
      <c r="N40" s="6">
        <f t="shared" si="7"/>
        <v>1009.49</v>
      </c>
      <c r="O40" s="6">
        <f>11.6+77.67</f>
        <v>89.27</v>
      </c>
      <c r="P40" s="6">
        <v>174.26</v>
      </c>
      <c r="Q40" s="6">
        <f>57.6+72.89</f>
        <v>130.49</v>
      </c>
      <c r="R40" s="6">
        <f>10.8+21.25</f>
        <v>32.05</v>
      </c>
      <c r="S40" s="6">
        <v>18.7</v>
      </c>
      <c r="T40" s="6">
        <f>35.4+410.96</f>
        <v>446.36</v>
      </c>
      <c r="U40" s="6">
        <v>26.9</v>
      </c>
      <c r="V40" s="6">
        <v>1.2</v>
      </c>
      <c r="W40" s="6">
        <v>1.8</v>
      </c>
      <c r="X40" s="6">
        <v>6.46</v>
      </c>
      <c r="Y40" s="6">
        <f>50+32</f>
        <v>82</v>
      </c>
      <c r="Z40" s="6">
        <v>4</v>
      </c>
      <c r="AA40" s="6">
        <v>4</v>
      </c>
      <c r="AB40" s="6">
        <v>0.3</v>
      </c>
      <c r="AD40" s="6">
        <v>47.63</v>
      </c>
      <c r="AE40" s="6">
        <v>15.42</v>
      </c>
      <c r="AF40" s="6">
        <v>38.24</v>
      </c>
    </row>
    <row r="41" s="6" customFormat="1" customHeight="1" spans="1:32">
      <c r="A41" s="5">
        <v>45026</v>
      </c>
      <c r="B41" s="6">
        <v>4</v>
      </c>
      <c r="C41" s="6" t="s">
        <v>36</v>
      </c>
      <c r="D41" s="17">
        <v>2330</v>
      </c>
      <c r="E41" s="6">
        <v>2210</v>
      </c>
      <c r="F41" s="6">
        <v>1281</v>
      </c>
      <c r="G41" s="6">
        <v>1270</v>
      </c>
      <c r="H41" s="6">
        <v>167</v>
      </c>
      <c r="I41" s="6">
        <v>150</v>
      </c>
      <c r="J41" s="6">
        <v>166</v>
      </c>
      <c r="K41" s="6">
        <v>183.9</v>
      </c>
      <c r="M41" s="70">
        <f>N41/D41</f>
        <v>0.409875536480687</v>
      </c>
      <c r="N41" s="6">
        <f t="shared" si="7"/>
        <v>955.01</v>
      </c>
      <c r="O41" s="6">
        <f>4.3+77.67</f>
        <v>81.97</v>
      </c>
      <c r="P41" s="6">
        <f>18.4+174.27</f>
        <v>192.67</v>
      </c>
      <c r="Q41" s="6">
        <f>45.5+72.91</f>
        <v>118.41</v>
      </c>
      <c r="R41" s="6">
        <v>26</v>
      </c>
      <c r="S41" s="6">
        <v>18.67</v>
      </c>
      <c r="T41" s="6">
        <f>56.9+410.96</f>
        <v>467.86</v>
      </c>
      <c r="U41" s="6">
        <v>15</v>
      </c>
      <c r="V41" s="6">
        <v>1.5</v>
      </c>
      <c r="W41" s="6">
        <v>2.2</v>
      </c>
      <c r="X41" s="6">
        <v>3.64</v>
      </c>
      <c r="Y41" s="6">
        <f>47.09-20</f>
        <v>27.09</v>
      </c>
      <c r="Z41" s="6">
        <v>4</v>
      </c>
      <c r="AA41" s="6">
        <v>4</v>
      </c>
      <c r="AB41" s="6">
        <v>0.5</v>
      </c>
      <c r="AD41" s="6">
        <v>47.63</v>
      </c>
      <c r="AE41" s="6">
        <v>15.42</v>
      </c>
      <c r="AF41" s="6">
        <v>38.24</v>
      </c>
    </row>
    <row r="42" s="57" customFormat="1" customHeight="1" spans="1:33">
      <c r="A42" s="57" t="s">
        <v>38</v>
      </c>
      <c r="B42" s="57">
        <f>SUM(B35:B41)</f>
        <v>20</v>
      </c>
      <c r="D42" s="57">
        <f>SUM(D35:D41)</f>
        <v>13710</v>
      </c>
      <c r="F42" s="57">
        <f>SUM(F35:F41)</f>
        <v>7566.5</v>
      </c>
      <c r="G42" s="57">
        <f>SUM(G35:G41)</f>
        <v>7485</v>
      </c>
      <c r="H42" s="57">
        <f t="shared" ref="H42:K42" si="9">SUM(H35:H41)</f>
        <v>798.53</v>
      </c>
      <c r="I42" s="57">
        <f t="shared" si="9"/>
        <v>891.5</v>
      </c>
      <c r="J42" s="57">
        <f t="shared" si="9"/>
        <v>866.7</v>
      </c>
      <c r="K42" s="57">
        <f t="shared" si="9"/>
        <v>1192.2</v>
      </c>
      <c r="M42" s="75"/>
      <c r="N42" s="57">
        <f>SUM(N35:N41)</f>
        <v>5493.07</v>
      </c>
      <c r="O42" s="57">
        <f t="shared" ref="O42:AB42" si="10">SUM(O35:O41)</f>
        <v>400.44</v>
      </c>
      <c r="P42" s="57">
        <f t="shared" si="10"/>
        <v>996.69</v>
      </c>
      <c r="Q42" s="57">
        <f t="shared" si="10"/>
        <v>798.73</v>
      </c>
      <c r="R42" s="57">
        <f t="shared" si="10"/>
        <v>221.15</v>
      </c>
      <c r="S42" s="57">
        <f t="shared" si="10"/>
        <v>137.7</v>
      </c>
      <c r="T42" s="57">
        <f t="shared" si="10"/>
        <v>2377.22</v>
      </c>
      <c r="U42" s="57">
        <f t="shared" si="10"/>
        <v>116.6</v>
      </c>
      <c r="V42" s="57">
        <f t="shared" si="10"/>
        <v>5.7</v>
      </c>
      <c r="W42" s="57">
        <f t="shared" si="10"/>
        <v>21.7</v>
      </c>
      <c r="X42" s="57">
        <f t="shared" si="10"/>
        <v>28.7</v>
      </c>
      <c r="Y42" s="57">
        <f t="shared" si="10"/>
        <v>388.44</v>
      </c>
      <c r="Z42" s="57">
        <f t="shared" si="10"/>
        <v>20</v>
      </c>
      <c r="AA42" s="57">
        <f t="shared" si="10"/>
        <v>20</v>
      </c>
      <c r="AB42" s="57">
        <f t="shared" si="10"/>
        <v>2.73</v>
      </c>
      <c r="AD42" s="57">
        <f t="shared" ref="AD42:AF42" si="11">SUM(AD35:AD41)</f>
        <v>238.19</v>
      </c>
      <c r="AE42" s="57">
        <f t="shared" si="11"/>
        <v>77.1</v>
      </c>
      <c r="AF42" s="57">
        <f t="shared" si="11"/>
        <v>191.23</v>
      </c>
      <c r="AG42" s="57">
        <f>SUM(AE42:AF42)</f>
        <v>268.33</v>
      </c>
    </row>
    <row r="43" s="57" customFormat="1" customHeight="1" spans="1:33">
      <c r="A43" s="60" t="s">
        <v>39</v>
      </c>
      <c r="M43" s="73"/>
      <c r="N43" s="60">
        <f>N42/D42</f>
        <v>0.400661560904449</v>
      </c>
      <c r="AD43" s="57">
        <f>AD42*10</f>
        <v>2381.9</v>
      </c>
      <c r="AG43" s="57">
        <f>AG42*20</f>
        <v>5366.6</v>
      </c>
    </row>
    <row r="44" s="1" customFormat="1" customHeight="1" spans="1:32">
      <c r="A44" s="5">
        <v>45036</v>
      </c>
      <c r="B44" s="6">
        <v>4</v>
      </c>
      <c r="C44" s="6" t="s">
        <v>36</v>
      </c>
      <c r="D44" s="17">
        <v>2510</v>
      </c>
      <c r="E44" s="6" t="s">
        <v>41</v>
      </c>
      <c r="F44" s="6">
        <v>1380.5</v>
      </c>
      <c r="G44" s="6">
        <v>1369</v>
      </c>
      <c r="H44" s="6">
        <v>82</v>
      </c>
      <c r="I44" s="6">
        <v>127.55</v>
      </c>
      <c r="J44" s="6">
        <v>276</v>
      </c>
      <c r="K44" s="6">
        <v>160</v>
      </c>
      <c r="L44" s="6"/>
      <c r="M44" s="70">
        <f>N44/D44</f>
        <v>0.333282868525896</v>
      </c>
      <c r="N44" s="6">
        <f t="shared" ref="N44:N53" si="12">SUM(O44:Y44)</f>
        <v>836.54</v>
      </c>
      <c r="O44" s="6">
        <f>6.21+44.31</f>
        <v>50.52</v>
      </c>
      <c r="P44" s="6">
        <f>1.2+37.8+22.32+53</f>
        <v>114.32</v>
      </c>
      <c r="Q44" s="6">
        <f>24.2+63.65</f>
        <v>87.85</v>
      </c>
      <c r="R44" s="6">
        <f>11+7.7</f>
        <v>18.7</v>
      </c>
      <c r="S44" s="6">
        <f>12.84+19.55</f>
        <v>32.39</v>
      </c>
      <c r="T44" s="6">
        <f>30+74.19+284.1</f>
        <v>388.29</v>
      </c>
      <c r="U44" s="6"/>
      <c r="V44" s="6">
        <v>0.7</v>
      </c>
      <c r="W44" s="6">
        <v>10.6</v>
      </c>
      <c r="X44" s="6">
        <v>1.79</v>
      </c>
      <c r="Y44" s="6">
        <f>14.38+24+93</f>
        <v>131.38</v>
      </c>
      <c r="Z44" s="6">
        <v>6.02</v>
      </c>
      <c r="AA44" s="6">
        <v>6.9</v>
      </c>
      <c r="AB44" s="6">
        <f>0.17+0.4</f>
        <v>0.57</v>
      </c>
      <c r="AC44" s="6"/>
      <c r="AD44" s="6">
        <v>25.9</v>
      </c>
      <c r="AE44" s="6">
        <v>8.47</v>
      </c>
      <c r="AF44" s="6">
        <v>35.5</v>
      </c>
    </row>
    <row r="45" s="1" customFormat="1" customHeight="1" spans="1:32">
      <c r="A45" s="5">
        <v>45037</v>
      </c>
      <c r="B45" s="6">
        <v>5</v>
      </c>
      <c r="C45" s="6" t="s">
        <v>36</v>
      </c>
      <c r="D45" s="17">
        <v>3240</v>
      </c>
      <c r="E45" s="6" t="s">
        <v>41</v>
      </c>
      <c r="F45" s="6">
        <v>1782</v>
      </c>
      <c r="G45" s="6">
        <v>1771</v>
      </c>
      <c r="H45" s="6">
        <v>81.15</v>
      </c>
      <c r="I45" s="6">
        <v>130</v>
      </c>
      <c r="J45" s="6">
        <v>200</v>
      </c>
      <c r="K45" s="6">
        <v>167</v>
      </c>
      <c r="L45" s="6"/>
      <c r="M45" s="70">
        <f>N45/D45</f>
        <v>0.409793209876543</v>
      </c>
      <c r="N45" s="6">
        <f t="shared" si="12"/>
        <v>1327.73</v>
      </c>
      <c r="O45" s="6">
        <f>33.9+38.5+36.86</f>
        <v>109.26</v>
      </c>
      <c r="P45" s="6">
        <f>3.7+31.4+31.9+84.14</f>
        <v>151.14</v>
      </c>
      <c r="Q45" s="6">
        <f>56.5+13.45+61.7+39.9</f>
        <v>171.55</v>
      </c>
      <c r="R45" s="6">
        <f>3.9+7.5</f>
        <v>11.4</v>
      </c>
      <c r="S45" s="6">
        <f>7.9+10+13.82</f>
        <v>31.72</v>
      </c>
      <c r="T45" s="6">
        <f>19.8+262.3+193+276.5</f>
        <v>751.6</v>
      </c>
      <c r="U45" s="6">
        <v>23.5</v>
      </c>
      <c r="V45" s="6">
        <v>1.2</v>
      </c>
      <c r="W45" s="6">
        <v>4.4</v>
      </c>
      <c r="X45" s="6">
        <v>2</v>
      </c>
      <c r="Y45" s="6">
        <v>69.96</v>
      </c>
      <c r="Z45" s="6">
        <v>6.04</v>
      </c>
      <c r="AA45" s="6">
        <v>6.9</v>
      </c>
      <c r="AB45" s="6"/>
      <c r="AC45" s="6"/>
      <c r="AD45" s="6">
        <v>25.92</v>
      </c>
      <c r="AE45" s="6">
        <v>8.48</v>
      </c>
      <c r="AF45" s="6">
        <v>35.6</v>
      </c>
    </row>
    <row r="46" customHeight="1" spans="1:32">
      <c r="A46" s="18">
        <v>45041</v>
      </c>
      <c r="B46" s="13">
        <v>5</v>
      </c>
      <c r="C46" s="13" t="s">
        <v>36</v>
      </c>
      <c r="D46" s="19">
        <v>3310</v>
      </c>
      <c r="E46" s="13" t="s">
        <v>41</v>
      </c>
      <c r="F46" s="13">
        <v>1820.5</v>
      </c>
      <c r="G46" s="13">
        <v>1809</v>
      </c>
      <c r="H46" s="13">
        <v>83</v>
      </c>
      <c r="I46" s="13">
        <v>125.1</v>
      </c>
      <c r="J46" s="13">
        <v>180.95</v>
      </c>
      <c r="K46" s="13">
        <v>165</v>
      </c>
      <c r="L46" s="6"/>
      <c r="M46" s="68">
        <f>(N46+N47)/D46</f>
        <v>0.420395770392749</v>
      </c>
      <c r="N46" s="6">
        <f t="shared" si="12"/>
        <v>611.88</v>
      </c>
      <c r="O46" s="6">
        <v>61.9</v>
      </c>
      <c r="P46" s="6">
        <v>164.9</v>
      </c>
      <c r="Q46" s="6">
        <v>44.7</v>
      </c>
      <c r="R46" s="6"/>
      <c r="S46" s="6">
        <f>3.4+7.8</f>
        <v>11.2</v>
      </c>
      <c r="T46" s="6">
        <f>208.5+45.78</f>
        <v>254.28</v>
      </c>
      <c r="U46" s="6">
        <v>36</v>
      </c>
      <c r="V46" s="6"/>
      <c r="W46" s="6">
        <v>1.5</v>
      </c>
      <c r="X46" s="6">
        <v>1.5</v>
      </c>
      <c r="Y46" s="6">
        <v>35.9</v>
      </c>
      <c r="Z46" s="13">
        <v>6.03</v>
      </c>
      <c r="AA46" s="13">
        <v>6.9</v>
      </c>
      <c r="AB46" s="6">
        <v>0.4</v>
      </c>
      <c r="AC46" s="6"/>
      <c r="AD46" s="13">
        <v>26</v>
      </c>
      <c r="AE46" s="6">
        <v>9.4</v>
      </c>
      <c r="AF46" s="13">
        <v>35.5</v>
      </c>
    </row>
    <row r="47" customHeight="1" spans="1:32">
      <c r="A47" s="20"/>
      <c r="B47" s="14"/>
      <c r="C47" s="14"/>
      <c r="D47" s="21"/>
      <c r="E47" s="14"/>
      <c r="F47" s="14"/>
      <c r="G47" s="14"/>
      <c r="H47" s="14"/>
      <c r="I47" s="14"/>
      <c r="J47" s="14"/>
      <c r="K47" s="14"/>
      <c r="L47" s="6"/>
      <c r="M47" s="69"/>
      <c r="N47" s="6">
        <f t="shared" si="12"/>
        <v>779.63</v>
      </c>
      <c r="O47" s="6">
        <f>44.59+18.45</f>
        <v>63.04</v>
      </c>
      <c r="P47" s="6">
        <f>11.5+131+43.05</f>
        <v>185.55</v>
      </c>
      <c r="Q47" s="6">
        <f>21.5+63.6</f>
        <v>85.1</v>
      </c>
      <c r="R47" s="6">
        <f>3.9+1.5</f>
        <v>5.4</v>
      </c>
      <c r="S47" s="6">
        <v>10.9</v>
      </c>
      <c r="T47" s="6">
        <f>7.5+5.6+79+309.88-18</f>
        <v>383.98</v>
      </c>
      <c r="U47" s="6">
        <v>32</v>
      </c>
      <c r="V47" s="6"/>
      <c r="W47" s="6">
        <v>3.9</v>
      </c>
      <c r="X47" s="6">
        <f>1.76+8</f>
        <v>9.76</v>
      </c>
      <c r="Y47" s="6"/>
      <c r="Z47" s="14"/>
      <c r="AA47" s="14"/>
      <c r="AB47" s="6">
        <v>0.5</v>
      </c>
      <c r="AC47" s="6"/>
      <c r="AD47" s="14"/>
      <c r="AE47" s="6">
        <v>9.41</v>
      </c>
      <c r="AF47" s="14"/>
    </row>
    <row r="48" s="1" customFormat="1" customHeight="1" spans="1:32">
      <c r="A48" s="5">
        <v>45043</v>
      </c>
      <c r="B48" s="6">
        <v>4</v>
      </c>
      <c r="C48" s="6" t="s">
        <v>43</v>
      </c>
      <c r="D48" s="6">
        <v>2430</v>
      </c>
      <c r="E48" s="6" t="s">
        <v>41</v>
      </c>
      <c r="F48" s="6">
        <v>1337</v>
      </c>
      <c r="G48" s="6">
        <v>1326</v>
      </c>
      <c r="H48" s="6">
        <v>120</v>
      </c>
      <c r="I48" s="6">
        <v>187</v>
      </c>
      <c r="J48" s="6">
        <v>110</v>
      </c>
      <c r="K48" s="6">
        <v>150</v>
      </c>
      <c r="L48" s="6"/>
      <c r="M48" s="70">
        <f>N48/D48</f>
        <v>0.360041152263374</v>
      </c>
      <c r="N48" s="6">
        <f t="shared" si="12"/>
        <v>874.9</v>
      </c>
      <c r="O48" s="6">
        <f>25.6+44.95</f>
        <v>70.55</v>
      </c>
      <c r="P48" s="6">
        <f>32.2+98</f>
        <v>130.2</v>
      </c>
      <c r="Q48" s="6">
        <f>41.5+79.55</f>
        <v>121.05</v>
      </c>
      <c r="R48" s="6">
        <v>16.7</v>
      </c>
      <c r="S48" s="6">
        <f>7.1+12.5</f>
        <v>19.6</v>
      </c>
      <c r="T48" s="6">
        <f>196.2+282.8</f>
        <v>479</v>
      </c>
      <c r="U48" s="6"/>
      <c r="V48" s="6"/>
      <c r="W48" s="6">
        <v>1.8</v>
      </c>
      <c r="X48" s="6"/>
      <c r="Y48" s="6">
        <v>36</v>
      </c>
      <c r="Z48" s="6"/>
      <c r="AA48" s="6">
        <v>6.9</v>
      </c>
      <c r="AB48" s="6">
        <v>0.52</v>
      </c>
      <c r="AC48" s="6"/>
      <c r="AD48" s="6">
        <v>25.88</v>
      </c>
      <c r="AE48" s="6">
        <v>18.2</v>
      </c>
      <c r="AF48" s="6">
        <v>33.5</v>
      </c>
    </row>
    <row r="49" s="1" customFormat="1" customHeight="1" spans="1:32">
      <c r="A49" s="5">
        <v>45046</v>
      </c>
      <c r="B49" s="6">
        <v>5</v>
      </c>
      <c r="C49" s="6" t="s">
        <v>43</v>
      </c>
      <c r="D49" s="6">
        <v>2670</v>
      </c>
      <c r="E49" s="6">
        <v>2535</v>
      </c>
      <c r="F49" s="6">
        <v>1468.5</v>
      </c>
      <c r="G49" s="6">
        <v>1457</v>
      </c>
      <c r="H49" s="6">
        <v>88.25</v>
      </c>
      <c r="I49" s="6">
        <v>411</v>
      </c>
      <c r="J49" s="6">
        <v>112.2</v>
      </c>
      <c r="K49" s="6">
        <v>150</v>
      </c>
      <c r="L49" s="6"/>
      <c r="M49" s="70">
        <f t="shared" ref="M49:M53" si="13">N49/E49</f>
        <v>0.324386587771203</v>
      </c>
      <c r="N49" s="6">
        <f t="shared" si="12"/>
        <v>822.32</v>
      </c>
      <c r="O49" s="6">
        <f>25.05+35.05</f>
        <v>60.1</v>
      </c>
      <c r="P49" s="6">
        <f>30+33.55+44.03</f>
        <v>107.58</v>
      </c>
      <c r="Q49" s="6">
        <f>43.4+58.51</f>
        <v>101.91</v>
      </c>
      <c r="R49" s="6">
        <f>1.56+7.5</f>
        <v>9.06</v>
      </c>
      <c r="S49" s="6">
        <f>9.81+13.63</f>
        <v>23.44</v>
      </c>
      <c r="T49" s="6">
        <f>104.2+236.8</f>
        <v>341</v>
      </c>
      <c r="U49" s="6"/>
      <c r="V49" s="6"/>
      <c r="W49" s="6">
        <v>7.23</v>
      </c>
      <c r="X49" s="6">
        <v>2</v>
      </c>
      <c r="Y49" s="6">
        <v>170</v>
      </c>
      <c r="Z49" s="6"/>
      <c r="AA49" s="6">
        <v>6.9</v>
      </c>
      <c r="AB49" s="6">
        <v>1.93</v>
      </c>
      <c r="AC49" s="6"/>
      <c r="AD49" s="6">
        <v>34</v>
      </c>
      <c r="AE49" s="6">
        <v>31.65</v>
      </c>
      <c r="AF49" s="6">
        <v>36</v>
      </c>
    </row>
    <row r="50" s="1" customFormat="1" customHeight="1" spans="1:32">
      <c r="A50" s="5">
        <v>45047</v>
      </c>
      <c r="B50" s="6">
        <v>5</v>
      </c>
      <c r="C50" s="6" t="s">
        <v>43</v>
      </c>
      <c r="D50" s="6">
        <v>2680</v>
      </c>
      <c r="E50" s="6">
        <v>2407</v>
      </c>
      <c r="F50" s="6">
        <v>1474</v>
      </c>
      <c r="G50" s="6">
        <v>1465</v>
      </c>
      <c r="H50" s="6">
        <v>108.4</v>
      </c>
      <c r="I50" s="6">
        <v>324</v>
      </c>
      <c r="J50" s="6">
        <v>111</v>
      </c>
      <c r="K50" s="6">
        <v>156.5</v>
      </c>
      <c r="L50" s="6"/>
      <c r="M50" s="70">
        <f t="shared" si="13"/>
        <v>0.308338180307437</v>
      </c>
      <c r="N50" s="6">
        <f t="shared" si="12"/>
        <v>742.17</v>
      </c>
      <c r="O50" s="6">
        <f>2.4+33.8</f>
        <v>36.2</v>
      </c>
      <c r="P50" s="6">
        <f>73.4+104.5+7.6+58.8-65-66</f>
        <v>113.3</v>
      </c>
      <c r="Q50" s="6">
        <f>9.6+59.87+30+18.6</f>
        <v>118.07</v>
      </c>
      <c r="R50" s="6">
        <f>8.4+7.8</f>
        <v>16.2</v>
      </c>
      <c r="S50" s="6">
        <v>14.42</v>
      </c>
      <c r="T50" s="6">
        <f>2+2.7+339.9-79</f>
        <v>265.6</v>
      </c>
      <c r="U50" s="6">
        <f>80.8+74.5</f>
        <v>155.3</v>
      </c>
      <c r="V50" s="6">
        <v>6.4</v>
      </c>
      <c r="W50" s="6"/>
      <c r="X50" s="6">
        <f>1.18+8</f>
        <v>9.18</v>
      </c>
      <c r="Y50" s="6">
        <f>2.5+5</f>
        <v>7.5</v>
      </c>
      <c r="Z50" s="6"/>
      <c r="AA50" s="6">
        <v>6.9</v>
      </c>
      <c r="AB50" s="6">
        <v>1</v>
      </c>
      <c r="AC50" s="6"/>
      <c r="AD50" s="6">
        <v>35</v>
      </c>
      <c r="AE50" s="6">
        <v>9</v>
      </c>
      <c r="AF50" s="6">
        <v>36</v>
      </c>
    </row>
    <row r="51" s="1" customFormat="1" customHeight="1" spans="1:32">
      <c r="A51" s="18">
        <v>45048</v>
      </c>
      <c r="B51" s="13">
        <v>3</v>
      </c>
      <c r="C51" s="13" t="s">
        <v>43</v>
      </c>
      <c r="D51" s="13">
        <v>1770</v>
      </c>
      <c r="E51" s="13">
        <v>1688</v>
      </c>
      <c r="F51" s="13">
        <v>973.5</v>
      </c>
      <c r="G51" s="13">
        <v>964.5</v>
      </c>
      <c r="H51" s="13">
        <v>105</v>
      </c>
      <c r="I51" s="13">
        <v>143</v>
      </c>
      <c r="J51" s="13">
        <v>91.2</v>
      </c>
      <c r="K51" s="13">
        <v>120</v>
      </c>
      <c r="L51" s="6"/>
      <c r="M51" s="68">
        <f>(N51+N52)/D51</f>
        <v>0.347497175141243</v>
      </c>
      <c r="N51" s="6">
        <f t="shared" si="12"/>
        <v>423.91</v>
      </c>
      <c r="O51" s="6">
        <v>31.55</v>
      </c>
      <c r="P51" s="6">
        <v>40.8</v>
      </c>
      <c r="Q51" s="6">
        <v>62.65</v>
      </c>
      <c r="R51" s="6">
        <v>4.5</v>
      </c>
      <c r="S51" s="6">
        <v>10.8</v>
      </c>
      <c r="T51" s="6">
        <v>273.61</v>
      </c>
      <c r="U51" s="6"/>
      <c r="V51" s="6"/>
      <c r="W51" s="6"/>
      <c r="X51" s="6"/>
      <c r="Y51" s="6"/>
      <c r="Z51" s="6"/>
      <c r="AA51" s="13">
        <v>6.9</v>
      </c>
      <c r="AB51" s="13"/>
      <c r="AC51" s="13"/>
      <c r="AD51" s="13">
        <v>35.4</v>
      </c>
      <c r="AE51" s="13">
        <v>6.2</v>
      </c>
      <c r="AF51" s="13">
        <v>37</v>
      </c>
    </row>
    <row r="52" s="1" customFormat="1" customHeight="1" spans="1:32">
      <c r="A52" s="20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6"/>
      <c r="M52" s="69"/>
      <c r="N52" s="6">
        <f t="shared" si="12"/>
        <v>191.16</v>
      </c>
      <c r="O52" s="6">
        <f>35.85+17.23-26.54</f>
        <v>26.54</v>
      </c>
      <c r="P52" s="6">
        <f>45.67+75+15.8-68.23</f>
        <v>68.24</v>
      </c>
      <c r="Q52" s="6">
        <f>62.37+14.05-38.21</f>
        <v>38.21</v>
      </c>
      <c r="R52" s="6"/>
      <c r="S52" s="6">
        <f>12.55-6.27</f>
        <v>6.28</v>
      </c>
      <c r="T52" s="6">
        <v>51.89</v>
      </c>
      <c r="U52" s="6"/>
      <c r="V52" s="6"/>
      <c r="W52" s="6"/>
      <c r="X52" s="6"/>
      <c r="Y52" s="6"/>
      <c r="Z52" s="6"/>
      <c r="AA52" s="14"/>
      <c r="AB52" s="14"/>
      <c r="AC52" s="14"/>
      <c r="AD52" s="14"/>
      <c r="AE52" s="14"/>
      <c r="AF52" s="14"/>
    </row>
    <row r="53" customHeight="1" spans="1:32">
      <c r="A53" s="18">
        <v>45058</v>
      </c>
      <c r="B53" s="13">
        <v>4</v>
      </c>
      <c r="C53" s="13" t="s">
        <v>44</v>
      </c>
      <c r="D53" s="13">
        <v>3270</v>
      </c>
      <c r="E53" s="13">
        <v>3185</v>
      </c>
      <c r="F53" s="13">
        <v>1799</v>
      </c>
      <c r="G53" s="13">
        <v>1787</v>
      </c>
      <c r="H53" s="13">
        <v>112</v>
      </c>
      <c r="I53" s="13">
        <v>135</v>
      </c>
      <c r="J53" s="13">
        <v>195</v>
      </c>
      <c r="K53" s="13">
        <v>138</v>
      </c>
      <c r="L53" s="13"/>
      <c r="M53" s="68">
        <f t="shared" si="13"/>
        <v>0.391522762951334</v>
      </c>
      <c r="N53" s="13">
        <f t="shared" si="12"/>
        <v>1247</v>
      </c>
      <c r="O53" s="76">
        <f>71.75+26.54</f>
        <v>98.29</v>
      </c>
      <c r="P53" s="13">
        <f>24.8+66.2+34.65+34+104.1+68.23</f>
        <v>331.98</v>
      </c>
      <c r="Q53" s="13">
        <f>11.75+114.4+38.21</f>
        <v>164.36</v>
      </c>
      <c r="R53" s="13">
        <v>9.9</v>
      </c>
      <c r="S53" s="13">
        <f>21.87+6.27</f>
        <v>28.14</v>
      </c>
      <c r="T53" s="13">
        <f>14.85+402.8+103.78+51.9</f>
        <v>573.33</v>
      </c>
      <c r="U53" s="13">
        <v>5</v>
      </c>
      <c r="V53" s="13"/>
      <c r="W53" s="13"/>
      <c r="X53" s="13"/>
      <c r="Y53" s="13">
        <v>36</v>
      </c>
      <c r="Z53" s="13">
        <v>6.02</v>
      </c>
      <c r="AA53" s="13">
        <v>6.95</v>
      </c>
      <c r="AB53" s="13">
        <v>0.86</v>
      </c>
      <c r="AC53" s="13"/>
      <c r="AD53" s="13">
        <v>43.7</v>
      </c>
      <c r="AE53" s="13">
        <v>5.3</v>
      </c>
      <c r="AF53" s="13">
        <v>39.65</v>
      </c>
    </row>
    <row r="54" s="57" customFormat="1" customHeight="1" spans="1:32">
      <c r="A54" s="59" t="s">
        <v>38</v>
      </c>
      <c r="B54" s="57">
        <f>SUM(B44:B53)</f>
        <v>35</v>
      </c>
      <c r="D54" s="57">
        <f>SUM(D44:D53)</f>
        <v>21880</v>
      </c>
      <c r="F54" s="57">
        <f t="shared" ref="F54:K54" si="14">SUM(F44:F53)</f>
        <v>12035</v>
      </c>
      <c r="G54" s="57">
        <f t="shared" si="14"/>
        <v>11948.5</v>
      </c>
      <c r="H54" s="57">
        <f t="shared" si="14"/>
        <v>779.8</v>
      </c>
      <c r="I54" s="57">
        <f t="shared" si="14"/>
        <v>1582.65</v>
      </c>
      <c r="J54" s="57">
        <f t="shared" si="14"/>
        <v>1276.35</v>
      </c>
      <c r="K54" s="57">
        <f t="shared" si="14"/>
        <v>1206.5</v>
      </c>
      <c r="M54" s="73">
        <f>SUM(M44:M53)</f>
        <v>2.89525770722978</v>
      </c>
      <c r="N54" s="60">
        <f>SUM(N44:N53)</f>
        <v>7857.24</v>
      </c>
      <c r="O54" s="57">
        <f>SUM(O44:O53)</f>
        <v>607.95</v>
      </c>
      <c r="P54" s="57">
        <f t="shared" ref="P54:AF54" si="15">SUM(P44:P53)</f>
        <v>1408.01</v>
      </c>
      <c r="Q54" s="57">
        <f t="shared" si="15"/>
        <v>995.45</v>
      </c>
      <c r="R54" s="57">
        <f t="shared" si="15"/>
        <v>91.86</v>
      </c>
      <c r="S54" s="57">
        <f t="shared" si="15"/>
        <v>188.89</v>
      </c>
      <c r="T54" s="57">
        <f t="shared" si="15"/>
        <v>3762.58</v>
      </c>
      <c r="U54" s="57">
        <f t="shared" si="15"/>
        <v>251.8</v>
      </c>
      <c r="V54" s="57">
        <f t="shared" si="15"/>
        <v>8.3</v>
      </c>
      <c r="W54" s="57">
        <f t="shared" si="15"/>
        <v>29.43</v>
      </c>
      <c r="X54" s="57">
        <f t="shared" si="15"/>
        <v>26.23</v>
      </c>
      <c r="Y54" s="57">
        <f t="shared" si="15"/>
        <v>486.74</v>
      </c>
      <c r="Z54" s="57">
        <f t="shared" si="15"/>
        <v>24.11</v>
      </c>
      <c r="AA54" s="57">
        <f t="shared" si="15"/>
        <v>55.25</v>
      </c>
      <c r="AB54" s="57">
        <f t="shared" si="15"/>
        <v>5.78</v>
      </c>
      <c r="AC54" s="57">
        <f t="shared" si="15"/>
        <v>0</v>
      </c>
      <c r="AD54" s="57">
        <f t="shared" si="15"/>
        <v>251.8</v>
      </c>
      <c r="AE54" s="57">
        <f t="shared" si="15"/>
        <v>106.11</v>
      </c>
      <c r="AF54" s="57">
        <f t="shared" si="15"/>
        <v>288.75</v>
      </c>
    </row>
    <row r="55" s="57" customFormat="1" customHeight="1" spans="1:14">
      <c r="A55" s="60" t="s">
        <v>39</v>
      </c>
      <c r="M55" s="73" t="s">
        <v>39</v>
      </c>
      <c r="N55" s="60">
        <f>N54/D54</f>
        <v>0.359106032906764</v>
      </c>
    </row>
    <row r="56" s="6" customFormat="1" customHeight="1" spans="1:14">
      <c r="A56" s="5"/>
      <c r="D56" s="6" t="s">
        <v>45</v>
      </c>
      <c r="E56" s="6" t="s">
        <v>46</v>
      </c>
      <c r="M56" s="77" t="s">
        <v>47</v>
      </c>
      <c r="N56" s="78" t="s">
        <v>48</v>
      </c>
    </row>
    <row r="57" s="6" customFormat="1" customHeight="1" spans="1:14">
      <c r="A57" s="5"/>
      <c r="D57" s="6">
        <f>D44+D45+D46+D53</f>
        <v>12330</v>
      </c>
      <c r="E57" s="6">
        <f>D48+D49+D50+D51</f>
        <v>9550</v>
      </c>
      <c r="M57" s="77">
        <f>N48+N49+N50+N51+N52</f>
        <v>3054.46</v>
      </c>
      <c r="N57" s="78">
        <f>N44+N45+N46+N47+N53</f>
        <v>4802.78</v>
      </c>
    </row>
    <row r="58" s="6" customFormat="1" customHeight="1" spans="1:14">
      <c r="A58" s="5"/>
      <c r="M58" s="77">
        <f>M57/E57</f>
        <v>0.319838743455497</v>
      </c>
      <c r="N58" s="78">
        <f>N57/D57</f>
        <v>0.389519870235199</v>
      </c>
    </row>
    <row r="59" customHeight="1" spans="1:14">
      <c r="A59" s="62"/>
      <c r="E59" s="1" t="s">
        <v>49</v>
      </c>
      <c r="F59" s="1">
        <f>F3+F5+F7+F8+F10+F12+F13+F15+F17+F20+F22+F23+F25+F27+F28+F30+F35+F36+F38+F40+F41+F44+F45+F46+F53</f>
        <v>33657.5</v>
      </c>
      <c r="G59" s="63">
        <f>F59/(B3+B5+B7+B8+B10+B11+B12+B13+B14+B15+B16+B17+B20+B21+B22+B23+B24+B25+B26+B27+B28+B29+B35+B38+B40+B41+B44+B45+B46+B53)</f>
        <v>378.174157303371</v>
      </c>
      <c r="H59" s="64">
        <f>G59/G60</f>
        <v>0.593729052120645</v>
      </c>
      <c r="M59" s="79"/>
      <c r="N59" s="80"/>
    </row>
    <row r="60" customHeight="1" spans="1:14">
      <c r="A60" s="62"/>
      <c r="E60" s="1" t="s">
        <v>50</v>
      </c>
      <c r="F60" s="1">
        <f>D3+D5+D7+D8+D10+D12+D13+D15+D17+D20+D22+D23+D25+D27+D28+D30+D35+D38+D40+D41+D44+D45+D46+D53</f>
        <v>60510</v>
      </c>
      <c r="G60" s="63">
        <f>F60/(B3+B5+B7+B8+B10+B11+B12+B13+B14+B15+B16+B17+B20+B21+B22+B23+B24+B25+B26+B27+B28+B29+B30+B35+B36+B38+B40+B41+B44+B45+B46+B53)</f>
        <v>636.947368421053</v>
      </c>
      <c r="H60" s="64"/>
      <c r="M60" s="79"/>
      <c r="N60" s="80">
        <f>N38+N39+N40+N41+N44+N45+N46+N47</f>
        <v>6625.69</v>
      </c>
    </row>
    <row r="63" customHeight="1" spans="1:9">
      <c r="A63" s="65" t="s">
        <v>51</v>
      </c>
      <c r="B63" s="65"/>
      <c r="C63" s="65"/>
      <c r="D63" s="65"/>
      <c r="E63" s="65"/>
      <c r="F63" s="65"/>
      <c r="G63" s="65"/>
      <c r="H63" s="65"/>
      <c r="I63" s="81">
        <f>(F42-G42)/F42</f>
        <v>0.0107711623604044</v>
      </c>
    </row>
    <row r="64" customHeight="1" spans="2:2">
      <c r="B64" s="65" t="s">
        <v>52</v>
      </c>
    </row>
    <row r="65" customHeight="1" spans="1:9">
      <c r="A65" s="65" t="s">
        <v>53</v>
      </c>
      <c r="B65" s="65"/>
      <c r="C65" s="65"/>
      <c r="D65" s="65"/>
      <c r="E65" s="65"/>
      <c r="F65" s="65"/>
      <c r="G65" s="65"/>
      <c r="H65" s="65"/>
      <c r="I65" s="81"/>
    </row>
  </sheetData>
  <autoFilter xmlns:etc="http://www.wps.cn/officeDocument/2017/etCustomData" ref="A1:AC65" etc:filterBottomFollowUsedRange="0">
    <extLst/>
  </autoFilter>
  <mergeCells count="164">
    <mergeCell ref="A63:H63"/>
    <mergeCell ref="A65:H65"/>
    <mergeCell ref="A1:A2"/>
    <mergeCell ref="A46:A47"/>
    <mergeCell ref="A51:A52"/>
    <mergeCell ref="B1:B2"/>
    <mergeCell ref="B3:B4"/>
    <mergeCell ref="B5:B6"/>
    <mergeCell ref="B17:B19"/>
    <mergeCell ref="B38:B39"/>
    <mergeCell ref="B46:B47"/>
    <mergeCell ref="B51:B52"/>
    <mergeCell ref="C1:C2"/>
    <mergeCell ref="C3:C4"/>
    <mergeCell ref="C5:C6"/>
    <mergeCell ref="C13:C14"/>
    <mergeCell ref="C15:C16"/>
    <mergeCell ref="C17:C19"/>
    <mergeCell ref="C20:C21"/>
    <mergeCell ref="C23:C24"/>
    <mergeCell ref="C25:C26"/>
    <mergeCell ref="C28:C29"/>
    <mergeCell ref="C38:C39"/>
    <mergeCell ref="C46:C47"/>
    <mergeCell ref="C51:C52"/>
    <mergeCell ref="D1:D2"/>
    <mergeCell ref="D3:D4"/>
    <mergeCell ref="D5:D6"/>
    <mergeCell ref="D10:D11"/>
    <mergeCell ref="D13:D14"/>
    <mergeCell ref="D15:D16"/>
    <mergeCell ref="D17:D19"/>
    <mergeCell ref="D20:D21"/>
    <mergeCell ref="D23:D24"/>
    <mergeCell ref="D25:D26"/>
    <mergeCell ref="D28:D29"/>
    <mergeCell ref="D38:D39"/>
    <mergeCell ref="D46:D47"/>
    <mergeCell ref="D51:D52"/>
    <mergeCell ref="E1:E2"/>
    <mergeCell ref="E3:E4"/>
    <mergeCell ref="E5:E6"/>
    <mergeCell ref="E10:E11"/>
    <mergeCell ref="E13:E14"/>
    <mergeCell ref="E15:E16"/>
    <mergeCell ref="E17:E19"/>
    <mergeCell ref="E20:E21"/>
    <mergeCell ref="E23:E24"/>
    <mergeCell ref="E25:E26"/>
    <mergeCell ref="E28:E29"/>
    <mergeCell ref="E38:E39"/>
    <mergeCell ref="E46:E47"/>
    <mergeCell ref="E51:E52"/>
    <mergeCell ref="F3:F4"/>
    <mergeCell ref="F5:F6"/>
    <mergeCell ref="F10:F11"/>
    <mergeCell ref="F13:F14"/>
    <mergeCell ref="F15:F16"/>
    <mergeCell ref="F17:F19"/>
    <mergeCell ref="F20:F21"/>
    <mergeCell ref="F23:F24"/>
    <mergeCell ref="F25:F26"/>
    <mergeCell ref="F28:F29"/>
    <mergeCell ref="F38:F39"/>
    <mergeCell ref="F46:F47"/>
    <mergeCell ref="F51:F52"/>
    <mergeCell ref="G3:G4"/>
    <mergeCell ref="G5:G6"/>
    <mergeCell ref="G10:G11"/>
    <mergeCell ref="G13:G14"/>
    <mergeCell ref="G15:G16"/>
    <mergeCell ref="G17:G19"/>
    <mergeCell ref="G20:G21"/>
    <mergeCell ref="G23:G24"/>
    <mergeCell ref="G25:G26"/>
    <mergeCell ref="G28:G29"/>
    <mergeCell ref="G38:G39"/>
    <mergeCell ref="G46:G47"/>
    <mergeCell ref="G51:G52"/>
    <mergeCell ref="H3:H4"/>
    <mergeCell ref="H5:H6"/>
    <mergeCell ref="H10:H11"/>
    <mergeCell ref="H13:H14"/>
    <mergeCell ref="H15:H16"/>
    <mergeCell ref="H18:H19"/>
    <mergeCell ref="H20:H21"/>
    <mergeCell ref="H23:H24"/>
    <mergeCell ref="H25:H26"/>
    <mergeCell ref="H28:H29"/>
    <mergeCell ref="H46:H47"/>
    <mergeCell ref="H51:H52"/>
    <mergeCell ref="H59:H60"/>
    <mergeCell ref="I3:I4"/>
    <mergeCell ref="I5:I6"/>
    <mergeCell ref="I10:I11"/>
    <mergeCell ref="I13:I14"/>
    <mergeCell ref="I15:I16"/>
    <mergeCell ref="I18:I19"/>
    <mergeCell ref="I20:I21"/>
    <mergeCell ref="I23:I24"/>
    <mergeCell ref="I25:I26"/>
    <mergeCell ref="I28:I29"/>
    <mergeCell ref="I46:I47"/>
    <mergeCell ref="I51:I52"/>
    <mergeCell ref="J3:J4"/>
    <mergeCell ref="J5:J6"/>
    <mergeCell ref="J10:J11"/>
    <mergeCell ref="J13:J14"/>
    <mergeCell ref="J15:J16"/>
    <mergeCell ref="J18:J19"/>
    <mergeCell ref="J20:J21"/>
    <mergeCell ref="J23:J24"/>
    <mergeCell ref="J25:J26"/>
    <mergeCell ref="J28:J29"/>
    <mergeCell ref="J46:J47"/>
    <mergeCell ref="J51:J52"/>
    <mergeCell ref="K3:K4"/>
    <mergeCell ref="K5:K6"/>
    <mergeCell ref="K10:K11"/>
    <mergeCell ref="K13:K14"/>
    <mergeCell ref="K15:K16"/>
    <mergeCell ref="K18:K19"/>
    <mergeCell ref="K20:K21"/>
    <mergeCell ref="K23:K24"/>
    <mergeCell ref="K25:K26"/>
    <mergeCell ref="K28:K29"/>
    <mergeCell ref="K46:K47"/>
    <mergeCell ref="K51:K52"/>
    <mergeCell ref="L3:L4"/>
    <mergeCell ref="L5:L6"/>
    <mergeCell ref="M3:M4"/>
    <mergeCell ref="M5:M6"/>
    <mergeCell ref="M10:M11"/>
    <mergeCell ref="M13:M14"/>
    <mergeCell ref="M15:M16"/>
    <mergeCell ref="M17:M19"/>
    <mergeCell ref="M20:M21"/>
    <mergeCell ref="M23:M24"/>
    <mergeCell ref="M25:M26"/>
    <mergeCell ref="M28:M29"/>
    <mergeCell ref="M38:M39"/>
    <mergeCell ref="M46:M47"/>
    <mergeCell ref="M51:M52"/>
    <mergeCell ref="N1:N2"/>
    <mergeCell ref="Z3:Z4"/>
    <mergeCell ref="Z5:Z6"/>
    <mergeCell ref="Z46:Z47"/>
    <mergeCell ref="AA3:AA4"/>
    <mergeCell ref="AA5:AA6"/>
    <mergeCell ref="AA46:AA47"/>
    <mergeCell ref="AA51:AA52"/>
    <mergeCell ref="AB5:AB6"/>
    <mergeCell ref="AB51:AB52"/>
    <mergeCell ref="AC3:AC4"/>
    <mergeCell ref="AC5:AC6"/>
    <mergeCell ref="AC51:AC52"/>
    <mergeCell ref="AD38:AD39"/>
    <mergeCell ref="AD46:AD47"/>
    <mergeCell ref="AD51:AD52"/>
    <mergeCell ref="AE38:AE39"/>
    <mergeCell ref="AE51:AE52"/>
    <mergeCell ref="AF38:AF39"/>
    <mergeCell ref="AF46:AF47"/>
    <mergeCell ref="AF51:AF52"/>
  </mergeCells>
  <pageMargins left="0.156944444444444" right="0.118055555555556" top="1" bottom="1" header="0.5" footer="0.5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8"/>
  <sheetViews>
    <sheetView workbookViewId="0">
      <pane xSplit="6" ySplit="2" topLeftCell="G3" activePane="bottomRight" state="frozen"/>
      <selection/>
      <selection pane="topRight"/>
      <selection pane="bottomLeft"/>
      <selection pane="bottomRight" activeCell="T50" sqref="T50"/>
    </sheetView>
  </sheetViews>
  <sheetFormatPr defaultColWidth="9" defaultRowHeight="14.25"/>
  <cols>
    <col min="2" max="2" width="4.625" customWidth="1"/>
    <col min="3" max="3" width="7.375" customWidth="1"/>
    <col min="4" max="4" width="10.375" customWidth="1"/>
    <col min="5" max="5" width="12" customWidth="1"/>
    <col min="6" max="6" width="11.375" customWidth="1"/>
    <col min="7" max="7" width="12.625"/>
    <col min="8" max="8" width="11.5"/>
    <col min="9" max="11" width="12.625"/>
    <col min="12" max="12" width="11.125" style="12"/>
    <col min="15" max="15" width="18.25" customWidth="1"/>
    <col min="16" max="17" width="8.375" customWidth="1"/>
    <col min="18" max="18" width="8.875" customWidth="1"/>
    <col min="19" max="19" width="8.375" customWidth="1"/>
    <col min="20" max="20" width="7.375" customWidth="1"/>
    <col min="21" max="21" width="9" customWidth="1"/>
    <col min="22" max="24" width="12.625"/>
    <col min="26" max="26" width="7.375" customWidth="1"/>
  </cols>
  <sheetData>
    <row r="1" s="1" customFormat="1" ht="21" customHeight="1" spans="1:3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9" t="s">
        <v>54</v>
      </c>
      <c r="M1" s="2" t="s">
        <v>11</v>
      </c>
      <c r="N1" s="7" t="s">
        <v>12</v>
      </c>
      <c r="O1" s="2" t="s">
        <v>13</v>
      </c>
      <c r="P1" s="6" t="s">
        <v>14</v>
      </c>
      <c r="Q1" s="6" t="s">
        <v>15</v>
      </c>
      <c r="R1" s="2" t="s">
        <v>55</v>
      </c>
      <c r="S1" s="6" t="s">
        <v>17</v>
      </c>
      <c r="T1" s="6" t="s">
        <v>18</v>
      </c>
      <c r="U1" s="2" t="s">
        <v>56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11" t="s">
        <v>28</v>
      </c>
      <c r="AE1" s="6" t="s">
        <v>29</v>
      </c>
      <c r="AF1" s="6" t="s">
        <v>30</v>
      </c>
      <c r="AG1" s="6" t="s">
        <v>31</v>
      </c>
    </row>
    <row r="2" s="1" customFormat="1" ht="21" customHeight="1" spans="1:33">
      <c r="A2" s="2"/>
      <c r="B2" s="2"/>
      <c r="C2" s="3"/>
      <c r="D2" s="3"/>
      <c r="E2" s="2"/>
      <c r="F2" s="4" t="s">
        <v>32</v>
      </c>
      <c r="G2" s="4" t="s">
        <v>32</v>
      </c>
      <c r="H2" s="4" t="s">
        <v>32</v>
      </c>
      <c r="I2" s="4" t="s">
        <v>32</v>
      </c>
      <c r="J2" s="4" t="s">
        <v>32</v>
      </c>
      <c r="K2" s="4" t="s">
        <v>32</v>
      </c>
      <c r="L2" s="30" t="s">
        <v>57</v>
      </c>
      <c r="M2" s="4" t="s">
        <v>32</v>
      </c>
      <c r="N2" s="8" t="s">
        <v>33</v>
      </c>
      <c r="O2" s="2"/>
      <c r="P2" s="6" t="s">
        <v>34</v>
      </c>
      <c r="Q2" s="6" t="s">
        <v>34</v>
      </c>
      <c r="R2" s="6" t="s">
        <v>34</v>
      </c>
      <c r="S2" s="6" t="s">
        <v>34</v>
      </c>
      <c r="T2" s="6" t="s">
        <v>34</v>
      </c>
      <c r="U2" s="6" t="s">
        <v>34</v>
      </c>
      <c r="V2" s="6" t="s">
        <v>34</v>
      </c>
      <c r="W2" s="6" t="s">
        <v>34</v>
      </c>
      <c r="X2" s="6" t="s">
        <v>34</v>
      </c>
      <c r="Y2" s="6" t="s">
        <v>34</v>
      </c>
      <c r="Z2" s="6" t="s">
        <v>34</v>
      </c>
      <c r="AA2" s="6" t="s">
        <v>35</v>
      </c>
      <c r="AB2" s="6" t="s">
        <v>35</v>
      </c>
      <c r="AC2" s="6" t="s">
        <v>34</v>
      </c>
      <c r="AD2" s="11" t="s">
        <v>35</v>
      </c>
      <c r="AE2" s="6">
        <v>10</v>
      </c>
      <c r="AF2" s="6">
        <v>20</v>
      </c>
      <c r="AG2" s="6">
        <v>20</v>
      </c>
    </row>
    <row r="3" s="1" customFormat="1" ht="21" customHeight="1" spans="1:33">
      <c r="A3" s="5">
        <v>45286</v>
      </c>
      <c r="B3" s="13">
        <v>4</v>
      </c>
      <c r="C3" s="13" t="s">
        <v>36</v>
      </c>
      <c r="D3" s="13">
        <v>2540</v>
      </c>
      <c r="E3" s="13">
        <v>2287</v>
      </c>
      <c r="F3" s="13">
        <v>1159</v>
      </c>
      <c r="G3" s="13">
        <v>1148</v>
      </c>
      <c r="H3" s="13">
        <v>180.2</v>
      </c>
      <c r="I3" s="13">
        <v>157.4</v>
      </c>
      <c r="J3" s="13">
        <v>189.27</v>
      </c>
      <c r="K3" s="13">
        <v>218</v>
      </c>
      <c r="L3" s="31">
        <f>K3/B3</f>
        <v>54.5</v>
      </c>
      <c r="M3" s="13"/>
      <c r="N3" s="32">
        <f>(O3+O4)/E3</f>
        <v>0.408132925229558</v>
      </c>
      <c r="O3" s="6">
        <f t="shared" ref="O3:O39" si="0">SUM(P3:Z3)</f>
        <v>574.64</v>
      </c>
      <c r="P3" s="6">
        <v>13</v>
      </c>
      <c r="Q3" s="6">
        <v>97.8</v>
      </c>
      <c r="R3" s="6">
        <f>22+5.1+13.4+8.4+86-100+12.44</f>
        <v>47.34</v>
      </c>
      <c r="S3" s="6">
        <f>5.8+7.7+6+6.3+12.4</f>
        <v>38.2</v>
      </c>
      <c r="T3" s="6">
        <f>6.6+1.9</f>
        <v>8.5</v>
      </c>
      <c r="U3" s="6">
        <f>26.6+20.8+28+7.4+41+11.7+15+3.2+0.4+19.3+33.5+12.5+7.5+9.4+16.2+1.5+2.3</f>
        <v>256.3</v>
      </c>
      <c r="V3" s="6">
        <f>26.6+22.5</f>
        <v>49.1</v>
      </c>
      <c r="W3" s="6">
        <v>3.4</v>
      </c>
      <c r="X3" s="6">
        <f>1.8+0.8</f>
        <v>2.6</v>
      </c>
      <c r="Y3" s="6">
        <v>9.5</v>
      </c>
      <c r="Z3" s="6">
        <f>4.1+2.8+5+5+32</f>
        <v>48.9</v>
      </c>
      <c r="AA3" s="13">
        <v>4</v>
      </c>
      <c r="AB3" s="13">
        <v>4</v>
      </c>
      <c r="AC3" s="6">
        <v>0.45</v>
      </c>
      <c r="AD3" s="50">
        <v>4</v>
      </c>
      <c r="AE3" s="6"/>
      <c r="AF3" s="6"/>
      <c r="AG3" s="6"/>
    </row>
    <row r="4" s="1" customFormat="1" ht="21" customHeight="1" spans="1:33">
      <c r="A4" s="5">
        <v>45290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33"/>
      <c r="M4" s="14"/>
      <c r="N4" s="34"/>
      <c r="O4" s="6">
        <f t="shared" si="0"/>
        <v>358.76</v>
      </c>
      <c r="P4" s="6">
        <v>17.4</v>
      </c>
      <c r="Q4" s="6">
        <f>36.6+57</f>
        <v>93.6</v>
      </c>
      <c r="R4" s="6">
        <f>49.7+86-35</f>
        <v>100.7</v>
      </c>
      <c r="S4" s="6"/>
      <c r="T4" s="6">
        <v>6.5</v>
      </c>
      <c r="U4" s="6">
        <v>99.6</v>
      </c>
      <c r="V4" s="6">
        <v>22.5</v>
      </c>
      <c r="W4" s="6">
        <v>0.5</v>
      </c>
      <c r="X4" s="6">
        <v>0.7</v>
      </c>
      <c r="Y4" s="6">
        <v>1.39</v>
      </c>
      <c r="Z4" s="6">
        <v>15.87</v>
      </c>
      <c r="AA4" s="14"/>
      <c r="AB4" s="14"/>
      <c r="AC4" s="6">
        <v>0.2</v>
      </c>
      <c r="AD4" s="51"/>
      <c r="AE4" s="6"/>
      <c r="AF4" s="6"/>
      <c r="AG4" s="6"/>
    </row>
    <row r="5" s="1" customFormat="1" ht="21" customHeight="1" spans="1:33">
      <c r="A5" s="5">
        <v>44929</v>
      </c>
      <c r="B5" s="13">
        <v>4</v>
      </c>
      <c r="C5" s="13" t="s">
        <v>36</v>
      </c>
      <c r="D5" s="13">
        <v>2450</v>
      </c>
      <c r="E5" s="13">
        <v>2286</v>
      </c>
      <c r="F5" s="13">
        <v>1160</v>
      </c>
      <c r="G5" s="13">
        <v>1149</v>
      </c>
      <c r="H5" s="13">
        <v>180.2</v>
      </c>
      <c r="I5" s="13">
        <v>157.4</v>
      </c>
      <c r="J5" s="13">
        <v>189.27</v>
      </c>
      <c r="K5" s="13">
        <v>218</v>
      </c>
      <c r="L5" s="31">
        <f>K5/B5</f>
        <v>54.5</v>
      </c>
      <c r="M5" s="13"/>
      <c r="N5" s="32">
        <f>(O5+O6)/E5</f>
        <v>0.410463692038495</v>
      </c>
      <c r="O5" s="6">
        <f t="shared" si="0"/>
        <v>434.73</v>
      </c>
      <c r="P5" s="6">
        <v>30</v>
      </c>
      <c r="Q5" s="6">
        <f>15.1+57</f>
        <v>72.1</v>
      </c>
      <c r="R5" s="6">
        <f>3.2+86+35</f>
        <v>124.2</v>
      </c>
      <c r="S5" s="6">
        <v>3.3</v>
      </c>
      <c r="T5" s="6">
        <v>22.63</v>
      </c>
      <c r="U5" s="6">
        <f>5.5+6.1+8.9+5+9.2+11.2+35.2+5.2+9.5+7.2+2.1+12.7+4.8+2.1+0.7+1.5+101.6-80</f>
        <v>148.5</v>
      </c>
      <c r="V5" s="6"/>
      <c r="W5" s="6"/>
      <c r="X5" s="6"/>
      <c r="Y5" s="6"/>
      <c r="Z5" s="6">
        <f>22+12</f>
        <v>34</v>
      </c>
      <c r="AA5" s="13">
        <v>4</v>
      </c>
      <c r="AB5" s="13">
        <v>4</v>
      </c>
      <c r="AC5" s="13">
        <v>0.2</v>
      </c>
      <c r="AD5" s="50">
        <v>4</v>
      </c>
      <c r="AE5" s="6"/>
      <c r="AF5" s="6"/>
      <c r="AG5" s="6"/>
    </row>
    <row r="6" s="1" customFormat="1" ht="21" customHeight="1" spans="1:33">
      <c r="A6" s="5">
        <v>44931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33"/>
      <c r="M6" s="14"/>
      <c r="N6" s="34"/>
      <c r="O6" s="6">
        <f t="shared" si="0"/>
        <v>503.59</v>
      </c>
      <c r="P6" s="6">
        <v>29.1</v>
      </c>
      <c r="Q6" s="6">
        <f>13.7+57</f>
        <v>70.7</v>
      </c>
      <c r="R6" s="6">
        <v>87.99</v>
      </c>
      <c r="S6" s="6">
        <f>18.8+6.1</f>
        <v>24.9</v>
      </c>
      <c r="T6" s="6">
        <v>22.6</v>
      </c>
      <c r="U6" s="6">
        <f>2.2+18.4+12.1+1.2+13.3+4+16.1+8.8+10.9+17.2+9.4+101.6</f>
        <v>215.2</v>
      </c>
      <c r="V6" s="6">
        <v>31.8</v>
      </c>
      <c r="W6" s="6"/>
      <c r="X6" s="6">
        <v>3.3</v>
      </c>
      <c r="Y6" s="6"/>
      <c r="Z6" s="6">
        <v>18</v>
      </c>
      <c r="AA6" s="14"/>
      <c r="AB6" s="14"/>
      <c r="AC6" s="14"/>
      <c r="AD6" s="51"/>
      <c r="AE6" s="6"/>
      <c r="AF6" s="6"/>
      <c r="AG6" s="6"/>
    </row>
    <row r="7" s="1" customFormat="1" ht="21" customHeight="1" spans="1:33">
      <c r="A7" s="5">
        <v>44932</v>
      </c>
      <c r="B7" s="6">
        <v>4</v>
      </c>
      <c r="C7" s="6" t="s">
        <v>36</v>
      </c>
      <c r="D7" s="6">
        <v>2860</v>
      </c>
      <c r="E7" s="6">
        <v>2634</v>
      </c>
      <c r="F7" s="6">
        <v>1530</v>
      </c>
      <c r="G7" s="6">
        <v>1519</v>
      </c>
      <c r="H7" s="6">
        <v>180.2</v>
      </c>
      <c r="I7" s="6">
        <v>157.4</v>
      </c>
      <c r="J7" s="6">
        <v>189.27</v>
      </c>
      <c r="K7" s="6">
        <v>218</v>
      </c>
      <c r="L7" s="35">
        <f>K7/B7</f>
        <v>54.5</v>
      </c>
      <c r="M7" s="6"/>
      <c r="N7" s="9">
        <f t="shared" ref="N7:N11" si="1">O7/E7</f>
        <v>0.400975702353835</v>
      </c>
      <c r="O7" s="6">
        <f t="shared" si="0"/>
        <v>1056.17</v>
      </c>
      <c r="P7" s="6">
        <v>130</v>
      </c>
      <c r="Q7" s="6">
        <f>12.5+14.6+16+57+20+13.7+14</f>
        <v>147.8</v>
      </c>
      <c r="R7" s="6">
        <f>2.9+7.8+6+86</f>
        <v>102.7</v>
      </c>
      <c r="S7" s="6">
        <f>5.7+13+11.8+24.9+7.8</f>
        <v>63.2</v>
      </c>
      <c r="T7" s="6">
        <f>7.1+22.6</f>
        <v>29.7</v>
      </c>
      <c r="U7" s="6">
        <f>9.77+2.8+12+3.3+12.3+12.4+5.1+6.6+9.7+9.25+10.8+6.3+3.6+13.7+14.3+1.5+6.5+12+8.5+101.6+80+111.4</f>
        <v>453.42</v>
      </c>
      <c r="V7" s="6">
        <f>25.5+31.8</f>
        <v>57.3</v>
      </c>
      <c r="W7" s="6">
        <v>3.2</v>
      </c>
      <c r="X7" s="6">
        <v>2.1</v>
      </c>
      <c r="Y7" s="6">
        <v>5.75</v>
      </c>
      <c r="Z7" s="6">
        <f>41+18+2</f>
        <v>61</v>
      </c>
      <c r="AA7" s="6">
        <v>4</v>
      </c>
      <c r="AB7" s="6">
        <v>4</v>
      </c>
      <c r="AC7" s="6">
        <v>0.1</v>
      </c>
      <c r="AD7" s="11">
        <v>4</v>
      </c>
      <c r="AE7" s="6"/>
      <c r="AF7" s="6"/>
      <c r="AG7" s="6"/>
    </row>
    <row r="8" s="1" customFormat="1" ht="21" customHeight="1" spans="1:33">
      <c r="A8" s="5">
        <v>44934</v>
      </c>
      <c r="B8" s="6">
        <v>4</v>
      </c>
      <c r="C8" s="6" t="s">
        <v>36</v>
      </c>
      <c r="D8" s="6">
        <v>2390</v>
      </c>
      <c r="E8" s="6">
        <v>2182</v>
      </c>
      <c r="F8" s="6">
        <v>1055</v>
      </c>
      <c r="G8" s="6">
        <v>1040</v>
      </c>
      <c r="H8" s="6">
        <v>180.2</v>
      </c>
      <c r="I8" s="6">
        <v>157.4</v>
      </c>
      <c r="J8" s="6">
        <v>189.29</v>
      </c>
      <c r="K8" s="6">
        <v>218.3</v>
      </c>
      <c r="L8" s="36">
        <f>K8/B8</f>
        <v>54.575</v>
      </c>
      <c r="M8" s="6"/>
      <c r="N8" s="9">
        <f t="shared" si="1"/>
        <v>0.400164986251146</v>
      </c>
      <c r="O8" s="6">
        <f t="shared" si="0"/>
        <v>873.16</v>
      </c>
      <c r="P8" s="6">
        <v>95.42</v>
      </c>
      <c r="Q8" s="6">
        <f>5.5+57.22+14.5</f>
        <v>77.22</v>
      </c>
      <c r="R8" s="6">
        <f>86+100</f>
        <v>186</v>
      </c>
      <c r="S8" s="6">
        <v>67.9</v>
      </c>
      <c r="T8" s="6">
        <v>22.6</v>
      </c>
      <c r="U8" s="6">
        <f>10.5+1.6+24.9+2.9+82.1+101.61+74.6+148.33-110</f>
        <v>336.54</v>
      </c>
      <c r="V8" s="6">
        <f>5.28+48.4</f>
        <v>53.68</v>
      </c>
      <c r="W8" s="6">
        <v>1.8</v>
      </c>
      <c r="X8" s="6"/>
      <c r="Y8" s="6">
        <v>15</v>
      </c>
      <c r="Z8" s="6">
        <v>17</v>
      </c>
      <c r="AA8" s="6">
        <v>4</v>
      </c>
      <c r="AB8" s="6">
        <v>4</v>
      </c>
      <c r="AC8" s="6">
        <v>0.1</v>
      </c>
      <c r="AD8" s="11">
        <v>4</v>
      </c>
      <c r="AE8" s="6"/>
      <c r="AF8" s="6"/>
      <c r="AG8" s="6"/>
    </row>
    <row r="9" s="1" customFormat="1" ht="21" customHeight="1" spans="1:33">
      <c r="A9" s="5">
        <v>44957</v>
      </c>
      <c r="B9" s="6">
        <v>2</v>
      </c>
      <c r="C9" s="6" t="s">
        <v>36</v>
      </c>
      <c r="D9" s="13">
        <v>2190</v>
      </c>
      <c r="E9" s="13">
        <v>2015</v>
      </c>
      <c r="F9" s="13">
        <v>1204.5</v>
      </c>
      <c r="G9" s="13">
        <v>1194.5</v>
      </c>
      <c r="H9" s="13">
        <v>150</v>
      </c>
      <c r="I9" s="13">
        <v>139.7</v>
      </c>
      <c r="J9" s="13">
        <v>161.6</v>
      </c>
      <c r="K9" s="13">
        <v>156.6</v>
      </c>
      <c r="L9" s="31">
        <f>K9/(B9+B10)</f>
        <v>39.15</v>
      </c>
      <c r="M9" s="6"/>
      <c r="N9" s="32">
        <f t="shared" ref="N9:N14" si="2">(O9+O10)/E9</f>
        <v>0.441821339950372</v>
      </c>
      <c r="O9" s="6">
        <f t="shared" si="0"/>
        <v>518.9</v>
      </c>
      <c r="P9" s="6">
        <f>3.5+1.77+15.6+14.6</f>
        <v>35.47</v>
      </c>
      <c r="Q9" s="6">
        <f>12.7+2.5+13+19.5+6.12+5.16+15.45</f>
        <v>74.43</v>
      </c>
      <c r="R9" s="6">
        <f>10.8+16.7+7.4+2.75+10.44+4.46+20.55+20.45</f>
        <v>93.55</v>
      </c>
      <c r="S9" s="6">
        <v>28.2</v>
      </c>
      <c r="T9" s="6">
        <f>4.2+2.3+5.87</f>
        <v>12.37</v>
      </c>
      <c r="U9" s="6">
        <f>75+14.7+14.1+26.9+21+18.9+7.4+3.28+20.9+10</f>
        <v>212.18</v>
      </c>
      <c r="V9" s="6">
        <v>21.8</v>
      </c>
      <c r="W9" s="6">
        <f>0.3+0.7+1.3</f>
        <v>2.3</v>
      </c>
      <c r="X9" s="6">
        <v>1.4</v>
      </c>
      <c r="Y9" s="6"/>
      <c r="Z9" s="6">
        <f>2.1+2+13.2-1+20.9</f>
        <v>37.2</v>
      </c>
      <c r="AA9" s="6">
        <v>2</v>
      </c>
      <c r="AB9" s="6">
        <v>2</v>
      </c>
      <c r="AC9" s="6">
        <v>0.35</v>
      </c>
      <c r="AD9" s="11">
        <v>2</v>
      </c>
      <c r="AE9" s="6"/>
      <c r="AF9" s="6"/>
      <c r="AG9" s="6"/>
    </row>
    <row r="10" s="1" customFormat="1" ht="21" customHeight="1" spans="1:33">
      <c r="A10" s="5">
        <v>44959</v>
      </c>
      <c r="B10" s="6">
        <v>2</v>
      </c>
      <c r="C10" s="6" t="s">
        <v>36</v>
      </c>
      <c r="D10" s="14"/>
      <c r="E10" s="14"/>
      <c r="F10" s="14"/>
      <c r="G10" s="14"/>
      <c r="H10" s="14"/>
      <c r="I10" s="14"/>
      <c r="J10" s="14"/>
      <c r="K10" s="14"/>
      <c r="L10" s="33"/>
      <c r="M10" s="6"/>
      <c r="N10" s="34"/>
      <c r="O10" s="6">
        <f t="shared" si="0"/>
        <v>371.37</v>
      </c>
      <c r="P10" s="6">
        <f>12.4+5.9+11.05+0.82</f>
        <v>30.17</v>
      </c>
      <c r="Q10" s="6">
        <f>17.9+12+10.35+2.5+5.3</f>
        <v>48.05</v>
      </c>
      <c r="R10" s="6">
        <f>5.4+8.4+18.25+15.2+5.8+8.39</f>
        <v>61.44</v>
      </c>
      <c r="S10" s="6">
        <v>19.8</v>
      </c>
      <c r="T10" s="6">
        <f>5.47+3.49</f>
        <v>8.96</v>
      </c>
      <c r="U10" s="6">
        <f>56.2+44.3+16.15+5+14.7+3.2+1.76</f>
        <v>141.31</v>
      </c>
      <c r="V10" s="6">
        <v>24.4</v>
      </c>
      <c r="W10" s="6">
        <v>2.14</v>
      </c>
      <c r="X10" s="6">
        <v>1.3</v>
      </c>
      <c r="Y10" s="6"/>
      <c r="Z10" s="6">
        <v>33.8</v>
      </c>
      <c r="AA10" s="6">
        <v>2</v>
      </c>
      <c r="AB10" s="6">
        <v>2</v>
      </c>
      <c r="AC10" s="6">
        <v>0.24</v>
      </c>
      <c r="AD10" s="11">
        <v>2</v>
      </c>
      <c r="AE10" s="6"/>
      <c r="AF10" s="6"/>
      <c r="AG10" s="6"/>
    </row>
    <row r="11" s="1" customFormat="1" ht="21" customHeight="1" spans="1:33">
      <c r="A11" s="5">
        <v>44963</v>
      </c>
      <c r="B11" s="6">
        <v>2</v>
      </c>
      <c r="C11" s="6" t="s">
        <v>36</v>
      </c>
      <c r="D11" s="6">
        <v>1380</v>
      </c>
      <c r="E11" s="6">
        <v>1295</v>
      </c>
      <c r="F11" s="6">
        <v>759</v>
      </c>
      <c r="G11" s="6">
        <v>748</v>
      </c>
      <c r="H11" s="6">
        <v>87.5</v>
      </c>
      <c r="I11" s="6">
        <v>62</v>
      </c>
      <c r="J11" s="6">
        <v>92</v>
      </c>
      <c r="K11" s="6">
        <v>83.5</v>
      </c>
      <c r="L11" s="35">
        <f>K11/B11</f>
        <v>41.75</v>
      </c>
      <c r="M11" s="6"/>
      <c r="N11" s="9">
        <f t="shared" si="1"/>
        <v>0.417328185328185</v>
      </c>
      <c r="O11" s="6">
        <f t="shared" si="0"/>
        <v>540.44</v>
      </c>
      <c r="P11" s="6">
        <f>2.7+4.34+3.35+15+15.6+0.4</f>
        <v>41.39</v>
      </c>
      <c r="Q11" s="6">
        <f>13+7.32+8.99+17.45+16.8</f>
        <v>63.56</v>
      </c>
      <c r="R11" s="6">
        <f>6.9+23.8+6.5+8.2+7.75+21.2+21.55</f>
        <v>95.9</v>
      </c>
      <c r="S11" s="6">
        <f>17+11.3</f>
        <v>28.3</v>
      </c>
      <c r="T11" s="6">
        <f>1+5.81+7.87</f>
        <v>14.68</v>
      </c>
      <c r="U11" s="6">
        <f>50+27+11.7+7.1+15.9+32.4+21+5.1+7.2+3.07+3.65+2.72+3.61+21.55+22</f>
        <v>234</v>
      </c>
      <c r="V11" s="6">
        <f>17+6.2+3.2</f>
        <v>26.4</v>
      </c>
      <c r="W11" s="6">
        <v>2.25</v>
      </c>
      <c r="X11" s="6">
        <v>1.6</v>
      </c>
      <c r="Y11" s="6"/>
      <c r="Z11" s="6">
        <f>0.96-0.7+15.6+16.5</f>
        <v>32.36</v>
      </c>
      <c r="AA11" s="6">
        <v>2</v>
      </c>
      <c r="AB11" s="6">
        <v>2</v>
      </c>
      <c r="AC11" s="6">
        <v>0.3</v>
      </c>
      <c r="AD11" s="11">
        <v>2</v>
      </c>
      <c r="AE11" s="6"/>
      <c r="AF11" s="6"/>
      <c r="AG11" s="6"/>
    </row>
    <row r="12" s="1" customFormat="1" ht="21" customHeight="1" spans="1:33">
      <c r="A12" s="5">
        <v>44964</v>
      </c>
      <c r="B12" s="6">
        <v>2</v>
      </c>
      <c r="C12" s="13" t="s">
        <v>36</v>
      </c>
      <c r="D12" s="13">
        <v>2520</v>
      </c>
      <c r="E12" s="13">
        <v>2457</v>
      </c>
      <c r="F12" s="13">
        <v>1386</v>
      </c>
      <c r="G12" s="13">
        <v>1375</v>
      </c>
      <c r="H12" s="13">
        <v>168.3</v>
      </c>
      <c r="I12" s="13">
        <v>115.7</v>
      </c>
      <c r="J12" s="13">
        <v>166.8</v>
      </c>
      <c r="K12" s="13">
        <v>137.6</v>
      </c>
      <c r="L12" s="31">
        <f>K12/(B12+B13)</f>
        <v>34.4</v>
      </c>
      <c r="M12" s="6"/>
      <c r="N12" s="32">
        <f t="shared" si="2"/>
        <v>0.461790801790802</v>
      </c>
      <c r="O12" s="6">
        <f t="shared" si="0"/>
        <v>552.11</v>
      </c>
      <c r="P12" s="6">
        <f>6+3.34+14.5+14.7</f>
        <v>38.54</v>
      </c>
      <c r="Q12" s="6">
        <f>32+9.35+6.65+25.1+15.45</f>
        <v>88.55</v>
      </c>
      <c r="R12" s="6">
        <f>40.9+10.4+26.2+21.6</f>
        <v>99.1</v>
      </c>
      <c r="S12" s="6">
        <f>28.9+19</f>
        <v>47.9</v>
      </c>
      <c r="T12" s="6">
        <f>7+7.18</f>
        <v>14.18</v>
      </c>
      <c r="U12" s="6">
        <f>63.8+7.5+5.2+40+50+3+3.35+3.14+20.5+14.85</f>
        <v>211.34</v>
      </c>
      <c r="V12" s="6">
        <f>25.5+10</f>
        <v>35.5</v>
      </c>
      <c r="W12" s="6">
        <v>2</v>
      </c>
      <c r="X12" s="6"/>
      <c r="Y12" s="6"/>
      <c r="Z12" s="6">
        <v>15</v>
      </c>
      <c r="AA12" s="6">
        <v>2</v>
      </c>
      <c r="AB12" s="6">
        <v>2</v>
      </c>
      <c r="AC12" s="6">
        <v>2</v>
      </c>
      <c r="AD12" s="11">
        <v>2</v>
      </c>
      <c r="AE12" s="6"/>
      <c r="AF12" s="6"/>
      <c r="AG12" s="6"/>
    </row>
    <row r="13" s="1" customFormat="1" ht="21" customHeight="1" spans="1:33">
      <c r="A13" s="5">
        <v>44965</v>
      </c>
      <c r="B13" s="6">
        <v>2</v>
      </c>
      <c r="C13" s="14"/>
      <c r="D13" s="14"/>
      <c r="E13" s="14"/>
      <c r="F13" s="14"/>
      <c r="G13" s="14"/>
      <c r="H13" s="14"/>
      <c r="I13" s="14"/>
      <c r="J13" s="14"/>
      <c r="K13" s="14"/>
      <c r="L13" s="33"/>
      <c r="M13" s="6"/>
      <c r="N13" s="34"/>
      <c r="O13" s="6">
        <f t="shared" si="0"/>
        <v>582.51</v>
      </c>
      <c r="P13" s="6">
        <f>2.5+1.5+4.51+13.5+12.8+5.72</f>
        <v>40.53</v>
      </c>
      <c r="Q13" s="6">
        <f>29+4.49+15.4+12.5</f>
        <v>61.39</v>
      </c>
      <c r="R13" s="6">
        <f>13+9+11.9+11.9+19+10.8+55.2+15.2+5+4.76+17.4+15.5</f>
        <v>188.66</v>
      </c>
      <c r="S13" s="6">
        <v>16</v>
      </c>
      <c r="T13" s="6">
        <f>4.08+6.15</f>
        <v>10.23</v>
      </c>
      <c r="U13" s="6">
        <f>55.5+68+18.4+3.62+3.46+16.1+16.05</f>
        <v>181.13</v>
      </c>
      <c r="V13" s="6">
        <v>26.5</v>
      </c>
      <c r="W13" s="6">
        <v>2.6</v>
      </c>
      <c r="X13" s="6">
        <f>2.7+0.32</f>
        <v>3.02</v>
      </c>
      <c r="Y13" s="6"/>
      <c r="Z13" s="6">
        <f>46+1.5-0.45+5.4</f>
        <v>52.45</v>
      </c>
      <c r="AA13" s="6">
        <v>2</v>
      </c>
      <c r="AB13" s="6">
        <v>2</v>
      </c>
      <c r="AC13" s="6">
        <v>0.6</v>
      </c>
      <c r="AD13" s="11">
        <v>2</v>
      </c>
      <c r="AE13" s="6"/>
      <c r="AF13" s="6"/>
      <c r="AG13" s="6"/>
    </row>
    <row r="14" s="1" customFormat="1" ht="21" customHeight="1" spans="1:33">
      <c r="A14" s="5">
        <v>44966</v>
      </c>
      <c r="B14" s="6">
        <v>2</v>
      </c>
      <c r="C14" s="13" t="s">
        <v>36</v>
      </c>
      <c r="D14" s="13">
        <v>2670</v>
      </c>
      <c r="E14" s="13">
        <v>2570</v>
      </c>
      <c r="F14" s="13">
        <v>1468.5</v>
      </c>
      <c r="G14" s="13">
        <v>1457.3</v>
      </c>
      <c r="H14" s="13">
        <v>172.8</v>
      </c>
      <c r="I14" s="13">
        <v>112.4</v>
      </c>
      <c r="J14" s="13">
        <v>164.9</v>
      </c>
      <c r="K14" s="13">
        <v>254.6</v>
      </c>
      <c r="L14" s="31">
        <f>K14/(B14+B15)</f>
        <v>63.65</v>
      </c>
      <c r="M14" s="6"/>
      <c r="N14" s="32">
        <f t="shared" si="2"/>
        <v>0.435311284046693</v>
      </c>
      <c r="O14" s="6">
        <f t="shared" si="0"/>
        <v>505.96</v>
      </c>
      <c r="P14" s="6">
        <f>4.1+13.85+15.1</f>
        <v>33.05</v>
      </c>
      <c r="Q14" s="6">
        <f>7.37+7.56+14.1+23.75</f>
        <v>52.78</v>
      </c>
      <c r="R14" s="6">
        <f>9.2+7.4+13.9+4.6+5.51+6.59+15.55+22.65</f>
        <v>85.4</v>
      </c>
      <c r="S14" s="6">
        <v>16.6</v>
      </c>
      <c r="T14" s="6">
        <f>8.01+7.79</f>
        <v>15.8</v>
      </c>
      <c r="U14" s="6">
        <f>55.6+13+44.2+1.6+2.9+3.9+15.25+21.4+100</f>
        <v>257.85</v>
      </c>
      <c r="V14" s="6">
        <v>18</v>
      </c>
      <c r="W14" s="6">
        <v>0.73</v>
      </c>
      <c r="X14" s="6">
        <v>0.98</v>
      </c>
      <c r="Y14" s="6"/>
      <c r="Z14" s="6">
        <v>24.77</v>
      </c>
      <c r="AA14" s="6">
        <v>2</v>
      </c>
      <c r="AB14" s="6">
        <v>2</v>
      </c>
      <c r="AC14" s="6">
        <v>0.16</v>
      </c>
      <c r="AD14" s="11">
        <v>2</v>
      </c>
      <c r="AE14" s="6"/>
      <c r="AF14" s="6"/>
      <c r="AG14" s="6"/>
    </row>
    <row r="15" s="1" customFormat="1" ht="21" customHeight="1" spans="1:33">
      <c r="A15" s="5">
        <v>44970</v>
      </c>
      <c r="B15" s="6">
        <v>2</v>
      </c>
      <c r="C15" s="14"/>
      <c r="D15" s="14"/>
      <c r="E15" s="14"/>
      <c r="F15" s="14"/>
      <c r="G15" s="14"/>
      <c r="H15" s="14"/>
      <c r="I15" s="14"/>
      <c r="J15" s="14"/>
      <c r="K15" s="14"/>
      <c r="L15" s="33"/>
      <c r="M15" s="6"/>
      <c r="N15" s="34"/>
      <c r="O15" s="6">
        <f t="shared" si="0"/>
        <v>612.79</v>
      </c>
      <c r="P15" s="6">
        <f>12.55+0.3+11.8+0.3+12.25+5+4.34</f>
        <v>46.54</v>
      </c>
      <c r="Q15" s="6">
        <f>5.5+6.12+6.09+14.3+11.95+12</f>
        <v>55.96</v>
      </c>
      <c r="R15" s="6">
        <f>7.3+7.4+23+6.3+9.6+6.7+5.92+5.52+4.91+17.75+17.7+16.15+1.65</f>
        <v>129.9</v>
      </c>
      <c r="S15" s="6">
        <v>28.3</v>
      </c>
      <c r="T15" s="6">
        <f>8.12+3.69+6.35</f>
        <v>18.16</v>
      </c>
      <c r="U15" s="6">
        <f>55.6+19.9+13.9+8.5+3.9+2+3.2+3.9+15.95+14.9+13.95+100</f>
        <v>255.7</v>
      </c>
      <c r="V15" s="6">
        <v>27</v>
      </c>
      <c r="W15" s="6"/>
      <c r="X15" s="6"/>
      <c r="Y15" s="6"/>
      <c r="Z15" s="6">
        <f>1.23+50</f>
        <v>51.23</v>
      </c>
      <c r="AA15" s="6">
        <v>2</v>
      </c>
      <c r="AB15" s="6">
        <v>2</v>
      </c>
      <c r="AC15" s="6"/>
      <c r="AD15" s="11">
        <v>2</v>
      </c>
      <c r="AE15" s="6"/>
      <c r="AF15" s="6"/>
      <c r="AG15" s="6"/>
    </row>
    <row r="16" s="1" customFormat="1" ht="21" customHeight="1" spans="1:33">
      <c r="A16" s="5">
        <v>44971</v>
      </c>
      <c r="B16" s="13">
        <v>4</v>
      </c>
      <c r="C16" s="13" t="s">
        <v>36</v>
      </c>
      <c r="D16" s="13">
        <v>2810</v>
      </c>
      <c r="E16" s="13">
        <v>2773</v>
      </c>
      <c r="F16" s="13">
        <v>1545.5</v>
      </c>
      <c r="G16" s="13">
        <v>1535</v>
      </c>
      <c r="H16" s="6">
        <v>47</v>
      </c>
      <c r="I16" s="6">
        <v>23.9</v>
      </c>
      <c r="J16" s="6">
        <v>40.6</v>
      </c>
      <c r="K16" s="6">
        <v>24.7</v>
      </c>
      <c r="L16" s="37">
        <f>(K16+K17)/B16</f>
        <v>55.375</v>
      </c>
      <c r="M16" s="6"/>
      <c r="N16" s="32">
        <f>(O16+O17+O18)/E16</f>
        <v>0.470234403173458</v>
      </c>
      <c r="O16" s="6">
        <f t="shared" si="0"/>
        <v>319.2</v>
      </c>
      <c r="P16" s="6">
        <f>5.6+8</f>
        <v>13.6</v>
      </c>
      <c r="Q16" s="6">
        <f>12.8+30.4+29.5-10</f>
        <v>62.7</v>
      </c>
      <c r="R16" s="6">
        <f>13.6+3.4+20+14.9+16.6+12.1+7.3</f>
        <v>87.9</v>
      </c>
      <c r="S16" s="6">
        <f>8.2+22.9</f>
        <v>31.1</v>
      </c>
      <c r="T16" s="6">
        <v>3.5</v>
      </c>
      <c r="U16" s="6">
        <v>58.9</v>
      </c>
      <c r="V16" s="6">
        <f>25.4+14.5</f>
        <v>39.9</v>
      </c>
      <c r="W16" s="6">
        <v>5</v>
      </c>
      <c r="X16" s="6">
        <v>3.4</v>
      </c>
      <c r="Y16" s="6">
        <v>6.1</v>
      </c>
      <c r="Z16" s="6">
        <v>7.1</v>
      </c>
      <c r="AA16" s="6">
        <v>1</v>
      </c>
      <c r="AB16" s="6">
        <v>1</v>
      </c>
      <c r="AC16" s="6">
        <v>0.6</v>
      </c>
      <c r="AD16" s="11">
        <v>1</v>
      </c>
      <c r="AE16" s="6"/>
      <c r="AF16" s="6"/>
      <c r="AG16" s="6"/>
    </row>
    <row r="17" s="1" customFormat="1" ht="21" customHeight="1" spans="1:33">
      <c r="A17" s="5">
        <v>44974</v>
      </c>
      <c r="B17" s="15"/>
      <c r="C17" s="15"/>
      <c r="D17" s="15"/>
      <c r="E17" s="15"/>
      <c r="F17" s="15"/>
      <c r="G17" s="15"/>
      <c r="H17" s="13">
        <v>137.5</v>
      </c>
      <c r="I17" s="13">
        <v>94.6</v>
      </c>
      <c r="J17" s="13">
        <v>139.7</v>
      </c>
      <c r="K17" s="13">
        <v>196.8</v>
      </c>
      <c r="L17" s="38"/>
      <c r="M17" s="6"/>
      <c r="N17" s="39"/>
      <c r="O17" s="6">
        <f t="shared" si="0"/>
        <v>508.52</v>
      </c>
      <c r="P17" s="6">
        <f>3.3+6.52+7.87+13+1.3+12.35</f>
        <v>44.34</v>
      </c>
      <c r="Q17" s="6">
        <f>17.7+6.97+11.5+9.8+8.6</f>
        <v>54.57</v>
      </c>
      <c r="R17" s="6">
        <f>4.7+13.2+11.2+25.81+8+3.65+18.05</f>
        <v>84.61</v>
      </c>
      <c r="S17" s="6">
        <v>32.3</v>
      </c>
      <c r="T17" s="6">
        <f>7.66+6.64</f>
        <v>14.3</v>
      </c>
      <c r="U17" s="6">
        <f>2.14+70.3+0.42+24.7+20.5+14.4+63.2+2.8+6.6+3.8+3.45+2.95+10.85</f>
        <v>226.11</v>
      </c>
      <c r="V17" s="6">
        <f>19+0.95</f>
        <v>19.95</v>
      </c>
      <c r="W17" s="6"/>
      <c r="X17" s="6">
        <v>1.31</v>
      </c>
      <c r="Y17" s="6"/>
      <c r="Z17" s="6">
        <f>4+2.64+23+1+0.39</f>
        <v>31.03</v>
      </c>
      <c r="AA17" s="6">
        <v>2</v>
      </c>
      <c r="AB17" s="6">
        <v>2</v>
      </c>
      <c r="AC17" s="6"/>
      <c r="AD17" s="11">
        <v>2</v>
      </c>
      <c r="AE17" s="6"/>
      <c r="AF17" s="6"/>
      <c r="AG17" s="6"/>
    </row>
    <row r="18" s="1" customFormat="1" ht="21" customHeight="1" spans="1:33">
      <c r="A18" s="5">
        <v>44977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40"/>
      <c r="M18" s="6"/>
      <c r="N18" s="34"/>
      <c r="O18" s="6">
        <f t="shared" si="0"/>
        <v>476.24</v>
      </c>
      <c r="P18" s="6">
        <f>6.15+13.8+13.55+1.2</f>
        <v>34.7</v>
      </c>
      <c r="Q18" s="6">
        <f>42.6+12.5+6.66+7.08+6.1+7.8</f>
        <v>82.74</v>
      </c>
      <c r="R18" s="6">
        <f>15.4+10+11.9+32.5+6+5.36+5.1+10.7+9.2</f>
        <v>106.16</v>
      </c>
      <c r="S18" s="6">
        <v>19.6</v>
      </c>
      <c r="T18" s="6">
        <f>8.61+8.17</f>
        <v>16.78</v>
      </c>
      <c r="U18" s="6">
        <f>32.5+29.2+39.4+4.5+17.3+6.7+1.4+3.2+4.6+10.2+8.05</f>
        <v>157.05</v>
      </c>
      <c r="V18" s="6">
        <v>29.5</v>
      </c>
      <c r="W18" s="6">
        <v>0.9</v>
      </c>
      <c r="X18" s="6">
        <v>1.9</v>
      </c>
      <c r="Y18" s="6">
        <v>4.91</v>
      </c>
      <c r="Z18" s="6">
        <v>22</v>
      </c>
      <c r="AA18" s="6">
        <v>1</v>
      </c>
      <c r="AB18" s="6">
        <v>1</v>
      </c>
      <c r="AC18" s="6">
        <v>0.3</v>
      </c>
      <c r="AD18" s="11">
        <v>1</v>
      </c>
      <c r="AE18" s="6"/>
      <c r="AF18" s="6"/>
      <c r="AG18" s="6"/>
    </row>
    <row r="19" s="1" customFormat="1" ht="21" customHeight="1" spans="1:33">
      <c r="A19" s="5">
        <v>44978</v>
      </c>
      <c r="B19" s="6">
        <v>2</v>
      </c>
      <c r="C19" s="13" t="s">
        <v>36</v>
      </c>
      <c r="D19" s="13">
        <v>2590</v>
      </c>
      <c r="E19" s="13">
        <v>2485</v>
      </c>
      <c r="F19" s="13">
        <v>1424.5</v>
      </c>
      <c r="G19" s="13">
        <v>1410</v>
      </c>
      <c r="H19" s="13">
        <v>161.6</v>
      </c>
      <c r="I19" s="13">
        <f>108.2+8.6</f>
        <v>116.8</v>
      </c>
      <c r="J19" s="13">
        <v>165.4</v>
      </c>
      <c r="K19" s="13">
        <f>165.6+131.6</f>
        <v>297.2</v>
      </c>
      <c r="L19" s="31">
        <f>K19/(B19+B20)</f>
        <v>74.3</v>
      </c>
      <c r="M19" s="6"/>
      <c r="N19" s="32">
        <f t="shared" ref="N19:N24" si="3">(O19+O20)/E19</f>
        <v>0.416800804828974</v>
      </c>
      <c r="O19" s="6">
        <f t="shared" si="0"/>
        <v>551.6</v>
      </c>
      <c r="P19" s="6">
        <f>1.98+8.9+12.35+11.9</f>
        <v>35.13</v>
      </c>
      <c r="Q19" s="6">
        <f>16+7+5.3+7.65+6.5</f>
        <v>42.45</v>
      </c>
      <c r="R19" s="6">
        <f>10.8+9.5+38.1+3.6+5.18+5.38+10.35+10.15+0.5</f>
        <v>93.56</v>
      </c>
      <c r="S19" s="6">
        <f>17.1+15.8</f>
        <v>32.9</v>
      </c>
      <c r="T19" s="6">
        <f>7.06+6.2</f>
        <v>13.26</v>
      </c>
      <c r="U19" s="6">
        <f>18.5+4.9+7.3+62.8+1.5+21+8.6+46.7+11.3+50.6+11.4+8.5+10.2</f>
        <v>263.3</v>
      </c>
      <c r="V19" s="6">
        <f>15+15.3</f>
        <v>30.3</v>
      </c>
      <c r="W19" s="6">
        <v>1.4</v>
      </c>
      <c r="X19" s="6"/>
      <c r="Y19" s="6">
        <f>3.65+1.8+1.85</f>
        <v>7.3</v>
      </c>
      <c r="Z19" s="6">
        <f>17+15</f>
        <v>32</v>
      </c>
      <c r="AA19" s="6">
        <v>2</v>
      </c>
      <c r="AB19" s="6">
        <v>2</v>
      </c>
      <c r="AC19" s="6"/>
      <c r="AD19" s="11">
        <v>2</v>
      </c>
      <c r="AE19" s="6"/>
      <c r="AF19" s="6"/>
      <c r="AG19" s="6"/>
    </row>
    <row r="20" s="1" customFormat="1" ht="21" customHeight="1" spans="1:33">
      <c r="A20" s="5">
        <v>44979</v>
      </c>
      <c r="B20" s="6">
        <v>2</v>
      </c>
      <c r="C20" s="14"/>
      <c r="D20" s="14"/>
      <c r="E20" s="14"/>
      <c r="F20" s="14"/>
      <c r="G20" s="14"/>
      <c r="H20" s="14"/>
      <c r="I20" s="14"/>
      <c r="J20" s="14"/>
      <c r="K20" s="14"/>
      <c r="L20" s="33"/>
      <c r="M20" s="6"/>
      <c r="N20" s="34"/>
      <c r="O20" s="6">
        <f t="shared" si="0"/>
        <v>484.15</v>
      </c>
      <c r="P20" s="6">
        <f>11.6+8.2</f>
        <v>19.8</v>
      </c>
      <c r="Q20" s="6">
        <f>6.85+29.8+43-12.5</f>
        <v>67.15</v>
      </c>
      <c r="R20" s="6">
        <f>8.4+7.7+15+28.5+5.5+7.3+11+5.7+9.5</f>
        <v>98.6</v>
      </c>
      <c r="S20" s="6">
        <f>14.5+11</f>
        <v>25.5</v>
      </c>
      <c r="T20" s="6">
        <v>6.5</v>
      </c>
      <c r="U20" s="6">
        <f>6.55+59.3+5+50.3+5.8+10+4.4+9.8+5.5+6.8+5.8+5.1+5.7</f>
        <v>180.05</v>
      </c>
      <c r="V20" s="6">
        <f>18+1.7+21.9</f>
        <v>41.6</v>
      </c>
      <c r="W20" s="6">
        <v>6.2</v>
      </c>
      <c r="X20" s="6">
        <v>2.7</v>
      </c>
      <c r="Y20" s="6">
        <f>1.75+3+4+1.3</f>
        <v>10.05</v>
      </c>
      <c r="Z20" s="6">
        <v>26</v>
      </c>
      <c r="AA20" s="6">
        <v>2</v>
      </c>
      <c r="AB20" s="6">
        <v>2</v>
      </c>
      <c r="AC20" s="6">
        <f>0.65+0.16</f>
        <v>0.81</v>
      </c>
      <c r="AD20" s="11">
        <v>2</v>
      </c>
      <c r="AE20" s="6"/>
      <c r="AF20" s="6"/>
      <c r="AG20" s="6"/>
    </row>
    <row r="21" s="1" customFormat="1" ht="21" customHeight="1" spans="1:33">
      <c r="A21" s="5">
        <v>44987</v>
      </c>
      <c r="B21" s="6">
        <v>4</v>
      </c>
      <c r="C21" s="6" t="s">
        <v>36</v>
      </c>
      <c r="D21" s="6">
        <v>2700</v>
      </c>
      <c r="E21" s="6">
        <v>2510</v>
      </c>
      <c r="F21" s="6">
        <v>1485</v>
      </c>
      <c r="G21" s="6">
        <v>1474.5</v>
      </c>
      <c r="H21" s="6">
        <v>165.6</v>
      </c>
      <c r="I21" s="6">
        <v>156.2</v>
      </c>
      <c r="J21" s="6">
        <v>190</v>
      </c>
      <c r="K21" s="6">
        <v>168.3</v>
      </c>
      <c r="L21" s="41">
        <f>K21/B21</f>
        <v>42.075</v>
      </c>
      <c r="M21" s="6"/>
      <c r="N21" s="9">
        <f>O21/E21</f>
        <v>0.400191235059761</v>
      </c>
      <c r="O21" s="6">
        <f t="shared" si="0"/>
        <v>1004.48</v>
      </c>
      <c r="P21" s="6">
        <f>13.68+19.75+12.75+16.65</f>
        <v>62.83</v>
      </c>
      <c r="Q21" s="6">
        <f>29.64+24.3+7.65+44.8+9.95+9.9+55</f>
        <v>181.24</v>
      </c>
      <c r="R21" s="6">
        <f>115+32.36+32.5+50</f>
        <v>229.86</v>
      </c>
      <c r="S21" s="6">
        <f>13.1+12.5+11.25</f>
        <v>36.85</v>
      </c>
      <c r="T21" s="6">
        <v>28.26</v>
      </c>
      <c r="U21" s="6">
        <f>64.16+13.77+31.05+69.35+72.25+84.75+71.5</f>
        <v>406.83</v>
      </c>
      <c r="V21" s="6">
        <v>15</v>
      </c>
      <c r="W21" s="6">
        <v>2.5</v>
      </c>
      <c r="X21" s="6"/>
      <c r="Y21" s="6">
        <v>16.11</v>
      </c>
      <c r="Z21" s="6">
        <v>25</v>
      </c>
      <c r="AA21" s="6">
        <v>4</v>
      </c>
      <c r="AB21" s="6">
        <v>4</v>
      </c>
      <c r="AC21" s="6">
        <v>0.4</v>
      </c>
      <c r="AD21" s="11">
        <v>4</v>
      </c>
      <c r="AE21" s="6"/>
      <c r="AF21" s="6"/>
      <c r="AG21" s="6"/>
    </row>
    <row r="22" s="1" customFormat="1" ht="21" customHeight="1" spans="1:33">
      <c r="A22" s="5">
        <v>44991</v>
      </c>
      <c r="B22" s="6">
        <v>2</v>
      </c>
      <c r="C22" s="6" t="s">
        <v>36</v>
      </c>
      <c r="D22" s="13">
        <v>2750</v>
      </c>
      <c r="E22" s="13">
        <v>2620</v>
      </c>
      <c r="F22" s="13">
        <v>1512.5</v>
      </c>
      <c r="G22" s="13">
        <v>1502.5</v>
      </c>
      <c r="H22" s="13">
        <v>180</v>
      </c>
      <c r="I22" s="13">
        <v>109.1</v>
      </c>
      <c r="J22" s="13">
        <v>177.8</v>
      </c>
      <c r="K22" s="13">
        <v>180.7</v>
      </c>
      <c r="L22" s="37">
        <f>K22/(B22+B23)</f>
        <v>45.175</v>
      </c>
      <c r="M22" s="6"/>
      <c r="N22" s="32">
        <f t="shared" si="3"/>
        <v>0.486484732824428</v>
      </c>
      <c r="O22" s="6">
        <f t="shared" si="0"/>
        <v>637.34</v>
      </c>
      <c r="P22" s="6">
        <f>0.4+7.22+37.85+20</f>
        <v>65.47</v>
      </c>
      <c r="Q22" s="6">
        <f>14.58+37.2+44.05+50.25+12.5+49.8-55-50</f>
        <v>103.38</v>
      </c>
      <c r="R22" s="6">
        <f>134.3+15.47+56.1-50-90</f>
        <v>65.87</v>
      </c>
      <c r="S22" s="6">
        <v>30</v>
      </c>
      <c r="T22" s="6">
        <v>19.48</v>
      </c>
      <c r="U22" s="6">
        <f>43.4+7.04+52.55+33.4+88.05+74.1+82.6-100</f>
        <v>281.14</v>
      </c>
      <c r="V22" s="6">
        <v>13</v>
      </c>
      <c r="W22" s="6">
        <v>1</v>
      </c>
      <c r="X22" s="6">
        <v>3.5</v>
      </c>
      <c r="Y22" s="6"/>
      <c r="Z22" s="6">
        <v>54.5</v>
      </c>
      <c r="AA22" s="6">
        <v>2</v>
      </c>
      <c r="AB22" s="6">
        <v>2</v>
      </c>
      <c r="AC22" s="6"/>
      <c r="AD22" s="11">
        <v>2</v>
      </c>
      <c r="AE22" s="6"/>
      <c r="AF22" s="6"/>
      <c r="AG22" s="6"/>
    </row>
    <row r="23" s="1" customFormat="1" ht="21" customHeight="1" spans="1:33">
      <c r="A23" s="5">
        <v>44992</v>
      </c>
      <c r="B23" s="6">
        <v>2</v>
      </c>
      <c r="C23" s="6"/>
      <c r="D23" s="14"/>
      <c r="E23" s="14"/>
      <c r="F23" s="14"/>
      <c r="G23" s="14"/>
      <c r="H23" s="14"/>
      <c r="I23" s="14"/>
      <c r="J23" s="14"/>
      <c r="K23" s="14"/>
      <c r="L23" s="40"/>
      <c r="M23" s="6"/>
      <c r="N23" s="34"/>
      <c r="O23" s="6">
        <f t="shared" si="0"/>
        <v>637.25</v>
      </c>
      <c r="P23" s="6">
        <f>7.8+6.93+19.05+12.5</f>
        <v>46.28</v>
      </c>
      <c r="Q23" s="6">
        <v>27.6</v>
      </c>
      <c r="R23" s="6">
        <f>44+16.43+29.55</f>
        <v>89.98</v>
      </c>
      <c r="S23" s="6">
        <v>42.5</v>
      </c>
      <c r="T23" s="6">
        <v>7.9</v>
      </c>
      <c r="U23" s="6">
        <f>162.7+26.9+53+97.75</f>
        <v>340.35</v>
      </c>
      <c r="V23" s="6">
        <v>26</v>
      </c>
      <c r="W23" s="6">
        <v>3</v>
      </c>
      <c r="X23" s="6">
        <v>1</v>
      </c>
      <c r="Y23" s="6"/>
      <c r="Z23" s="6">
        <v>52.64</v>
      </c>
      <c r="AA23" s="6">
        <v>2</v>
      </c>
      <c r="AB23" s="6">
        <v>2</v>
      </c>
      <c r="AC23" s="6">
        <v>0.24</v>
      </c>
      <c r="AD23" s="11">
        <v>2</v>
      </c>
      <c r="AE23" s="6"/>
      <c r="AF23" s="6"/>
      <c r="AG23" s="6"/>
    </row>
    <row r="24" s="1" customFormat="1" ht="21" customHeight="1" spans="1:33">
      <c r="A24" s="5">
        <v>44995</v>
      </c>
      <c r="B24" s="6">
        <v>2</v>
      </c>
      <c r="C24" s="6" t="s">
        <v>36</v>
      </c>
      <c r="D24" s="13">
        <v>2420</v>
      </c>
      <c r="E24" s="13">
        <v>2230</v>
      </c>
      <c r="F24" s="13">
        <v>1331</v>
      </c>
      <c r="G24" s="13">
        <v>1320</v>
      </c>
      <c r="H24" s="13">
        <v>163.3</v>
      </c>
      <c r="I24" s="13">
        <v>104.6</v>
      </c>
      <c r="J24" s="13">
        <v>169</v>
      </c>
      <c r="K24" s="13">
        <v>284.8</v>
      </c>
      <c r="L24" s="31">
        <f>K24/(B24+B25)</f>
        <v>71.2</v>
      </c>
      <c r="M24" s="6"/>
      <c r="N24" s="32">
        <f t="shared" si="3"/>
        <v>0.414497757847534</v>
      </c>
      <c r="O24" s="6">
        <f t="shared" si="0"/>
        <v>214.5</v>
      </c>
      <c r="P24" s="6">
        <v>5.3</v>
      </c>
      <c r="Q24" s="6">
        <f>7.7+50</f>
        <v>57.7</v>
      </c>
      <c r="R24" s="6">
        <v>45.2</v>
      </c>
      <c r="S24" s="6">
        <v>20</v>
      </c>
      <c r="T24" s="6">
        <v>3.2</v>
      </c>
      <c r="U24" s="6">
        <v>28.8</v>
      </c>
      <c r="V24" s="6"/>
      <c r="W24" s="6"/>
      <c r="X24" s="6">
        <v>2.8</v>
      </c>
      <c r="Y24" s="6">
        <v>7.5</v>
      </c>
      <c r="Z24" s="6">
        <v>44</v>
      </c>
      <c r="AA24" s="6">
        <v>2</v>
      </c>
      <c r="AB24" s="6">
        <v>2</v>
      </c>
      <c r="AC24" s="6">
        <v>0.5</v>
      </c>
      <c r="AD24" s="11">
        <v>2</v>
      </c>
      <c r="AE24" s="6"/>
      <c r="AF24" s="6"/>
      <c r="AG24" s="6"/>
    </row>
    <row r="25" s="1" customFormat="1" ht="21" customHeight="1" spans="1:33">
      <c r="A25" s="5">
        <v>44998</v>
      </c>
      <c r="B25" s="6">
        <v>2</v>
      </c>
      <c r="C25" s="6"/>
      <c r="D25" s="14"/>
      <c r="E25" s="14"/>
      <c r="F25" s="14"/>
      <c r="G25" s="14"/>
      <c r="H25" s="14"/>
      <c r="I25" s="14"/>
      <c r="J25" s="14"/>
      <c r="K25" s="14"/>
      <c r="L25" s="33"/>
      <c r="M25" s="6"/>
      <c r="N25" s="34"/>
      <c r="O25" s="6">
        <f t="shared" si="0"/>
        <v>709.83</v>
      </c>
      <c r="P25" s="6">
        <v>58.88</v>
      </c>
      <c r="Q25" s="6">
        <v>115.69</v>
      </c>
      <c r="R25" s="6">
        <f>69.8+58.55+1.79</f>
        <v>130.14</v>
      </c>
      <c r="S25" s="6">
        <v>31.8</v>
      </c>
      <c r="T25" s="6">
        <v>18.38</v>
      </c>
      <c r="U25" s="6">
        <f>10.4+273.22</f>
        <v>283.62</v>
      </c>
      <c r="V25" s="6">
        <v>20.4</v>
      </c>
      <c r="W25" s="6"/>
      <c r="X25" s="6">
        <v>2.7</v>
      </c>
      <c r="Y25" s="6">
        <v>4.49</v>
      </c>
      <c r="Z25" s="6">
        <v>43.73</v>
      </c>
      <c r="AA25" s="6">
        <v>2</v>
      </c>
      <c r="AB25" s="6">
        <v>2</v>
      </c>
      <c r="AC25" s="6"/>
      <c r="AD25" s="11">
        <v>2</v>
      </c>
      <c r="AE25" s="6"/>
      <c r="AF25" s="6"/>
      <c r="AG25" s="6"/>
    </row>
    <row r="26" s="1" customFormat="1" ht="21" customHeight="1" spans="1:33">
      <c r="A26" s="5">
        <v>45000</v>
      </c>
      <c r="B26" s="6">
        <v>4</v>
      </c>
      <c r="C26" s="6" t="s">
        <v>36</v>
      </c>
      <c r="D26" s="6">
        <v>2900</v>
      </c>
      <c r="E26" s="6">
        <v>2750</v>
      </c>
      <c r="F26" s="6">
        <v>1595</v>
      </c>
      <c r="G26" s="6">
        <v>1582</v>
      </c>
      <c r="H26" s="6">
        <v>182.2</v>
      </c>
      <c r="I26" s="6">
        <v>136.7</v>
      </c>
      <c r="J26" s="6">
        <v>183.8</v>
      </c>
      <c r="K26" s="6">
        <v>205.2</v>
      </c>
      <c r="L26" s="35">
        <f>K26/B26</f>
        <v>51.3</v>
      </c>
      <c r="M26" s="6"/>
      <c r="N26" s="9">
        <f>O26/E26</f>
        <v>0.404145454545455</v>
      </c>
      <c r="O26" s="6">
        <f t="shared" si="0"/>
        <v>1111.4</v>
      </c>
      <c r="P26" s="6">
        <f>10+2.8+20+4.85+28.1+1.9</f>
        <v>67.65</v>
      </c>
      <c r="Q26" s="6">
        <f>17.9+80+12.7+28.25</f>
        <v>138.85</v>
      </c>
      <c r="R26" s="6">
        <f>90.04+19.77+44.2+90</f>
        <v>244.01</v>
      </c>
      <c r="S26" s="6">
        <f>0.37+32.92+12.5</f>
        <v>45.79</v>
      </c>
      <c r="T26" s="6">
        <f>5.4+19.83</f>
        <v>25.23</v>
      </c>
      <c r="U26" s="6">
        <f>5+64+257.78+10.46+45.45+100</f>
        <v>482.69</v>
      </c>
      <c r="V26" s="6">
        <v>5</v>
      </c>
      <c r="W26" s="6">
        <v>3.33</v>
      </c>
      <c r="X26" s="6">
        <v>2.7</v>
      </c>
      <c r="Y26" s="6">
        <f>8.46+1.5</f>
        <v>9.96</v>
      </c>
      <c r="Z26" s="6">
        <f>15+52.19+19</f>
        <v>86.19</v>
      </c>
      <c r="AA26" s="6">
        <v>4</v>
      </c>
      <c r="AB26" s="6">
        <v>4</v>
      </c>
      <c r="AC26" s="6">
        <v>0.8</v>
      </c>
      <c r="AD26" s="11">
        <v>4</v>
      </c>
      <c r="AE26" s="6"/>
      <c r="AF26" s="6"/>
      <c r="AG26" s="6"/>
    </row>
    <row r="27" s="1" customFormat="1" ht="21" customHeight="1" spans="1:33">
      <c r="A27" s="5">
        <v>45005</v>
      </c>
      <c r="B27" s="6">
        <v>2</v>
      </c>
      <c r="C27" s="13" t="s">
        <v>36</v>
      </c>
      <c r="D27" s="13">
        <v>2710</v>
      </c>
      <c r="E27" s="13">
        <v>2530</v>
      </c>
      <c r="F27" s="13">
        <v>1490.5</v>
      </c>
      <c r="G27" s="13">
        <v>1480</v>
      </c>
      <c r="H27" s="13">
        <v>161.8</v>
      </c>
      <c r="I27" s="13">
        <v>101.1</v>
      </c>
      <c r="J27" s="13">
        <v>171.5</v>
      </c>
      <c r="K27" s="13">
        <v>193.6</v>
      </c>
      <c r="L27" s="31">
        <f>K27/(B27+B28)</f>
        <v>48.4</v>
      </c>
      <c r="M27" s="6"/>
      <c r="N27" s="32">
        <f>(O27+O28)/E27</f>
        <v>0.492387351778656</v>
      </c>
      <c r="O27" s="6">
        <f t="shared" si="0"/>
        <v>712.69</v>
      </c>
      <c r="P27" s="6">
        <v>65.41</v>
      </c>
      <c r="Q27" s="6">
        <v>141.18</v>
      </c>
      <c r="R27" s="6">
        <f>103.6+79.22-95</f>
        <v>87.82</v>
      </c>
      <c r="S27" s="6">
        <f>16.1+32.5</f>
        <v>48.6</v>
      </c>
      <c r="T27" s="6">
        <v>17.01</v>
      </c>
      <c r="U27" s="6">
        <f>20.7+367.57-95</f>
        <v>293.27</v>
      </c>
      <c r="V27" s="6">
        <v>17.6</v>
      </c>
      <c r="W27" s="6">
        <v>1.8</v>
      </c>
      <c r="X27" s="6"/>
      <c r="Y27" s="6">
        <v>3</v>
      </c>
      <c r="Z27" s="6">
        <v>37</v>
      </c>
      <c r="AA27" s="6">
        <v>2</v>
      </c>
      <c r="AB27" s="6">
        <v>2</v>
      </c>
      <c r="AC27" s="6">
        <v>0.3</v>
      </c>
      <c r="AD27" s="11">
        <v>2</v>
      </c>
      <c r="AE27" s="6"/>
      <c r="AF27" s="6"/>
      <c r="AG27" s="6"/>
    </row>
    <row r="28" s="1" customFormat="1" ht="21" customHeight="1" spans="1:33">
      <c r="A28" s="5">
        <v>45006</v>
      </c>
      <c r="B28" s="6">
        <v>2</v>
      </c>
      <c r="C28" s="14"/>
      <c r="D28" s="14"/>
      <c r="E28" s="14"/>
      <c r="F28" s="14"/>
      <c r="G28" s="14"/>
      <c r="H28" s="14"/>
      <c r="I28" s="14"/>
      <c r="J28" s="14"/>
      <c r="K28" s="14"/>
      <c r="L28" s="33"/>
      <c r="M28" s="6"/>
      <c r="N28" s="34"/>
      <c r="O28" s="6">
        <f t="shared" si="0"/>
        <v>533.05</v>
      </c>
      <c r="P28" s="6">
        <f>0.3+35.74-17</f>
        <v>19.04</v>
      </c>
      <c r="Q28" s="6">
        <f>15.5+133.58-46</f>
        <v>103.08</v>
      </c>
      <c r="R28" s="6">
        <f>55.1+18.8-35.3</f>
        <v>38.6</v>
      </c>
      <c r="S28" s="6">
        <v>10</v>
      </c>
      <c r="T28" s="6">
        <f>10.66-6</f>
        <v>4.66</v>
      </c>
      <c r="U28" s="6">
        <f>14.6+343.96-10.4-81</f>
        <v>267.16</v>
      </c>
      <c r="V28" s="6">
        <v>33.4</v>
      </c>
      <c r="W28" s="6">
        <v>0.8</v>
      </c>
      <c r="X28" s="6">
        <v>4.5</v>
      </c>
      <c r="Y28" s="6">
        <v>6.47</v>
      </c>
      <c r="Z28" s="6">
        <f>65.34-20</f>
        <v>45.34</v>
      </c>
      <c r="AA28" s="6">
        <v>2</v>
      </c>
      <c r="AB28" s="6">
        <v>2</v>
      </c>
      <c r="AC28" s="6">
        <v>0.5</v>
      </c>
      <c r="AD28" s="11">
        <v>2</v>
      </c>
      <c r="AE28" s="6"/>
      <c r="AF28" s="6"/>
      <c r="AG28" s="6"/>
    </row>
    <row r="29" s="1" customFormat="1" ht="21" customHeight="1" spans="1:33">
      <c r="A29" s="5">
        <v>45009</v>
      </c>
      <c r="B29" s="6">
        <v>3</v>
      </c>
      <c r="C29" s="6" t="s">
        <v>36</v>
      </c>
      <c r="D29" s="6">
        <v>2060</v>
      </c>
      <c r="E29" s="6">
        <v>1905</v>
      </c>
      <c r="F29" s="6">
        <v>1133</v>
      </c>
      <c r="G29" s="6">
        <v>1121</v>
      </c>
      <c r="H29" s="6">
        <v>140.02</v>
      </c>
      <c r="I29" s="6">
        <v>88.5</v>
      </c>
      <c r="J29" s="6">
        <v>138.15</v>
      </c>
      <c r="K29" s="6">
        <v>221.9</v>
      </c>
      <c r="L29" s="41">
        <f>K29/B29</f>
        <v>73.9666666666667</v>
      </c>
      <c r="M29" s="6"/>
      <c r="N29" s="9">
        <f>O29/E29</f>
        <v>0.348167979002625</v>
      </c>
      <c r="O29" s="6">
        <f t="shared" si="0"/>
        <v>663.26</v>
      </c>
      <c r="P29" s="6">
        <f>19.29+26</f>
        <v>45.29</v>
      </c>
      <c r="Q29" s="6">
        <f>31.37+31.5</f>
        <v>62.87</v>
      </c>
      <c r="R29" s="6">
        <f>19.69+95+86.3</f>
        <v>200.99</v>
      </c>
      <c r="S29" s="6">
        <v>30.9</v>
      </c>
      <c r="T29" s="6">
        <f>4.78+16.8</f>
        <v>21.58</v>
      </c>
      <c r="U29" s="6">
        <f>89.35+95+52.3</f>
        <v>236.65</v>
      </c>
      <c r="V29" s="6">
        <f>5+19.8</f>
        <v>24.8</v>
      </c>
      <c r="W29" s="6">
        <v>1.1</v>
      </c>
      <c r="X29" s="6">
        <v>1.4</v>
      </c>
      <c r="Y29" s="6">
        <v>4.4</v>
      </c>
      <c r="Z29" s="6">
        <v>33.28</v>
      </c>
      <c r="AA29" s="6">
        <v>3</v>
      </c>
      <c r="AB29" s="6">
        <v>3</v>
      </c>
      <c r="AC29" s="6"/>
      <c r="AD29" s="11">
        <v>3</v>
      </c>
      <c r="AE29" s="6"/>
      <c r="AF29" s="6"/>
      <c r="AG29" s="6"/>
    </row>
    <row r="30" s="6" customFormat="1" ht="21" customHeight="1" spans="1:33">
      <c r="A30" s="5">
        <v>45010</v>
      </c>
      <c r="B30" s="6">
        <v>1</v>
      </c>
      <c r="C30" s="6" t="s">
        <v>36</v>
      </c>
      <c r="D30" s="6">
        <v>670</v>
      </c>
      <c r="E30" s="6" t="s">
        <v>41</v>
      </c>
      <c r="F30" s="6">
        <v>368.5</v>
      </c>
      <c r="G30" s="6">
        <v>355</v>
      </c>
      <c r="H30" s="6">
        <v>28.05</v>
      </c>
      <c r="I30" s="6">
        <v>28.75</v>
      </c>
      <c r="J30" s="6">
        <v>33.2</v>
      </c>
      <c r="K30" s="6">
        <v>42.3</v>
      </c>
      <c r="L30" s="35">
        <f>K30/B30</f>
        <v>42.3</v>
      </c>
      <c r="N30" s="9">
        <f t="shared" ref="N30:N37" si="4">O30/D30</f>
        <v>0.322835820895522</v>
      </c>
      <c r="O30" s="6">
        <f t="shared" si="0"/>
        <v>216.3</v>
      </c>
      <c r="Q30" s="6">
        <v>36.3</v>
      </c>
      <c r="T30" s="6">
        <v>6.4</v>
      </c>
      <c r="U30" s="6">
        <f>101.2+62.4-5.5</f>
        <v>158.1</v>
      </c>
      <c r="Z30" s="6">
        <f>9.5+6</f>
        <v>15.5</v>
      </c>
      <c r="AA30" s="6">
        <v>1</v>
      </c>
      <c r="AB30" s="6">
        <v>1</v>
      </c>
      <c r="AE30" s="6">
        <v>0</v>
      </c>
      <c r="AF30" s="6">
        <v>0</v>
      </c>
      <c r="AG30" s="6">
        <v>0</v>
      </c>
    </row>
    <row r="31" s="6" customFormat="1" ht="21" customHeight="1" spans="1:33">
      <c r="A31" s="5">
        <v>45010</v>
      </c>
      <c r="B31" s="16">
        <v>3</v>
      </c>
      <c r="C31" s="6" t="s">
        <v>36</v>
      </c>
      <c r="D31" s="6">
        <v>2010</v>
      </c>
      <c r="E31" s="6" t="s">
        <v>41</v>
      </c>
      <c r="F31" s="6">
        <v>1105</v>
      </c>
      <c r="G31" s="6">
        <v>1090</v>
      </c>
      <c r="H31" s="6">
        <v>124.88</v>
      </c>
      <c r="I31" s="6">
        <v>116.75</v>
      </c>
      <c r="J31" s="6">
        <v>140.65</v>
      </c>
      <c r="K31" s="6">
        <v>251.5</v>
      </c>
      <c r="L31" s="42">
        <f>K31/B31</f>
        <v>83.8333333333333</v>
      </c>
      <c r="N31" s="9">
        <f t="shared" si="4"/>
        <v>0.406557213930348</v>
      </c>
      <c r="O31" s="6">
        <f t="shared" si="0"/>
        <v>817.18</v>
      </c>
      <c r="P31" s="6">
        <f>2.2+11.22+14.3+13.2+13.75+15</f>
        <v>69.67</v>
      </c>
      <c r="Q31" s="6">
        <f>16.5+23.6+21.45+13.65+14.4+9.85+9.9+38.3+43.45</f>
        <v>191.1</v>
      </c>
      <c r="R31" s="6">
        <f>26.71+20.7+19.5+18.5</f>
        <v>85.41</v>
      </c>
      <c r="S31" s="6">
        <f>10.3+5.15+9.95</f>
        <v>25.4</v>
      </c>
      <c r="T31" s="6">
        <f>4.65+7.25+9.95</f>
        <v>21.85</v>
      </c>
      <c r="U31" s="6">
        <f>52.2+30.9+18.25+13+18.1+72.65+72.7+3+46.55</f>
        <v>327.35</v>
      </c>
      <c r="V31" s="6">
        <v>10</v>
      </c>
      <c r="W31" s="6">
        <v>1.4</v>
      </c>
      <c r="X31" s="6">
        <v>2</v>
      </c>
      <c r="Y31" s="6">
        <v>1</v>
      </c>
      <c r="Z31" s="6">
        <f>50+32</f>
        <v>82</v>
      </c>
      <c r="AA31" s="6">
        <v>3</v>
      </c>
      <c r="AB31" s="6">
        <v>3</v>
      </c>
      <c r="AC31" s="6">
        <v>0.7</v>
      </c>
      <c r="AE31" s="6">
        <v>47.63</v>
      </c>
      <c r="AF31" s="16">
        <v>15.42</v>
      </c>
      <c r="AG31" s="53">
        <v>38.24</v>
      </c>
    </row>
    <row r="32" s="6" customFormat="1" ht="21" customHeight="1" spans="1:33">
      <c r="A32" s="5">
        <v>45015</v>
      </c>
      <c r="B32" s="6">
        <v>4</v>
      </c>
      <c r="C32" s="6" t="s">
        <v>36</v>
      </c>
      <c r="D32" s="17">
        <v>2700</v>
      </c>
      <c r="E32" s="6">
        <v>2585</v>
      </c>
      <c r="F32" s="6">
        <v>1485</v>
      </c>
      <c r="G32" s="6">
        <v>1473</v>
      </c>
      <c r="H32" s="6">
        <v>39.3</v>
      </c>
      <c r="I32" s="6">
        <v>88.5</v>
      </c>
      <c r="J32" s="6">
        <v>44.45</v>
      </c>
      <c r="K32" s="6">
        <v>21</v>
      </c>
      <c r="L32" s="31">
        <f>(K32+K33)/B32</f>
        <v>59.625</v>
      </c>
      <c r="N32" s="9">
        <f>(O32+O33)/D32</f>
        <v>0.409411111111111</v>
      </c>
      <c r="O32" s="6">
        <f t="shared" si="0"/>
        <v>396.14</v>
      </c>
      <c r="P32" s="6">
        <v>10.6</v>
      </c>
      <c r="Q32" s="6">
        <f>12.35+14.1</f>
        <v>26.45</v>
      </c>
      <c r="R32" s="6">
        <f>74.4+72.89</f>
        <v>147.29</v>
      </c>
      <c r="S32" s="6">
        <f>20.6+9.8</f>
        <v>30.4</v>
      </c>
      <c r="T32" s="6">
        <f>3.7+18.7</f>
        <v>22.4</v>
      </c>
      <c r="U32" s="6">
        <f>26.4+6.8+11.2+18</f>
        <v>62.4</v>
      </c>
      <c r="V32" s="6">
        <v>35.7</v>
      </c>
      <c r="X32" s="6">
        <v>2.9</v>
      </c>
      <c r="Y32" s="6">
        <v>4</v>
      </c>
      <c r="Z32" s="6">
        <v>54</v>
      </c>
      <c r="AA32" s="6">
        <v>1</v>
      </c>
      <c r="AB32" s="6">
        <v>1</v>
      </c>
      <c r="AC32" s="6">
        <v>0.4</v>
      </c>
      <c r="AE32" s="6">
        <v>47.67</v>
      </c>
      <c r="AF32" s="6">
        <v>15.42</v>
      </c>
      <c r="AG32" s="6">
        <v>38.27</v>
      </c>
    </row>
    <row r="33" s="6" customFormat="1" ht="21" customHeight="1" spans="1:29">
      <c r="A33" s="5">
        <v>45020</v>
      </c>
      <c r="D33" s="17"/>
      <c r="H33" s="6">
        <v>118.65</v>
      </c>
      <c r="I33" s="6">
        <v>126</v>
      </c>
      <c r="J33" s="6">
        <v>139</v>
      </c>
      <c r="K33" s="6">
        <v>217.5</v>
      </c>
      <c r="L33" s="33"/>
      <c r="N33" s="9"/>
      <c r="O33" s="6">
        <f t="shared" si="0"/>
        <v>709.27</v>
      </c>
      <c r="P33" s="6">
        <v>77.86</v>
      </c>
      <c r="Q33" s="6">
        <v>174.26</v>
      </c>
      <c r="R33" s="6">
        <f>67.2+72.89</f>
        <v>140.09</v>
      </c>
      <c r="S33" s="6">
        <f>23.6+21.25</f>
        <v>44.85</v>
      </c>
      <c r="T33" s="6">
        <f>3.5+18.7</f>
        <v>22.2</v>
      </c>
      <c r="U33" s="6">
        <f>16.4+410.96-250</f>
        <v>177.36</v>
      </c>
      <c r="V33" s="6">
        <f>15.5+3.5</f>
        <v>19</v>
      </c>
      <c r="W33" s="6">
        <v>0.6</v>
      </c>
      <c r="X33" s="6">
        <v>2.2</v>
      </c>
      <c r="Z33" s="6">
        <v>50.85</v>
      </c>
      <c r="AA33" s="6">
        <v>3</v>
      </c>
      <c r="AB33" s="6">
        <v>3</v>
      </c>
      <c r="AC33" s="6">
        <v>0.23</v>
      </c>
    </row>
    <row r="34" s="6" customFormat="1" ht="21" customHeight="1" spans="1:33">
      <c r="A34" s="5">
        <v>45023</v>
      </c>
      <c r="B34" s="6">
        <v>4</v>
      </c>
      <c r="C34" s="6" t="s">
        <v>36</v>
      </c>
      <c r="D34" s="17">
        <v>2540</v>
      </c>
      <c r="E34" s="6">
        <v>2380</v>
      </c>
      <c r="F34" s="6">
        <v>1397</v>
      </c>
      <c r="G34" s="6">
        <v>1382</v>
      </c>
      <c r="H34" s="6">
        <v>204.85</v>
      </c>
      <c r="I34" s="6">
        <v>153</v>
      </c>
      <c r="J34" s="6">
        <v>208.6</v>
      </c>
      <c r="K34" s="6">
        <v>301</v>
      </c>
      <c r="L34" s="35">
        <f>K34/B34</f>
        <v>75.25</v>
      </c>
      <c r="N34" s="9">
        <f t="shared" si="4"/>
        <v>0.397437007874016</v>
      </c>
      <c r="O34" s="6">
        <f t="shared" si="0"/>
        <v>1009.49</v>
      </c>
      <c r="P34" s="6">
        <f>11.6+77.67</f>
        <v>89.27</v>
      </c>
      <c r="Q34" s="6">
        <v>174.26</v>
      </c>
      <c r="R34" s="6">
        <f>57.6+72.89</f>
        <v>130.49</v>
      </c>
      <c r="S34" s="6">
        <f>10.8+21.25</f>
        <v>32.05</v>
      </c>
      <c r="T34" s="6">
        <v>18.7</v>
      </c>
      <c r="U34" s="6">
        <f>35.4+410.96</f>
        <v>446.36</v>
      </c>
      <c r="V34" s="6">
        <v>26.9</v>
      </c>
      <c r="W34" s="6">
        <v>1.2</v>
      </c>
      <c r="X34" s="6">
        <v>1.8</v>
      </c>
      <c r="Y34" s="6">
        <v>6.46</v>
      </c>
      <c r="Z34" s="6">
        <f>50+32</f>
        <v>82</v>
      </c>
      <c r="AA34" s="6">
        <v>4</v>
      </c>
      <c r="AB34" s="6">
        <v>4</v>
      </c>
      <c r="AC34" s="6">
        <v>0.3</v>
      </c>
      <c r="AE34" s="6">
        <v>47.63</v>
      </c>
      <c r="AF34" s="6">
        <v>15.42</v>
      </c>
      <c r="AG34" s="6">
        <v>38.24</v>
      </c>
    </row>
    <row r="35" s="6" customFormat="1" ht="21" customHeight="1" spans="1:33">
      <c r="A35" s="5">
        <v>45026</v>
      </c>
      <c r="B35" s="6">
        <v>4</v>
      </c>
      <c r="C35" s="6" t="s">
        <v>36</v>
      </c>
      <c r="D35" s="17">
        <v>2330</v>
      </c>
      <c r="E35" s="6">
        <v>2210</v>
      </c>
      <c r="F35" s="6">
        <v>1281</v>
      </c>
      <c r="G35" s="6">
        <v>1270</v>
      </c>
      <c r="H35" s="6">
        <v>167</v>
      </c>
      <c r="I35" s="6">
        <v>150</v>
      </c>
      <c r="J35" s="6">
        <v>166</v>
      </c>
      <c r="K35" s="6">
        <v>183.9</v>
      </c>
      <c r="L35" s="41">
        <f>K35/B35</f>
        <v>45.975</v>
      </c>
      <c r="N35" s="9">
        <f t="shared" si="4"/>
        <v>0.409875536480687</v>
      </c>
      <c r="O35" s="6">
        <f t="shared" si="0"/>
        <v>955.01</v>
      </c>
      <c r="P35" s="6">
        <f>4.3+77.67</f>
        <v>81.97</v>
      </c>
      <c r="Q35" s="6">
        <f>18.4+174.27</f>
        <v>192.67</v>
      </c>
      <c r="R35" s="6">
        <f>45.5+72.91</f>
        <v>118.41</v>
      </c>
      <c r="S35" s="6">
        <v>26</v>
      </c>
      <c r="T35" s="6">
        <v>18.67</v>
      </c>
      <c r="U35" s="6">
        <f>56.9+410.96</f>
        <v>467.86</v>
      </c>
      <c r="V35" s="6">
        <v>15</v>
      </c>
      <c r="W35" s="6">
        <v>1.5</v>
      </c>
      <c r="X35" s="6">
        <v>2.2</v>
      </c>
      <c r="Y35" s="6">
        <v>3.64</v>
      </c>
      <c r="Z35" s="6">
        <f>47.09-20</f>
        <v>27.09</v>
      </c>
      <c r="AA35" s="6">
        <v>4</v>
      </c>
      <c r="AB35" s="6">
        <v>4</v>
      </c>
      <c r="AC35" s="6">
        <v>0.5</v>
      </c>
      <c r="AE35" s="6">
        <v>47.63</v>
      </c>
      <c r="AF35" s="6">
        <v>15.42</v>
      </c>
      <c r="AG35" s="6">
        <v>38.24</v>
      </c>
    </row>
    <row r="36" s="1" customFormat="1" ht="21" customHeight="1" spans="1:33">
      <c r="A36" s="5">
        <v>45036</v>
      </c>
      <c r="B36" s="6">
        <v>4</v>
      </c>
      <c r="C36" s="6" t="s">
        <v>36</v>
      </c>
      <c r="D36" s="17">
        <v>2510</v>
      </c>
      <c r="E36" s="6" t="s">
        <v>41</v>
      </c>
      <c r="F36" s="6">
        <v>1380.5</v>
      </c>
      <c r="G36" s="6">
        <v>1369</v>
      </c>
      <c r="H36" s="6">
        <v>82</v>
      </c>
      <c r="I36" s="6">
        <v>127.55</v>
      </c>
      <c r="J36" s="6">
        <v>276</v>
      </c>
      <c r="K36" s="6">
        <v>160</v>
      </c>
      <c r="L36" s="35">
        <f>K36/B36</f>
        <v>40</v>
      </c>
      <c r="M36" s="6"/>
      <c r="N36" s="9">
        <f t="shared" si="4"/>
        <v>0.333282868525896</v>
      </c>
      <c r="O36" s="6">
        <f t="shared" si="0"/>
        <v>836.54</v>
      </c>
      <c r="P36" s="6">
        <f>6.21+44.31</f>
        <v>50.52</v>
      </c>
      <c r="Q36" s="6">
        <f>1.2+37.8+22.32+53</f>
        <v>114.32</v>
      </c>
      <c r="R36" s="6">
        <f>24.2+63.65</f>
        <v>87.85</v>
      </c>
      <c r="S36" s="6">
        <f>11+7.7</f>
        <v>18.7</v>
      </c>
      <c r="T36" s="6">
        <f>12.84+19.55</f>
        <v>32.39</v>
      </c>
      <c r="U36" s="6">
        <f>30+74.19+284.1</f>
        <v>388.29</v>
      </c>
      <c r="V36" s="6"/>
      <c r="W36" s="6">
        <v>0.7</v>
      </c>
      <c r="X36" s="6">
        <v>10.6</v>
      </c>
      <c r="Y36" s="6">
        <v>1.79</v>
      </c>
      <c r="Z36" s="6">
        <f>14.38+24+93</f>
        <v>131.38</v>
      </c>
      <c r="AA36" s="6">
        <v>6.02</v>
      </c>
      <c r="AB36" s="6">
        <v>6.9</v>
      </c>
      <c r="AC36" s="6">
        <f>0.17+0.4</f>
        <v>0.57</v>
      </c>
      <c r="AD36" s="6"/>
      <c r="AE36" s="6">
        <v>25.9</v>
      </c>
      <c r="AF36" s="6">
        <v>8.47</v>
      </c>
      <c r="AG36" s="6">
        <v>35.5</v>
      </c>
    </row>
    <row r="37" s="1" customFormat="1" ht="21" customHeight="1" spans="1:33">
      <c r="A37" s="5">
        <v>45037</v>
      </c>
      <c r="B37" s="16">
        <v>5</v>
      </c>
      <c r="C37" s="6" t="s">
        <v>36</v>
      </c>
      <c r="D37" s="17">
        <v>3240</v>
      </c>
      <c r="E37" s="6" t="s">
        <v>41</v>
      </c>
      <c r="F37" s="6">
        <v>1782</v>
      </c>
      <c r="G37" s="6">
        <v>1771</v>
      </c>
      <c r="H37" s="6">
        <v>81.15</v>
      </c>
      <c r="I37" s="6">
        <v>130</v>
      </c>
      <c r="J37" s="6">
        <v>200</v>
      </c>
      <c r="K37" s="6">
        <v>167</v>
      </c>
      <c r="L37" s="35">
        <f>K37/B37</f>
        <v>33.4</v>
      </c>
      <c r="M37" s="6"/>
      <c r="N37" s="9">
        <f t="shared" si="4"/>
        <v>0.409793209876543</v>
      </c>
      <c r="O37" s="6">
        <f t="shared" si="0"/>
        <v>1327.73</v>
      </c>
      <c r="P37" s="6">
        <f>33.9+38.5+36.86</f>
        <v>109.26</v>
      </c>
      <c r="Q37" s="6">
        <f>3.7+31.4+31.9+84.14</f>
        <v>151.14</v>
      </c>
      <c r="R37" s="6">
        <f>56.5+13.45+61.7+39.9</f>
        <v>171.55</v>
      </c>
      <c r="S37" s="6">
        <f>3.9+7.5</f>
        <v>11.4</v>
      </c>
      <c r="T37" s="6">
        <f>7.9+10+13.82</f>
        <v>31.72</v>
      </c>
      <c r="U37" s="6">
        <f>19.8+262.3+193+276.5</f>
        <v>751.6</v>
      </c>
      <c r="V37" s="6">
        <v>23.5</v>
      </c>
      <c r="W37" s="6">
        <v>1.2</v>
      </c>
      <c r="X37" s="6">
        <v>4.4</v>
      </c>
      <c r="Y37" s="6">
        <v>2</v>
      </c>
      <c r="Z37" s="6">
        <v>69.96</v>
      </c>
      <c r="AA37" s="6">
        <v>6.04</v>
      </c>
      <c r="AB37" s="6">
        <v>6.9</v>
      </c>
      <c r="AC37" s="6"/>
      <c r="AD37" s="6"/>
      <c r="AE37" s="6">
        <v>25.92</v>
      </c>
      <c r="AF37" s="16">
        <v>8.48</v>
      </c>
      <c r="AG37" s="53">
        <v>35.6</v>
      </c>
    </row>
    <row r="38" s="1" customFormat="1" ht="21" customHeight="1" spans="1:33">
      <c r="A38" s="18">
        <v>45041</v>
      </c>
      <c r="B38" s="13">
        <v>5</v>
      </c>
      <c r="C38" s="13" t="s">
        <v>36</v>
      </c>
      <c r="D38" s="19">
        <v>3310</v>
      </c>
      <c r="E38" s="13" t="s">
        <v>41</v>
      </c>
      <c r="F38" s="13">
        <v>1820.5</v>
      </c>
      <c r="G38" s="13">
        <v>1809</v>
      </c>
      <c r="H38" s="13">
        <v>83</v>
      </c>
      <c r="I38" s="13">
        <v>125.1</v>
      </c>
      <c r="J38" s="13">
        <v>180.95</v>
      </c>
      <c r="K38" s="13">
        <v>165</v>
      </c>
      <c r="L38" s="43">
        <f>K38/B38</f>
        <v>33</v>
      </c>
      <c r="M38" s="6"/>
      <c r="N38" s="32">
        <f>(O38+O39)/D38</f>
        <v>0.420395770392749</v>
      </c>
      <c r="O38" s="6">
        <f t="shared" si="0"/>
        <v>611.88</v>
      </c>
      <c r="P38" s="6">
        <v>61.9</v>
      </c>
      <c r="Q38" s="6">
        <v>164.9</v>
      </c>
      <c r="R38" s="6">
        <v>44.7</v>
      </c>
      <c r="S38" s="6"/>
      <c r="T38" s="6">
        <f>3.4+7.8</f>
        <v>11.2</v>
      </c>
      <c r="U38" s="6">
        <f>208.5+45.78</f>
        <v>254.28</v>
      </c>
      <c r="V38" s="6">
        <v>36</v>
      </c>
      <c r="W38" s="6"/>
      <c r="X38" s="6">
        <v>1.5</v>
      </c>
      <c r="Y38" s="6">
        <v>1.5</v>
      </c>
      <c r="Z38" s="6">
        <v>35.9</v>
      </c>
      <c r="AA38" s="13">
        <v>6.03</v>
      </c>
      <c r="AB38" s="13">
        <v>6.9</v>
      </c>
      <c r="AC38" s="6">
        <v>0.4</v>
      </c>
      <c r="AD38" s="6"/>
      <c r="AE38" s="13">
        <v>26</v>
      </c>
      <c r="AF38" s="6">
        <v>9.4</v>
      </c>
      <c r="AG38" s="54">
        <v>35.5</v>
      </c>
    </row>
    <row r="39" s="1" customFormat="1" ht="21" customHeight="1" spans="1:33">
      <c r="A39" s="20"/>
      <c r="B39" s="14"/>
      <c r="C39" s="14"/>
      <c r="D39" s="21"/>
      <c r="E39" s="14"/>
      <c r="F39" s="14"/>
      <c r="G39" s="14"/>
      <c r="H39" s="14"/>
      <c r="I39" s="14"/>
      <c r="J39" s="14"/>
      <c r="K39" s="14"/>
      <c r="L39" s="44"/>
      <c r="M39" s="6"/>
      <c r="N39" s="34"/>
      <c r="O39" s="6">
        <f t="shared" si="0"/>
        <v>779.63</v>
      </c>
      <c r="P39" s="6">
        <f>44.59+18.45</f>
        <v>63.04</v>
      </c>
      <c r="Q39" s="6">
        <f>11.5+131+43.05</f>
        <v>185.55</v>
      </c>
      <c r="R39" s="6">
        <f>21.5+63.6</f>
        <v>85.1</v>
      </c>
      <c r="S39" s="6">
        <f>3.9+1.5</f>
        <v>5.4</v>
      </c>
      <c r="T39" s="6">
        <v>10.9</v>
      </c>
      <c r="U39" s="6">
        <f>7.5+5.6+79+309.88-18</f>
        <v>383.98</v>
      </c>
      <c r="V39" s="6">
        <v>32</v>
      </c>
      <c r="W39" s="6"/>
      <c r="X39" s="6">
        <v>3.9</v>
      </c>
      <c r="Y39" s="6">
        <f>1.76+8</f>
        <v>9.76</v>
      </c>
      <c r="Z39" s="6"/>
      <c r="AA39" s="14"/>
      <c r="AB39" s="14"/>
      <c r="AC39" s="6">
        <v>0.5</v>
      </c>
      <c r="AD39" s="6"/>
      <c r="AE39" s="14"/>
      <c r="AF39" s="6">
        <v>9.41</v>
      </c>
      <c r="AG39" s="55"/>
    </row>
    <row r="40" ht="31" customHeight="1" spans="2:21">
      <c r="B40" s="22"/>
      <c r="D40" s="22"/>
      <c r="E40" s="22"/>
      <c r="G40" s="22"/>
      <c r="H40" s="22"/>
      <c r="I40" s="22"/>
      <c r="J40" s="22"/>
      <c r="K40" s="22"/>
      <c r="O40" s="22"/>
      <c r="P40" s="22"/>
      <c r="Q40" s="22"/>
      <c r="R40" s="22"/>
      <c r="S40" s="22"/>
      <c r="T40" s="22"/>
      <c r="U40" s="22"/>
    </row>
    <row r="41" ht="36" customHeight="1"/>
    <row r="42" ht="18" customHeight="1" spans="6:15">
      <c r="F42" s="23"/>
      <c r="G42" s="23"/>
      <c r="J42" s="23"/>
      <c r="O42" s="23"/>
    </row>
    <row r="43" spans="10:11">
      <c r="J43" s="23"/>
      <c r="K43" s="23"/>
    </row>
    <row r="45" spans="10:10">
      <c r="J45" s="45"/>
    </row>
    <row r="46" ht="31" customHeight="1" spans="5:33">
      <c r="E46" s="24" t="s">
        <v>58</v>
      </c>
      <c r="F46" s="25" t="s">
        <v>59</v>
      </c>
      <c r="G46" s="25"/>
      <c r="H46" s="25"/>
      <c r="I46" s="25"/>
      <c r="J46" s="25"/>
      <c r="K46" s="46"/>
      <c r="L46" s="47"/>
      <c r="M46" s="25"/>
      <c r="N46" s="25"/>
      <c r="O46" s="25" t="s">
        <v>13</v>
      </c>
      <c r="P46" s="25" t="s">
        <v>60</v>
      </c>
      <c r="Q46" s="25" t="s">
        <v>61</v>
      </c>
      <c r="R46" s="25" t="s">
        <v>14</v>
      </c>
      <c r="S46" s="25" t="s">
        <v>62</v>
      </c>
      <c r="T46" s="25" t="s">
        <v>18</v>
      </c>
      <c r="U46" s="25" t="s">
        <v>24</v>
      </c>
      <c r="V46" s="25" t="s">
        <v>63</v>
      </c>
      <c r="W46" s="25" t="s">
        <v>22</v>
      </c>
      <c r="X46" s="25" t="s">
        <v>23</v>
      </c>
      <c r="Y46" s="25"/>
      <c r="Z46" s="25"/>
      <c r="AA46" s="25"/>
      <c r="AB46" s="25"/>
      <c r="AC46" s="25"/>
      <c r="AD46" s="25"/>
      <c r="AE46" s="25"/>
      <c r="AF46" s="25"/>
      <c r="AG46" s="25"/>
    </row>
    <row r="47" ht="32" customHeight="1" spans="1:33">
      <c r="A47" s="26">
        <v>45300</v>
      </c>
      <c r="B47" s="24">
        <v>7</v>
      </c>
      <c r="C47" s="25" t="s">
        <v>36</v>
      </c>
      <c r="D47" s="27"/>
      <c r="E47" s="24">
        <v>1700</v>
      </c>
      <c r="F47" s="28">
        <f>O47/E47</f>
        <v>0.435235294117647</v>
      </c>
      <c r="G47" s="27"/>
      <c r="H47" s="27"/>
      <c r="I47" s="27"/>
      <c r="J47" s="27"/>
      <c r="K47" s="27"/>
      <c r="L47" s="47"/>
      <c r="M47" s="25"/>
      <c r="N47" s="25"/>
      <c r="O47" s="27">
        <v>739.9</v>
      </c>
      <c r="P47" s="27">
        <v>385.3</v>
      </c>
      <c r="Q47" s="27">
        <v>121</v>
      </c>
      <c r="R47" s="27">
        <v>54.2</v>
      </c>
      <c r="S47" s="49">
        <v>110.7</v>
      </c>
      <c r="T47" s="27">
        <v>18.9</v>
      </c>
      <c r="U47" s="49">
        <v>38</v>
      </c>
      <c r="V47" s="25">
        <v>4.6</v>
      </c>
      <c r="W47" s="25">
        <v>2.3</v>
      </c>
      <c r="X47" s="25">
        <v>4.9</v>
      </c>
      <c r="Y47" s="25"/>
      <c r="Z47" s="52"/>
      <c r="AA47" s="25"/>
      <c r="AB47" s="25"/>
      <c r="AC47" s="25"/>
      <c r="AD47" s="25"/>
      <c r="AE47" s="25"/>
      <c r="AF47" s="25"/>
      <c r="AG47" s="25"/>
    </row>
    <row r="48" ht="30" customHeight="1" spans="16:24">
      <c r="P48" s="48">
        <f>P47/O47</f>
        <v>0.520746046763076</v>
      </c>
      <c r="Q48" s="48">
        <f>Q47/O47</f>
        <v>0.163535612920665</v>
      </c>
      <c r="R48" s="48">
        <f>R47/O47</f>
        <v>0.0732531423165293</v>
      </c>
      <c r="S48" s="48">
        <f>S47/O47</f>
        <v>0.149614812812542</v>
      </c>
      <c r="T48" s="48">
        <f>T47/O47</f>
        <v>0.0255439924314096</v>
      </c>
      <c r="U48" s="48">
        <f>U47/O47</f>
        <v>0.0513582916610353</v>
      </c>
      <c r="V48" s="48">
        <f>V47/O47</f>
        <v>0.00621705635896743</v>
      </c>
      <c r="W48" s="48">
        <f>W47/O47</f>
        <v>0.00310852817948371</v>
      </c>
      <c r="X48" s="48">
        <f>X47/O47</f>
        <v>0.00662251655629139</v>
      </c>
    </row>
  </sheetData>
  <mergeCells count="155">
    <mergeCell ref="A1:A2"/>
    <mergeCell ref="A38:A39"/>
    <mergeCell ref="B1:B2"/>
    <mergeCell ref="B3:B4"/>
    <mergeCell ref="B5:B6"/>
    <mergeCell ref="B16:B18"/>
    <mergeCell ref="B32:B33"/>
    <mergeCell ref="B38:B39"/>
    <mergeCell ref="C1:C2"/>
    <mergeCell ref="C3:C4"/>
    <mergeCell ref="C5:C6"/>
    <mergeCell ref="C12:C13"/>
    <mergeCell ref="C14:C15"/>
    <mergeCell ref="C16:C18"/>
    <mergeCell ref="C19:C20"/>
    <mergeCell ref="C22:C23"/>
    <mergeCell ref="C24:C25"/>
    <mergeCell ref="C27:C28"/>
    <mergeCell ref="C32:C33"/>
    <mergeCell ref="C38:C39"/>
    <mergeCell ref="D1:D2"/>
    <mergeCell ref="D3:D4"/>
    <mergeCell ref="D5:D6"/>
    <mergeCell ref="D9:D10"/>
    <mergeCell ref="D12:D13"/>
    <mergeCell ref="D14:D15"/>
    <mergeCell ref="D16:D18"/>
    <mergeCell ref="D19:D20"/>
    <mergeCell ref="D22:D23"/>
    <mergeCell ref="D24:D25"/>
    <mergeCell ref="D27:D28"/>
    <mergeCell ref="D32:D33"/>
    <mergeCell ref="D38:D39"/>
    <mergeCell ref="E1:E2"/>
    <mergeCell ref="E3:E4"/>
    <mergeCell ref="E5:E6"/>
    <mergeCell ref="E9:E10"/>
    <mergeCell ref="E12:E13"/>
    <mergeCell ref="E14:E15"/>
    <mergeCell ref="E16:E18"/>
    <mergeCell ref="E19:E20"/>
    <mergeCell ref="E22:E23"/>
    <mergeCell ref="E24:E25"/>
    <mergeCell ref="E27:E28"/>
    <mergeCell ref="E32:E33"/>
    <mergeCell ref="E38:E39"/>
    <mergeCell ref="F3:F4"/>
    <mergeCell ref="F5:F6"/>
    <mergeCell ref="F9:F10"/>
    <mergeCell ref="F12:F13"/>
    <mergeCell ref="F14:F15"/>
    <mergeCell ref="F16:F18"/>
    <mergeCell ref="F19:F20"/>
    <mergeCell ref="F22:F23"/>
    <mergeCell ref="F24:F25"/>
    <mergeCell ref="F27:F28"/>
    <mergeCell ref="F32:F33"/>
    <mergeCell ref="F38:F39"/>
    <mergeCell ref="G3:G4"/>
    <mergeCell ref="G5:G6"/>
    <mergeCell ref="G9:G10"/>
    <mergeCell ref="G12:G13"/>
    <mergeCell ref="G14:G15"/>
    <mergeCell ref="G16:G18"/>
    <mergeCell ref="G19:G20"/>
    <mergeCell ref="G22:G23"/>
    <mergeCell ref="G24:G25"/>
    <mergeCell ref="G27:G28"/>
    <mergeCell ref="G32:G33"/>
    <mergeCell ref="G38:G39"/>
    <mergeCell ref="H3:H4"/>
    <mergeCell ref="H5:H6"/>
    <mergeCell ref="H9:H10"/>
    <mergeCell ref="H12:H13"/>
    <mergeCell ref="H14:H15"/>
    <mergeCell ref="H17:H18"/>
    <mergeCell ref="H19:H20"/>
    <mergeCell ref="H22:H23"/>
    <mergeCell ref="H24:H25"/>
    <mergeCell ref="H27:H28"/>
    <mergeCell ref="H38:H39"/>
    <mergeCell ref="I3:I4"/>
    <mergeCell ref="I5:I6"/>
    <mergeCell ref="I9:I10"/>
    <mergeCell ref="I12:I13"/>
    <mergeCell ref="I14:I15"/>
    <mergeCell ref="I17:I18"/>
    <mergeCell ref="I19:I20"/>
    <mergeCell ref="I22:I23"/>
    <mergeCell ref="I24:I25"/>
    <mergeCell ref="I27:I28"/>
    <mergeCell ref="I38:I39"/>
    <mergeCell ref="J3:J4"/>
    <mergeCell ref="J5:J6"/>
    <mergeCell ref="J9:J10"/>
    <mergeCell ref="J12:J13"/>
    <mergeCell ref="J14:J15"/>
    <mergeCell ref="J17:J18"/>
    <mergeCell ref="J19:J20"/>
    <mergeCell ref="J22:J23"/>
    <mergeCell ref="J24:J25"/>
    <mergeCell ref="J27:J28"/>
    <mergeCell ref="J38:J39"/>
    <mergeCell ref="K3:K4"/>
    <mergeCell ref="K5:K6"/>
    <mergeCell ref="K9:K10"/>
    <mergeCell ref="K12:K13"/>
    <mergeCell ref="K14:K15"/>
    <mergeCell ref="K17:K18"/>
    <mergeCell ref="K19:K20"/>
    <mergeCell ref="K22:K23"/>
    <mergeCell ref="K24:K25"/>
    <mergeCell ref="K27:K28"/>
    <mergeCell ref="K38:K39"/>
    <mergeCell ref="L3:L4"/>
    <mergeCell ref="L5:L6"/>
    <mergeCell ref="L9:L10"/>
    <mergeCell ref="L12:L13"/>
    <mergeCell ref="L14:L15"/>
    <mergeCell ref="L16:L18"/>
    <mergeCell ref="L19:L20"/>
    <mergeCell ref="L22:L23"/>
    <mergeCell ref="L24:L25"/>
    <mergeCell ref="L27:L28"/>
    <mergeCell ref="L32:L33"/>
    <mergeCell ref="L38:L39"/>
    <mergeCell ref="M3:M4"/>
    <mergeCell ref="M5:M6"/>
    <mergeCell ref="N3:N4"/>
    <mergeCell ref="N5:N6"/>
    <mergeCell ref="N9:N10"/>
    <mergeCell ref="N12:N13"/>
    <mergeCell ref="N14:N15"/>
    <mergeCell ref="N16:N18"/>
    <mergeCell ref="N19:N20"/>
    <mergeCell ref="N22:N23"/>
    <mergeCell ref="N24:N25"/>
    <mergeCell ref="N27:N28"/>
    <mergeCell ref="N32:N33"/>
    <mergeCell ref="N38:N39"/>
    <mergeCell ref="O1:O2"/>
    <mergeCell ref="AA3:AA4"/>
    <mergeCell ref="AA5:AA6"/>
    <mergeCell ref="AA38:AA39"/>
    <mergeCell ref="AB3:AB4"/>
    <mergeCell ref="AB5:AB6"/>
    <mergeCell ref="AB38:AB39"/>
    <mergeCell ref="AC5:AC6"/>
    <mergeCell ref="AD3:AD4"/>
    <mergeCell ref="AD5:AD6"/>
    <mergeCell ref="AE32:AE33"/>
    <mergeCell ref="AE38:AE39"/>
    <mergeCell ref="AF32:AF33"/>
    <mergeCell ref="AG32:AG33"/>
    <mergeCell ref="AG38:AG39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3"/>
  <sheetViews>
    <sheetView workbookViewId="0">
      <selection activeCell="N34" sqref="N34"/>
    </sheetView>
  </sheetViews>
  <sheetFormatPr defaultColWidth="9" defaultRowHeight="14.25"/>
  <cols>
    <col min="22" max="22" width="12.625"/>
  </cols>
  <sheetData>
    <row r="1" s="1" customFormat="1" ht="21" customHeight="1" spans="1:32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2" t="s">
        <v>13</v>
      </c>
      <c r="O1" s="6" t="s">
        <v>14</v>
      </c>
      <c r="P1" s="6" t="s">
        <v>15</v>
      </c>
      <c r="Q1" s="2" t="s">
        <v>16</v>
      </c>
      <c r="R1" s="6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11" t="s">
        <v>28</v>
      </c>
      <c r="AD1" s="6" t="s">
        <v>29</v>
      </c>
      <c r="AE1" s="6" t="s">
        <v>30</v>
      </c>
      <c r="AF1" s="6" t="s">
        <v>31</v>
      </c>
    </row>
    <row r="2" s="1" customFormat="1" ht="21" customHeight="1" spans="1:32">
      <c r="A2" s="2"/>
      <c r="B2" s="2"/>
      <c r="C2" s="3"/>
      <c r="D2" s="3"/>
      <c r="E2" s="2"/>
      <c r="F2" s="4" t="s">
        <v>32</v>
      </c>
      <c r="G2" s="4" t="s">
        <v>32</v>
      </c>
      <c r="H2" s="4" t="s">
        <v>32</v>
      </c>
      <c r="I2" s="4" t="s">
        <v>32</v>
      </c>
      <c r="J2" s="4" t="s">
        <v>32</v>
      </c>
      <c r="K2" s="4" t="s">
        <v>32</v>
      </c>
      <c r="L2" s="4" t="s">
        <v>32</v>
      </c>
      <c r="M2" s="8" t="s">
        <v>33</v>
      </c>
      <c r="N2" s="2"/>
      <c r="O2" s="6" t="s">
        <v>34</v>
      </c>
      <c r="P2" s="6" t="s">
        <v>34</v>
      </c>
      <c r="Q2" s="6" t="s">
        <v>34</v>
      </c>
      <c r="R2" s="6" t="s">
        <v>34</v>
      </c>
      <c r="S2" s="6" t="s">
        <v>34</v>
      </c>
      <c r="T2" s="6" t="s">
        <v>34</v>
      </c>
      <c r="U2" s="6" t="s">
        <v>34</v>
      </c>
      <c r="V2" s="6" t="s">
        <v>34</v>
      </c>
      <c r="W2" s="6" t="s">
        <v>34</v>
      </c>
      <c r="X2" s="6" t="s">
        <v>34</v>
      </c>
      <c r="Y2" s="6" t="s">
        <v>34</v>
      </c>
      <c r="Z2" s="6" t="s">
        <v>35</v>
      </c>
      <c r="AA2" s="6" t="s">
        <v>35</v>
      </c>
      <c r="AB2" s="6" t="s">
        <v>34</v>
      </c>
      <c r="AC2" s="11" t="s">
        <v>35</v>
      </c>
      <c r="AD2" s="6">
        <v>10</v>
      </c>
      <c r="AE2" s="6">
        <v>20</v>
      </c>
      <c r="AF2" s="6">
        <v>20</v>
      </c>
    </row>
    <row r="3" s="1" customFormat="1" ht="21" customHeight="1" spans="1:32">
      <c r="A3" s="5">
        <v>44937</v>
      </c>
      <c r="B3" s="6">
        <v>1</v>
      </c>
      <c r="C3" s="6" t="s">
        <v>37</v>
      </c>
      <c r="D3" s="6">
        <v>330</v>
      </c>
      <c r="E3" s="6">
        <v>320</v>
      </c>
      <c r="F3" s="6">
        <f>330*0.55</f>
        <v>181.5</v>
      </c>
      <c r="G3" s="6">
        <v>170</v>
      </c>
      <c r="H3" s="6">
        <v>29</v>
      </c>
      <c r="I3" s="6">
        <v>30</v>
      </c>
      <c r="J3" s="6">
        <v>25</v>
      </c>
      <c r="K3" s="6">
        <v>55.5</v>
      </c>
      <c r="L3" s="6"/>
      <c r="M3" s="9">
        <f>N3/E3</f>
        <v>0.34375</v>
      </c>
      <c r="N3" s="6">
        <f>SUM(O3:Y3)</f>
        <v>110</v>
      </c>
      <c r="O3" s="6"/>
      <c r="P3" s="6"/>
      <c r="Q3" s="6"/>
      <c r="R3" s="6"/>
      <c r="S3" s="6"/>
      <c r="T3" s="6">
        <v>110</v>
      </c>
      <c r="U3" s="6"/>
      <c r="V3" s="6"/>
      <c r="W3" s="6"/>
      <c r="X3" s="6"/>
      <c r="Y3" s="6"/>
      <c r="Z3" s="6">
        <v>1</v>
      </c>
      <c r="AA3" s="6">
        <v>1</v>
      </c>
      <c r="AB3" s="6">
        <v>0.2</v>
      </c>
      <c r="AC3" s="11">
        <v>1</v>
      </c>
      <c r="AD3" s="6"/>
      <c r="AE3" s="6"/>
      <c r="AF3" s="6"/>
    </row>
    <row r="23" spans="20:20">
      <c r="T23" s="10"/>
    </row>
  </sheetData>
  <mergeCells count="6">
    <mergeCell ref="A1:A2"/>
    <mergeCell ref="B1:B2"/>
    <mergeCell ref="C1:C2"/>
    <mergeCell ref="D1:D2"/>
    <mergeCell ref="E1:E2"/>
    <mergeCell ref="N1:N2"/>
  </mergeCell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2023</vt:lpstr>
      <vt:lpstr>西门塔尔公牛屠宰数据</vt:lpstr>
      <vt:lpstr>黄公牛屠宰数据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兴晟☆兴宇</cp:lastModifiedBy>
  <dcterms:created xsi:type="dcterms:W3CDTF">2015-05-08T03:17:00Z</dcterms:created>
  <cp:lastPrinted>2021-03-27T07:21:00Z</cp:lastPrinted>
  <dcterms:modified xsi:type="dcterms:W3CDTF">2025-11-07T03:26:16Z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59B7FE929E2B475EB88B3405745C65F9</vt:lpwstr>
  </property>
  <property fmtid="{D5CDD505-2E9C-101B-9397-08002B2CF9AE}" pid="4" name="commondata">
    <vt:lpwstr>eyJoZGlkIjoiNThmZjhlYjNiNDg5NjgyNmExZjk0M2U3MWQ0NTQ3Y2YifQ==</vt:lpwstr>
  </property>
</Properties>
</file>