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屠宰数据 (2)" sheetId="3" r:id="rId1"/>
    <sheet name="屠宰数据" sheetId="1" state="hidden" r:id="rId2"/>
  </sheets>
  <definedNames>
    <definedName name="_xlnm._FilterDatabase" localSheetId="0" hidden="1">'屠宰数据 (2)'!$A$1:$AY$210</definedName>
    <definedName name="_xlnm._FilterDatabase" localSheetId="1" hidden="1">屠宰数据!$A$1:$AY$200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lenovo004</author>
  </authors>
  <commentList>
    <comment ref="AQ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大块+小块</t>
        </r>
      </text>
    </comment>
    <comment ref="R51" authorId="0">
      <text>
        <r>
          <rPr>
            <b/>
            <sz val="9"/>
            <rFont val="Tahoma"/>
            <charset val="0"/>
          </rPr>
          <t>DELL:</t>
        </r>
        <r>
          <rPr>
            <sz val="9"/>
            <rFont val="Tahoma"/>
            <charset val="0"/>
          </rPr>
          <t xml:space="preserve">
9+32.5+195+41.5+22.7
</t>
        </r>
      </text>
    </comment>
    <comment ref="Q71" authorId="0">
      <text>
        <r>
          <rPr>
            <b/>
            <sz val="9"/>
            <rFont val="Tahoma"/>
            <charset val="0"/>
          </rPr>
          <t>DELL:</t>
        </r>
        <r>
          <rPr>
            <sz val="9"/>
            <rFont val="Tahoma"/>
            <charset val="0"/>
          </rPr>
          <t xml:space="preserve">
</t>
        </r>
        <r>
          <rPr>
            <sz val="9"/>
            <rFont val="宋体"/>
            <charset val="134"/>
          </rPr>
          <t xml:space="preserve">医科大体检
</t>
        </r>
      </text>
    </comment>
    <comment ref="X92" authorId="0">
      <text>
        <r>
          <rPr>
            <b/>
            <sz val="9"/>
            <rFont val="Tahoma"/>
            <charset val="134"/>
          </rPr>
          <t>DE</t>
        </r>
        <r>
          <rPr>
            <b/>
            <sz val="9"/>
            <rFont val="宋体"/>
            <charset val="134"/>
          </rPr>
          <t>幼儿园</t>
        </r>
      </text>
    </comment>
    <comment ref="D145" authorId="1">
      <text>
        <r>
          <rPr>
            <b/>
            <sz val="9"/>
            <rFont val="宋体"/>
            <charset val="134"/>
          </rPr>
          <t>lenovo004:</t>
        </r>
        <r>
          <rPr>
            <sz val="9"/>
            <rFont val="宋体"/>
            <charset val="134"/>
          </rPr>
          <t xml:space="preserve">
5.18号两头养殖场是1500kg</t>
        </r>
      </text>
    </comment>
    <comment ref="AP161" authorId="0">
      <text>
        <r>
          <rPr>
            <b/>
            <sz val="9"/>
            <rFont val="Tahoma"/>
            <charset val="134"/>
          </rPr>
          <t>DELL: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废肉</t>
        </r>
        <r>
          <rPr>
            <sz val="9"/>
            <rFont val="Tahoma"/>
            <charset val="134"/>
          </rPr>
          <t xml:space="preserve">60 </t>
        </r>
        <r>
          <rPr>
            <sz val="9"/>
            <rFont val="宋体"/>
            <charset val="134"/>
          </rPr>
          <t>公斤</t>
        </r>
      </text>
    </comment>
  </commentList>
</comments>
</file>

<file path=xl/comments2.xml><?xml version="1.0" encoding="utf-8"?>
<comments xmlns="http://schemas.openxmlformats.org/spreadsheetml/2006/main">
  <authors>
    <author>DELL</author>
    <author>lenovo004</author>
  </authors>
  <commentList>
    <comment ref="AQ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大块+小块</t>
        </r>
      </text>
    </comment>
    <comment ref="R51" authorId="0">
      <text>
        <r>
          <rPr>
            <b/>
            <sz val="9"/>
            <rFont val="Tahoma"/>
            <charset val="0"/>
          </rPr>
          <t>DELL:</t>
        </r>
        <r>
          <rPr>
            <sz val="9"/>
            <rFont val="Tahoma"/>
            <charset val="0"/>
          </rPr>
          <t xml:space="preserve">
9+32.5+195+41.5+22.7
</t>
        </r>
      </text>
    </comment>
    <comment ref="Q71" authorId="0">
      <text>
        <r>
          <rPr>
            <b/>
            <sz val="9"/>
            <rFont val="Tahoma"/>
            <charset val="0"/>
          </rPr>
          <t>DELL:</t>
        </r>
        <r>
          <rPr>
            <sz val="9"/>
            <rFont val="Tahoma"/>
            <charset val="0"/>
          </rPr>
          <t xml:space="preserve">
</t>
        </r>
        <r>
          <rPr>
            <sz val="9"/>
            <rFont val="宋体"/>
            <charset val="134"/>
          </rPr>
          <t xml:space="preserve">医科大体检
</t>
        </r>
      </text>
    </comment>
    <comment ref="X92" authorId="0">
      <text>
        <r>
          <rPr>
            <b/>
            <sz val="9"/>
            <rFont val="Tahoma"/>
            <charset val="134"/>
          </rPr>
          <t>DE</t>
        </r>
        <r>
          <rPr>
            <b/>
            <sz val="9"/>
            <rFont val="宋体"/>
            <charset val="134"/>
          </rPr>
          <t>幼儿园</t>
        </r>
      </text>
    </comment>
    <comment ref="D145" authorId="1">
      <text>
        <r>
          <rPr>
            <b/>
            <sz val="9"/>
            <rFont val="宋体"/>
            <charset val="134"/>
          </rPr>
          <t>lenovo004:</t>
        </r>
        <r>
          <rPr>
            <sz val="9"/>
            <rFont val="宋体"/>
            <charset val="134"/>
          </rPr>
          <t xml:space="preserve">
5.18号两头养殖场是1500kg</t>
        </r>
      </text>
    </comment>
    <comment ref="AP161" authorId="0">
      <text>
        <r>
          <rPr>
            <b/>
            <sz val="9"/>
            <rFont val="Tahoma"/>
            <charset val="134"/>
          </rPr>
          <t>DELL: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废肉</t>
        </r>
        <r>
          <rPr>
            <sz val="9"/>
            <rFont val="Tahoma"/>
            <charset val="134"/>
          </rPr>
          <t xml:space="preserve">60 </t>
        </r>
        <r>
          <rPr>
            <sz val="9"/>
            <rFont val="宋体"/>
            <charset val="134"/>
          </rPr>
          <t>公斤</t>
        </r>
      </text>
    </comment>
  </commentList>
</comments>
</file>

<file path=xl/sharedStrings.xml><?xml version="1.0" encoding="utf-8"?>
<sst xmlns="http://schemas.openxmlformats.org/spreadsheetml/2006/main" count="445" uniqueCount="73">
  <si>
    <t>序号</t>
  </si>
  <si>
    <t>日期(2021年)</t>
  </si>
  <si>
    <t>牛号</t>
  </si>
  <si>
    <r>
      <rPr>
        <sz val="10.5"/>
        <rFont val="宋体"/>
        <charset val="134"/>
      </rPr>
      <t>宰前体重（</t>
    </r>
    <r>
      <rPr>
        <sz val="10.5"/>
        <rFont val="Times New Roman"/>
        <charset val="0"/>
      </rPr>
      <t>kg</t>
    </r>
    <r>
      <rPr>
        <sz val="10.5"/>
        <rFont val="宋体"/>
        <charset val="134"/>
      </rPr>
      <t>）</t>
    </r>
  </si>
  <si>
    <t>胴体重</t>
  </si>
  <si>
    <t>排酸后重</t>
  </si>
  <si>
    <t>头蹄重</t>
  </si>
  <si>
    <t>牛油重</t>
  </si>
  <si>
    <t>牛皮重</t>
  </si>
  <si>
    <t>牛骨重</t>
  </si>
  <si>
    <t>净肉重</t>
  </si>
  <si>
    <r>
      <rPr>
        <sz val="10.5"/>
        <rFont val="宋体"/>
        <charset val="134"/>
      </rPr>
      <t>屠宰率</t>
    </r>
    <r>
      <rPr>
        <sz val="9"/>
        <rFont val="宋体"/>
        <charset val="134"/>
      </rPr>
      <t>（胴体重</t>
    </r>
    <r>
      <rPr>
        <sz val="9"/>
        <rFont val="Times New Roman"/>
        <charset val="0"/>
      </rPr>
      <t>/</t>
    </r>
    <r>
      <rPr>
        <sz val="9"/>
        <rFont val="宋体"/>
        <charset val="134"/>
      </rPr>
      <t>活体重）</t>
    </r>
  </si>
  <si>
    <t>出肉率</t>
  </si>
  <si>
    <t>各类肉入库重(kg)</t>
  </si>
  <si>
    <t>肩肉</t>
  </si>
  <si>
    <t>腱子</t>
  </si>
  <si>
    <t>辣椒肉</t>
  </si>
  <si>
    <t>白腩</t>
  </si>
  <si>
    <t>板腱</t>
  </si>
  <si>
    <t>上脑</t>
  </si>
  <si>
    <t>美肥</t>
  </si>
  <si>
    <t>眼肉</t>
  </si>
  <si>
    <t>外脊</t>
  </si>
  <si>
    <t>里脊</t>
  </si>
  <si>
    <t>小黄瓜条</t>
  </si>
  <si>
    <t>牛霖</t>
  </si>
  <si>
    <t>针扒</t>
  </si>
  <si>
    <t>尾龙扒</t>
  </si>
  <si>
    <t>牛排</t>
  </si>
  <si>
    <t>烩扒</t>
  </si>
  <si>
    <t>假上脑</t>
  </si>
  <si>
    <t>肋条</t>
  </si>
  <si>
    <t>带骨肋条</t>
  </si>
  <si>
    <t>窝骨</t>
  </si>
  <si>
    <t>1号</t>
  </si>
  <si>
    <t>2号</t>
  </si>
  <si>
    <t>3号</t>
  </si>
  <si>
    <t>4号</t>
  </si>
  <si>
    <t>肉筋</t>
  </si>
  <si>
    <t>板筋</t>
  </si>
  <si>
    <t>牛肉</t>
  </si>
  <si>
    <t>普通肉</t>
  </si>
  <si>
    <t>碎肉</t>
  </si>
  <si>
    <t>碎肉筋</t>
  </si>
  <si>
    <t>二次油</t>
  </si>
  <si>
    <t>牛鞭</t>
  </si>
  <si>
    <t>牛尾</t>
  </si>
  <si>
    <t>牛骨髓</t>
  </si>
  <si>
    <t>下水</t>
  </si>
  <si>
    <r>
      <rPr>
        <sz val="10.5"/>
        <rFont val="宋体"/>
        <charset val="134"/>
      </rPr>
      <t>（</t>
    </r>
    <r>
      <rPr>
        <sz val="10.5"/>
        <rFont val="Times New Roman"/>
        <charset val="0"/>
      </rPr>
      <t>kg</t>
    </r>
    <r>
      <rPr>
        <sz val="10.5"/>
        <rFont val="宋体"/>
        <charset val="134"/>
      </rPr>
      <t>）</t>
    </r>
  </si>
  <si>
    <t>肉重/活体重</t>
  </si>
  <si>
    <t>KG</t>
  </si>
  <si>
    <r>
      <rPr>
        <sz val="12"/>
        <rFont val="宋体"/>
        <charset val="134"/>
      </rPr>
      <t>K</t>
    </r>
    <r>
      <rPr>
        <sz val="12"/>
        <rFont val="宋体"/>
        <charset val="134"/>
      </rPr>
      <t>G</t>
    </r>
  </si>
  <si>
    <t>副</t>
  </si>
  <si>
    <t>西</t>
  </si>
  <si>
    <t>安格斯/母</t>
  </si>
  <si>
    <t xml:space="preserve">  </t>
  </si>
  <si>
    <t>隆林黄</t>
  </si>
  <si>
    <t>安格斯/公</t>
  </si>
  <si>
    <t>安格斯/？</t>
  </si>
  <si>
    <t>西/母</t>
  </si>
  <si>
    <t>安/母</t>
  </si>
  <si>
    <t>西门/母</t>
  </si>
  <si>
    <t>黄/母</t>
  </si>
  <si>
    <t>西/公</t>
  </si>
  <si>
    <t>安9.355#</t>
  </si>
  <si>
    <t>社保、工资等按每月屠宰10头算，平均数剩以本月3头</t>
  </si>
  <si>
    <t>新疆/公</t>
  </si>
  <si>
    <t>黄/公</t>
  </si>
  <si>
    <t>母</t>
  </si>
  <si>
    <t>已抄写</t>
  </si>
  <si>
    <t>陆空达</t>
  </si>
  <si>
    <t>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</si>
</sst>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_ "/>
    <numFmt numFmtId="178" formatCode="yyyy/m/d;@"/>
    <numFmt numFmtId="179" formatCode="0.0000_ "/>
  </numFmts>
  <fonts count="3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0"/>
    </font>
    <font>
      <sz val="9"/>
      <name val="宋体"/>
      <charset val="134"/>
    </font>
    <font>
      <sz val="9"/>
      <name val="Times New Roman"/>
      <charset val="0"/>
    </font>
    <font>
      <b/>
      <sz val="9"/>
      <name val="Tahoma"/>
      <charset val="134"/>
    </font>
    <font>
      <sz val="9"/>
      <name val="Tahoma"/>
      <charset val="0"/>
    </font>
    <font>
      <b/>
      <sz val="9"/>
      <name val="Tahoma"/>
      <charset val="0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176" fontId="1" fillId="0" borderId="0" xfId="0" applyNumberFormat="1" applyFont="1" applyFill="1" applyBorder="1" applyAlignment="1">
      <alignment vertical="center"/>
    </xf>
    <xf numFmtId="176" fontId="1" fillId="2" borderId="0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vertical="center"/>
    </xf>
    <xf numFmtId="176" fontId="1" fillId="0" borderId="3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176" fontId="1" fillId="2" borderId="3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horizontal="center" vertical="center"/>
    </xf>
    <xf numFmtId="58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center" vertical="center"/>
    </xf>
    <xf numFmtId="58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79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10"/>
  <sheetViews>
    <sheetView tabSelected="1" zoomScale="85" zoomScaleNormal="85" workbookViewId="0">
      <pane ySplit="2" topLeftCell="A87" activePane="bottomLeft" state="frozen"/>
      <selection/>
      <selection pane="bottomLeft" activeCell="R195" sqref="R195"/>
    </sheetView>
  </sheetViews>
  <sheetFormatPr defaultColWidth="9" defaultRowHeight="24.95" customHeight="1"/>
  <cols>
    <col min="1" max="1" width="9" style="10"/>
    <col min="2" max="2" width="14.125" style="11" customWidth="1"/>
    <col min="3" max="3" width="14.7083333333333" style="1" customWidth="1"/>
    <col min="4" max="4" width="11.325" style="12" customWidth="1"/>
    <col min="5" max="6" width="10.375" style="1"/>
    <col min="7" max="9" width="9.375" style="1"/>
    <col min="10" max="10" width="12.625" style="1"/>
    <col min="11" max="11" width="9" style="1"/>
    <col min="12" max="15" width="12.625" style="1"/>
    <col min="16" max="17" width="9" style="1"/>
    <col min="18" max="18" width="9.375" style="1"/>
    <col min="19" max="19" width="9" style="1"/>
    <col min="20" max="20" width="9.375" style="1"/>
    <col min="21" max="27" width="9" style="1"/>
    <col min="28" max="28" width="9.375" style="1"/>
    <col min="29" max="33" width="9" style="1"/>
    <col min="34" max="34" width="11.5" style="1"/>
    <col min="35" max="35" width="10.375" style="1"/>
    <col min="36" max="45" width="9" style="1"/>
    <col min="46" max="46" width="9.375" style="1"/>
    <col min="47" max="16384" width="9" style="1"/>
  </cols>
  <sheetData>
    <row r="1" s="1" customFormat="1" customHeight="1" spans="1:50">
      <c r="A1" s="13" t="s">
        <v>0</v>
      </c>
      <c r="B1" s="14" t="s">
        <v>1</v>
      </c>
      <c r="C1" s="15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5" t="s">
        <v>11</v>
      </c>
      <c r="M1" s="15" t="s">
        <v>12</v>
      </c>
      <c r="N1" s="16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10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</row>
    <row r="2" s="1" customFormat="1" customHeight="1" spans="1:50">
      <c r="A2" s="13"/>
      <c r="B2" s="14"/>
      <c r="C2" s="15"/>
      <c r="D2" s="16"/>
      <c r="E2" s="15" t="s">
        <v>49</v>
      </c>
      <c r="F2" s="15" t="s">
        <v>49</v>
      </c>
      <c r="G2" s="15" t="s">
        <v>49</v>
      </c>
      <c r="H2" s="15" t="s">
        <v>49</v>
      </c>
      <c r="I2" s="15" t="s">
        <v>49</v>
      </c>
      <c r="J2" s="15" t="s">
        <v>49</v>
      </c>
      <c r="K2" s="15" t="s">
        <v>49</v>
      </c>
      <c r="L2" s="15"/>
      <c r="M2" s="15" t="s">
        <v>50</v>
      </c>
      <c r="N2" s="16"/>
      <c r="O2" s="3" t="s">
        <v>51</v>
      </c>
      <c r="P2" s="3" t="s">
        <v>51</v>
      </c>
      <c r="Q2" s="3" t="s">
        <v>51</v>
      </c>
      <c r="R2" s="3" t="s">
        <v>51</v>
      </c>
      <c r="S2" s="3" t="s">
        <v>51</v>
      </c>
      <c r="T2" s="3" t="s">
        <v>51</v>
      </c>
      <c r="U2" s="3" t="s">
        <v>51</v>
      </c>
      <c r="V2" s="3" t="s">
        <v>51</v>
      </c>
      <c r="W2" s="3" t="s">
        <v>51</v>
      </c>
      <c r="X2" s="3" t="s">
        <v>51</v>
      </c>
      <c r="Y2" s="3" t="s">
        <v>51</v>
      </c>
      <c r="Z2" s="3" t="s">
        <v>51</v>
      </c>
      <c r="AA2" s="3" t="s">
        <v>51</v>
      </c>
      <c r="AB2" s="3" t="s">
        <v>51</v>
      </c>
      <c r="AC2" s="3" t="s">
        <v>51</v>
      </c>
      <c r="AD2" s="3" t="s">
        <v>51</v>
      </c>
      <c r="AE2" s="3" t="s">
        <v>51</v>
      </c>
      <c r="AF2" s="3" t="s">
        <v>51</v>
      </c>
      <c r="AG2" s="3" t="s">
        <v>51</v>
      </c>
      <c r="AH2" s="3" t="s">
        <v>51</v>
      </c>
      <c r="AI2" s="3" t="s">
        <v>51</v>
      </c>
      <c r="AJ2" s="3" t="s">
        <v>51</v>
      </c>
      <c r="AK2" s="3" t="s">
        <v>51</v>
      </c>
      <c r="AL2" s="3" t="s">
        <v>51</v>
      </c>
      <c r="AM2" s="3" t="s">
        <v>51</v>
      </c>
      <c r="AN2" s="3" t="s">
        <v>51</v>
      </c>
      <c r="AO2" s="3" t="s">
        <v>51</v>
      </c>
      <c r="AP2" s="3" t="s">
        <v>51</v>
      </c>
      <c r="AQ2" s="3" t="s">
        <v>51</v>
      </c>
      <c r="AR2" s="3" t="s">
        <v>51</v>
      </c>
      <c r="AS2" s="3" t="s">
        <v>52</v>
      </c>
      <c r="AT2" s="3" t="s">
        <v>51</v>
      </c>
      <c r="AU2" s="3" t="s">
        <v>53</v>
      </c>
      <c r="AV2" s="3" t="s">
        <v>53</v>
      </c>
      <c r="AW2" s="3" t="s">
        <v>51</v>
      </c>
      <c r="AX2" s="3" t="s">
        <v>53</v>
      </c>
    </row>
    <row r="3" s="1" customFormat="1" customHeight="1" spans="1:50">
      <c r="A3" s="18">
        <v>1</v>
      </c>
      <c r="B3" s="19">
        <v>44185</v>
      </c>
      <c r="C3" s="3" t="s">
        <v>54</v>
      </c>
      <c r="D3" s="3">
        <v>600</v>
      </c>
      <c r="E3" s="3">
        <v>346</v>
      </c>
      <c r="F3" s="3">
        <v>335</v>
      </c>
      <c r="G3" s="20">
        <v>113</v>
      </c>
      <c r="H3" s="21"/>
      <c r="I3" s="20">
        <v>147</v>
      </c>
      <c r="J3" s="3">
        <v>42</v>
      </c>
      <c r="L3" s="3">
        <f t="shared" ref="L3:L66" si="0">E3/D3</f>
        <v>0.576666666666667</v>
      </c>
      <c r="N3" s="29">
        <f>SUM(O3:AS3)</f>
        <v>419.2</v>
      </c>
      <c r="O3" s="5"/>
      <c r="P3" s="5">
        <v>15</v>
      </c>
      <c r="Q3" s="5"/>
      <c r="R3" s="5">
        <v>120</v>
      </c>
      <c r="S3" s="5"/>
      <c r="T3" s="5">
        <v>21.3</v>
      </c>
      <c r="U3" s="5">
        <v>9</v>
      </c>
      <c r="V3" s="5">
        <v>6.9</v>
      </c>
      <c r="W3" s="5">
        <v>10.9</v>
      </c>
      <c r="X3" s="5">
        <v>4.5</v>
      </c>
      <c r="Y3" s="5"/>
      <c r="Z3" s="5">
        <v>187</v>
      </c>
      <c r="AA3" s="5">
        <v>7.7</v>
      </c>
      <c r="AB3" s="5"/>
      <c r="AC3" s="5">
        <v>6.5</v>
      </c>
      <c r="AD3" s="5"/>
      <c r="AE3" s="5">
        <v>1.1</v>
      </c>
      <c r="AF3" s="5">
        <v>0.8</v>
      </c>
      <c r="AG3" s="5">
        <v>2.5</v>
      </c>
      <c r="AH3" s="5"/>
      <c r="AI3" s="5"/>
      <c r="AJ3" s="5"/>
      <c r="AK3" s="5"/>
      <c r="AL3" s="5"/>
      <c r="AM3" s="5"/>
      <c r="AN3" s="5"/>
      <c r="AO3" s="5"/>
      <c r="AP3" s="5">
        <v>2</v>
      </c>
      <c r="AQ3" s="5">
        <v>12</v>
      </c>
      <c r="AR3" s="5">
        <v>12</v>
      </c>
      <c r="AS3" s="5"/>
      <c r="AT3" s="5">
        <v>35</v>
      </c>
      <c r="AU3" s="3">
        <v>1</v>
      </c>
      <c r="AV3" s="3">
        <v>1</v>
      </c>
      <c r="AW3" s="5">
        <v>0.1</v>
      </c>
      <c r="AX3" s="3">
        <v>1</v>
      </c>
    </row>
    <row r="4" s="1" customFormat="1" customHeight="1" spans="1:50">
      <c r="A4" s="18">
        <v>2</v>
      </c>
      <c r="B4" s="19">
        <v>44185</v>
      </c>
      <c r="C4" s="3" t="s">
        <v>54</v>
      </c>
      <c r="D4" s="3">
        <v>600</v>
      </c>
      <c r="E4" s="3">
        <v>343</v>
      </c>
      <c r="F4" s="3">
        <v>330</v>
      </c>
      <c r="G4" s="21"/>
      <c r="H4" s="21"/>
      <c r="I4" s="21"/>
      <c r="J4" s="3">
        <v>38</v>
      </c>
      <c r="L4" s="3">
        <f t="shared" si="0"/>
        <v>0.571666666666667</v>
      </c>
      <c r="N4" s="29">
        <f>SUM(O4:AS4)</f>
        <v>262.5</v>
      </c>
      <c r="O4" s="5"/>
      <c r="P4" s="5">
        <v>16.6</v>
      </c>
      <c r="Q4" s="5"/>
      <c r="R4" s="5"/>
      <c r="S4" s="5"/>
      <c r="T4" s="5">
        <v>2.5</v>
      </c>
      <c r="U4" s="5">
        <v>12</v>
      </c>
      <c r="V4" s="5">
        <v>6</v>
      </c>
      <c r="W4" s="5">
        <v>5.4</v>
      </c>
      <c r="X4" s="5">
        <v>4.2</v>
      </c>
      <c r="Y4" s="5"/>
      <c r="Z4" s="5"/>
      <c r="AA4" s="5"/>
      <c r="AB4" s="5"/>
      <c r="AC4" s="5"/>
      <c r="AD4" s="5"/>
      <c r="AE4" s="5"/>
      <c r="AF4" s="5">
        <v>0.8</v>
      </c>
      <c r="AG4" s="5">
        <v>5</v>
      </c>
      <c r="AH4" s="5"/>
      <c r="AI4" s="5"/>
      <c r="AJ4" s="5"/>
      <c r="AK4" s="5"/>
      <c r="AL4" s="5"/>
      <c r="AM4" s="5"/>
      <c r="AN4" s="5"/>
      <c r="AO4" s="5"/>
      <c r="AP4" s="5">
        <v>186</v>
      </c>
      <c r="AQ4" s="5">
        <v>12</v>
      </c>
      <c r="AR4" s="5">
        <v>12</v>
      </c>
      <c r="AS4" s="5"/>
      <c r="AT4" s="5">
        <v>40</v>
      </c>
      <c r="AU4" s="3">
        <v>1</v>
      </c>
      <c r="AV4" s="3">
        <v>1</v>
      </c>
      <c r="AW4" s="5">
        <v>0.1</v>
      </c>
      <c r="AX4" s="3">
        <v>1</v>
      </c>
    </row>
    <row r="5" s="1" customFormat="1" customHeight="1" spans="1:50">
      <c r="A5" s="18">
        <v>3</v>
      </c>
      <c r="B5" s="19">
        <v>44185</v>
      </c>
      <c r="C5" s="3" t="s">
        <v>54</v>
      </c>
      <c r="D5" s="3">
        <v>600</v>
      </c>
      <c r="E5" s="3">
        <v>333.5</v>
      </c>
      <c r="F5" s="3">
        <v>323</v>
      </c>
      <c r="G5" s="22"/>
      <c r="H5" s="22"/>
      <c r="I5" s="22"/>
      <c r="J5" s="3">
        <v>40</v>
      </c>
      <c r="L5" s="3">
        <f t="shared" si="0"/>
        <v>0.555833333333333</v>
      </c>
      <c r="N5" s="29">
        <f>SUM(O5:AS5)</f>
        <v>69.8</v>
      </c>
      <c r="O5" s="5"/>
      <c r="P5" s="5"/>
      <c r="Q5" s="5"/>
      <c r="R5" s="5"/>
      <c r="S5" s="5"/>
      <c r="T5" s="5">
        <v>30</v>
      </c>
      <c r="U5" s="5"/>
      <c r="V5" s="5">
        <v>6</v>
      </c>
      <c r="W5" s="5">
        <v>5</v>
      </c>
      <c r="X5" s="5">
        <v>4</v>
      </c>
      <c r="Y5" s="5"/>
      <c r="Z5" s="5"/>
      <c r="AA5" s="5"/>
      <c r="AB5" s="5"/>
      <c r="AC5" s="5"/>
      <c r="AD5" s="5"/>
      <c r="AE5" s="5"/>
      <c r="AF5" s="5">
        <v>0.8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>
        <v>12</v>
      </c>
      <c r="AR5" s="5">
        <v>12</v>
      </c>
      <c r="AS5" s="5"/>
      <c r="AT5" s="5">
        <v>33</v>
      </c>
      <c r="AU5" s="3">
        <v>1</v>
      </c>
      <c r="AV5" s="3">
        <v>1</v>
      </c>
      <c r="AW5" s="5">
        <v>0.1</v>
      </c>
      <c r="AX5" s="3">
        <v>1</v>
      </c>
    </row>
    <row r="6" s="1" customFormat="1" customHeight="1" spans="1:50">
      <c r="A6" s="18">
        <v>4</v>
      </c>
      <c r="B6" s="19">
        <v>44554</v>
      </c>
      <c r="C6" s="5"/>
      <c r="D6" s="23">
        <v>630</v>
      </c>
      <c r="E6" s="5">
        <v>360</v>
      </c>
      <c r="F6" s="5">
        <v>350</v>
      </c>
      <c r="G6" s="20">
        <v>98</v>
      </c>
      <c r="H6" s="20">
        <v>65</v>
      </c>
      <c r="I6" s="20">
        <v>118</v>
      </c>
      <c r="J6" s="30">
        <v>40</v>
      </c>
      <c r="K6" s="5"/>
      <c r="L6" s="5">
        <f t="shared" si="0"/>
        <v>0.571428571428571</v>
      </c>
      <c r="M6" s="5">
        <f t="shared" ref="M6:M69" si="1">N6/D6</f>
        <v>0.569444444444444</v>
      </c>
      <c r="N6" s="5">
        <f t="shared" ref="N6:N69" si="2">SUM(O6:AR6)</f>
        <v>358.75</v>
      </c>
      <c r="O6" s="5"/>
      <c r="P6" s="5">
        <f>9+10.3+7.4</f>
        <v>26.7</v>
      </c>
      <c r="Q6" s="5"/>
      <c r="R6" s="5"/>
      <c r="S6" s="5"/>
      <c r="T6" s="5">
        <f>8.6+8.15+14.4</f>
        <v>31.15</v>
      </c>
      <c r="U6" s="5">
        <v>20.1</v>
      </c>
      <c r="V6" s="5">
        <f>6.7+12.9+6.5+12+6</f>
        <v>44.1</v>
      </c>
      <c r="W6" s="5">
        <f>20.9+10.1+4.9</f>
        <v>35.9</v>
      </c>
      <c r="X6" s="5">
        <v>9</v>
      </c>
      <c r="Y6" s="5"/>
      <c r="Z6" s="5"/>
      <c r="AA6" s="5"/>
      <c r="AB6" s="5"/>
      <c r="AC6" s="5">
        <v>4.5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0.8</v>
      </c>
      <c r="AO6" s="5"/>
      <c r="AP6" s="5">
        <f>1.5+158</f>
        <v>159.5</v>
      </c>
      <c r="AQ6" s="5"/>
      <c r="AR6" s="5">
        <v>27</v>
      </c>
      <c r="AS6" s="5"/>
      <c r="AT6" s="5">
        <v>30</v>
      </c>
      <c r="AU6" s="5">
        <v>1</v>
      </c>
      <c r="AV6" s="5">
        <v>1</v>
      </c>
      <c r="AW6" s="5">
        <v>0.1</v>
      </c>
      <c r="AX6" s="5">
        <v>1</v>
      </c>
    </row>
    <row r="7" s="1" customFormat="1" customHeight="1" spans="1:50">
      <c r="A7" s="18">
        <v>5</v>
      </c>
      <c r="B7" s="19">
        <v>44554</v>
      </c>
      <c r="C7" s="5"/>
      <c r="D7" s="23">
        <v>630</v>
      </c>
      <c r="E7" s="5">
        <v>332</v>
      </c>
      <c r="F7" s="5">
        <v>322</v>
      </c>
      <c r="G7" s="21"/>
      <c r="H7" s="21"/>
      <c r="I7" s="21"/>
      <c r="J7" s="31">
        <v>40</v>
      </c>
      <c r="K7" s="5"/>
      <c r="L7" s="5">
        <f t="shared" si="0"/>
        <v>0.526984126984127</v>
      </c>
      <c r="M7" s="5">
        <f t="shared" si="1"/>
        <v>0.254444444444444</v>
      </c>
      <c r="N7" s="5">
        <f t="shared" si="2"/>
        <v>160.3</v>
      </c>
      <c r="O7" s="5"/>
      <c r="P7" s="5"/>
      <c r="Q7" s="5"/>
      <c r="R7" s="5">
        <v>10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0.8</v>
      </c>
      <c r="AO7" s="5"/>
      <c r="AP7" s="5">
        <v>122.5</v>
      </c>
      <c r="AQ7" s="5"/>
      <c r="AR7" s="5">
        <v>27</v>
      </c>
      <c r="AS7" s="5"/>
      <c r="AT7" s="5">
        <v>30</v>
      </c>
      <c r="AU7" s="5">
        <v>1</v>
      </c>
      <c r="AV7" s="5">
        <v>1</v>
      </c>
      <c r="AW7" s="5">
        <v>0.1</v>
      </c>
      <c r="AX7" s="5">
        <v>1</v>
      </c>
    </row>
    <row r="8" s="1" customFormat="1" customHeight="1" spans="1:50">
      <c r="A8" s="18">
        <v>6</v>
      </c>
      <c r="B8" s="19">
        <v>44554</v>
      </c>
      <c r="C8" s="5"/>
      <c r="D8" s="23">
        <v>640</v>
      </c>
      <c r="E8" s="5">
        <v>355</v>
      </c>
      <c r="F8" s="5">
        <v>345</v>
      </c>
      <c r="G8" s="22"/>
      <c r="H8" s="22"/>
      <c r="I8" s="22"/>
      <c r="J8" s="32">
        <v>42</v>
      </c>
      <c r="K8" s="5"/>
      <c r="L8" s="5">
        <f t="shared" si="0"/>
        <v>0.5546875</v>
      </c>
      <c r="M8" s="5">
        <f t="shared" si="1"/>
        <v>0.4156875</v>
      </c>
      <c r="N8" s="5">
        <f t="shared" si="2"/>
        <v>266.04</v>
      </c>
      <c r="O8" s="5">
        <v>11.8</v>
      </c>
      <c r="P8" s="5">
        <v>5.7</v>
      </c>
      <c r="Q8" s="5">
        <v>3.9</v>
      </c>
      <c r="R8" s="5">
        <v>35</v>
      </c>
      <c r="S8" s="5">
        <v>5.9</v>
      </c>
      <c r="T8" s="5">
        <v>11.24</v>
      </c>
      <c r="U8" s="5">
        <v>7</v>
      </c>
      <c r="V8" s="5">
        <v>7.1</v>
      </c>
      <c r="W8" s="5">
        <v>4.1</v>
      </c>
      <c r="X8" s="5">
        <v>5.8</v>
      </c>
      <c r="Y8" s="5">
        <v>3.7</v>
      </c>
      <c r="Z8" s="5">
        <v>12.8</v>
      </c>
      <c r="AA8" s="5">
        <v>11.5</v>
      </c>
      <c r="AB8" s="5">
        <f>5.5+7.4</f>
        <v>12.9</v>
      </c>
      <c r="AC8" s="5">
        <v>16.7</v>
      </c>
      <c r="AD8" s="5">
        <f>16.75</f>
        <v>16.75</v>
      </c>
      <c r="AE8" s="5">
        <f>12.25+6.5</f>
        <v>18.75</v>
      </c>
      <c r="AF8" s="5"/>
      <c r="AG8" s="5">
        <v>6.1</v>
      </c>
      <c r="AH8" s="5"/>
      <c r="AI8" s="5"/>
      <c r="AJ8" s="5"/>
      <c r="AK8" s="5"/>
      <c r="AL8" s="5"/>
      <c r="AM8" s="5"/>
      <c r="AN8" s="5">
        <v>0.8</v>
      </c>
      <c r="AO8" s="5"/>
      <c r="AP8" s="5">
        <v>33</v>
      </c>
      <c r="AQ8" s="5">
        <v>23.5</v>
      </c>
      <c r="AR8" s="5">
        <v>12</v>
      </c>
      <c r="AS8" s="5"/>
      <c r="AT8" s="5">
        <v>25</v>
      </c>
      <c r="AU8" s="5">
        <v>1</v>
      </c>
      <c r="AV8" s="5">
        <v>1</v>
      </c>
      <c r="AW8" s="5">
        <v>0.1</v>
      </c>
      <c r="AX8" s="5">
        <v>1</v>
      </c>
    </row>
    <row r="9" s="1" customFormat="1" customHeight="1" spans="1:50">
      <c r="A9" s="18">
        <v>7</v>
      </c>
      <c r="B9" s="19">
        <v>44558</v>
      </c>
      <c r="C9" s="5"/>
      <c r="D9" s="23">
        <v>600</v>
      </c>
      <c r="E9" s="5">
        <v>300</v>
      </c>
      <c r="F9" s="5">
        <v>290</v>
      </c>
      <c r="G9" s="20">
        <f>21+40</f>
        <v>61</v>
      </c>
      <c r="H9" s="20">
        <v>42</v>
      </c>
      <c r="I9" s="20">
        <v>80</v>
      </c>
      <c r="J9" s="20">
        <v>123</v>
      </c>
      <c r="K9" s="5"/>
      <c r="L9" s="5">
        <f t="shared" si="0"/>
        <v>0.5</v>
      </c>
      <c r="M9" s="5">
        <f t="shared" si="1"/>
        <v>0.910166666666667</v>
      </c>
      <c r="N9" s="5">
        <f t="shared" si="2"/>
        <v>546.1</v>
      </c>
      <c r="O9" s="5"/>
      <c r="P9" s="5">
        <f>15.5+3.7+8+6.2</f>
        <v>33.4</v>
      </c>
      <c r="Q9" s="5"/>
      <c r="R9" s="5">
        <f>10+23+11.9</f>
        <v>44.9</v>
      </c>
      <c r="S9" s="5"/>
      <c r="T9" s="5">
        <f>10.8+10+12.8+9.2+9.6+4.2+9.3</f>
        <v>65.9</v>
      </c>
      <c r="U9" s="5">
        <v>15</v>
      </c>
      <c r="V9" s="5">
        <f>17.1</f>
        <v>17.1</v>
      </c>
      <c r="W9" s="5">
        <f>18.4</f>
        <v>18.4</v>
      </c>
      <c r="X9" s="5">
        <f>4.8+0.5</f>
        <v>5.3</v>
      </c>
      <c r="Y9" s="5"/>
      <c r="Z9" s="5"/>
      <c r="AA9" s="5"/>
      <c r="AB9" s="5"/>
      <c r="AC9" s="5">
        <f>30+3.2+1.9</f>
        <v>35.1</v>
      </c>
      <c r="AD9" s="5"/>
      <c r="AE9" s="5"/>
      <c r="AF9" s="5">
        <v>3</v>
      </c>
      <c r="AG9" s="5">
        <v>6.3</v>
      </c>
      <c r="AH9" s="5"/>
      <c r="AI9" s="5"/>
      <c r="AJ9" s="5"/>
      <c r="AK9" s="5"/>
      <c r="AL9" s="5"/>
      <c r="AM9" s="5"/>
      <c r="AN9" s="5">
        <v>1.6</v>
      </c>
      <c r="AO9" s="5"/>
      <c r="AP9" s="5">
        <f>1.5+3.9+3.7+199</f>
        <v>208.1</v>
      </c>
      <c r="AQ9" s="5">
        <f>2+2+3+4+8+15</f>
        <v>34</v>
      </c>
      <c r="AR9" s="5">
        <f>16+26+16</f>
        <v>58</v>
      </c>
      <c r="AS9" s="5"/>
      <c r="AT9" s="5">
        <f>18.6+57</f>
        <v>75.6</v>
      </c>
      <c r="AU9" s="5">
        <v>1</v>
      </c>
      <c r="AV9" s="5">
        <v>1</v>
      </c>
      <c r="AW9" s="5">
        <v>0.1</v>
      </c>
      <c r="AX9" s="5">
        <v>1</v>
      </c>
    </row>
    <row r="10" s="1" customFormat="1" customHeight="1" spans="1:50">
      <c r="A10" s="18">
        <v>8</v>
      </c>
      <c r="B10" s="19">
        <v>44558</v>
      </c>
      <c r="C10" s="5"/>
      <c r="D10" s="23">
        <v>600</v>
      </c>
      <c r="E10" s="5">
        <v>379.5</v>
      </c>
      <c r="F10" s="5">
        <v>370</v>
      </c>
      <c r="G10" s="22"/>
      <c r="H10" s="22"/>
      <c r="I10" s="22"/>
      <c r="J10" s="22"/>
      <c r="K10" s="5"/>
      <c r="L10" s="5">
        <f t="shared" si="0"/>
        <v>0.6325</v>
      </c>
      <c r="M10" s="5">
        <f t="shared" si="1"/>
        <v>0.171666666666667</v>
      </c>
      <c r="N10" s="5">
        <f t="shared" si="2"/>
        <v>103</v>
      </c>
      <c r="O10" s="5"/>
      <c r="P10" s="5"/>
      <c r="Q10" s="5"/>
      <c r="R10" s="5">
        <v>20.3</v>
      </c>
      <c r="S10" s="5"/>
      <c r="T10" s="5"/>
      <c r="U10" s="5">
        <f>23.2</f>
        <v>23.2</v>
      </c>
      <c r="V10" s="5"/>
      <c r="W10" s="5"/>
      <c r="X10" s="5">
        <v>5</v>
      </c>
      <c r="Y10" s="5"/>
      <c r="Z10" s="5"/>
      <c r="AA10" s="5"/>
      <c r="AB10" s="5"/>
      <c r="AC10" s="5"/>
      <c r="AD10" s="5"/>
      <c r="AE10" s="5"/>
      <c r="AF10" s="5"/>
      <c r="AG10" s="5">
        <v>9</v>
      </c>
      <c r="AH10" s="5"/>
      <c r="AI10" s="5"/>
      <c r="AJ10" s="5"/>
      <c r="AK10" s="5"/>
      <c r="AL10" s="5"/>
      <c r="AM10" s="5"/>
      <c r="AN10" s="5"/>
      <c r="AO10" s="5"/>
      <c r="AP10" s="5">
        <v>30.5</v>
      </c>
      <c r="AQ10" s="5"/>
      <c r="AR10" s="5">
        <v>15</v>
      </c>
      <c r="AS10" s="5"/>
      <c r="AT10" s="5">
        <v>40</v>
      </c>
      <c r="AU10" s="5">
        <v>1</v>
      </c>
      <c r="AV10" s="5">
        <v>1</v>
      </c>
      <c r="AW10" s="5">
        <v>0.1</v>
      </c>
      <c r="AX10" s="5">
        <v>1</v>
      </c>
    </row>
    <row r="11" s="1" customFormat="1" customHeight="1" spans="1:50">
      <c r="A11" s="18">
        <v>9</v>
      </c>
      <c r="B11" s="19">
        <v>44559</v>
      </c>
      <c r="C11" s="5"/>
      <c r="D11" s="23">
        <v>560</v>
      </c>
      <c r="E11" s="5">
        <f>338</f>
        <v>338</v>
      </c>
      <c r="F11" s="5">
        <v>329</v>
      </c>
      <c r="G11" s="20">
        <v>97.5</v>
      </c>
      <c r="H11" s="20">
        <v>62</v>
      </c>
      <c r="I11" s="20">
        <v>115</v>
      </c>
      <c r="J11" s="20">
        <f>130+96</f>
        <v>226</v>
      </c>
      <c r="K11" s="5"/>
      <c r="L11" s="5">
        <f t="shared" si="0"/>
        <v>0.603571428571429</v>
      </c>
      <c r="M11" s="5">
        <f t="shared" si="1"/>
        <v>1.05135714285714</v>
      </c>
      <c r="N11" s="5">
        <f t="shared" si="2"/>
        <v>588.76</v>
      </c>
      <c r="O11" s="5"/>
      <c r="P11" s="5">
        <f>7.84+8.86+3.6</f>
        <v>20.3</v>
      </c>
      <c r="Q11" s="5"/>
      <c r="R11" s="5">
        <f>54.5+57.5+42.5+58.5+17+52</f>
        <v>282</v>
      </c>
      <c r="S11" s="5"/>
      <c r="T11" s="5">
        <f>12.1+2.66+6.6+8.5+8.3+6.8+19.5</f>
        <v>64.46</v>
      </c>
      <c r="U11" s="5">
        <f>14.9+5.1</f>
        <v>20</v>
      </c>
      <c r="V11" s="5">
        <f>6.3+5.8+5.4</f>
        <v>17.5</v>
      </c>
      <c r="W11" s="5">
        <f>4.2+8.1+16.8</f>
        <v>29.1</v>
      </c>
      <c r="X11" s="5">
        <v>5</v>
      </c>
      <c r="Y11" s="5"/>
      <c r="Z11" s="5"/>
      <c r="AA11" s="5"/>
      <c r="AB11" s="5">
        <v>5</v>
      </c>
      <c r="AC11" s="5">
        <f>11.1+6.6+6.2</f>
        <v>23.9</v>
      </c>
      <c r="AD11" s="5"/>
      <c r="AE11" s="5">
        <v>10.8</v>
      </c>
      <c r="AF11" s="5"/>
      <c r="AG11" s="5"/>
      <c r="AH11" s="5"/>
      <c r="AI11" s="5"/>
      <c r="AJ11" s="5"/>
      <c r="AK11" s="5"/>
      <c r="AL11" s="5"/>
      <c r="AM11" s="5"/>
      <c r="AN11" s="5">
        <v>1.7</v>
      </c>
      <c r="AO11" s="5"/>
      <c r="AP11" s="5">
        <v>88</v>
      </c>
      <c r="AQ11" s="5">
        <v>6</v>
      </c>
      <c r="AR11" s="5">
        <v>15</v>
      </c>
      <c r="AS11" s="5"/>
      <c r="AT11" s="5">
        <v>38</v>
      </c>
      <c r="AU11" s="5">
        <v>1</v>
      </c>
      <c r="AV11" s="5">
        <v>1</v>
      </c>
      <c r="AW11" s="5">
        <v>0.1</v>
      </c>
      <c r="AX11" s="5">
        <v>1</v>
      </c>
    </row>
    <row r="12" s="1" customFormat="1" customHeight="1" spans="1:50">
      <c r="A12" s="18">
        <v>10</v>
      </c>
      <c r="B12" s="19">
        <v>44559</v>
      </c>
      <c r="C12" s="5"/>
      <c r="D12" s="23">
        <v>560</v>
      </c>
      <c r="E12" s="5">
        <v>312</v>
      </c>
      <c r="F12" s="5">
        <v>304</v>
      </c>
      <c r="G12" s="21"/>
      <c r="H12" s="21"/>
      <c r="I12" s="21"/>
      <c r="J12" s="21"/>
      <c r="K12" s="5"/>
      <c r="L12" s="5">
        <f t="shared" si="0"/>
        <v>0.557142857142857</v>
      </c>
      <c r="M12" s="5">
        <f t="shared" si="1"/>
        <v>0.391821428571428</v>
      </c>
      <c r="N12" s="5">
        <f t="shared" si="2"/>
        <v>219.42</v>
      </c>
      <c r="O12" s="5"/>
      <c r="P12" s="5">
        <v>3.8</v>
      </c>
      <c r="Q12" s="5"/>
      <c r="R12" s="5">
        <v>73.5</v>
      </c>
      <c r="S12" s="5"/>
      <c r="T12" s="5">
        <f>22+2.96</f>
        <v>24.96</v>
      </c>
      <c r="U12" s="5">
        <v>12.46</v>
      </c>
      <c r="V12" s="5"/>
      <c r="W12" s="5">
        <v>11.8</v>
      </c>
      <c r="X12" s="5">
        <v>5</v>
      </c>
      <c r="Y12" s="5"/>
      <c r="Z12" s="5"/>
      <c r="AA12" s="5">
        <v>8</v>
      </c>
      <c r="AB12" s="5"/>
      <c r="AC12" s="5">
        <v>3</v>
      </c>
      <c r="AD12" s="5">
        <v>12.7</v>
      </c>
      <c r="AE12" s="5">
        <v>13.7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f>31+4.5</f>
        <v>35.5</v>
      </c>
      <c r="AQ12" s="5"/>
      <c r="AR12" s="5">
        <v>15</v>
      </c>
      <c r="AS12" s="5"/>
      <c r="AT12" s="5">
        <v>45</v>
      </c>
      <c r="AU12" s="5">
        <v>1</v>
      </c>
      <c r="AV12" s="5">
        <v>1</v>
      </c>
      <c r="AW12" s="5">
        <v>0.1</v>
      </c>
      <c r="AX12" s="5">
        <v>1</v>
      </c>
    </row>
    <row r="13" s="1" customFormat="1" customHeight="1" spans="1:50">
      <c r="A13" s="18">
        <v>11</v>
      </c>
      <c r="B13" s="19">
        <v>44559</v>
      </c>
      <c r="C13" s="5"/>
      <c r="D13" s="23">
        <v>580</v>
      </c>
      <c r="E13" s="5">
        <v>320</v>
      </c>
      <c r="F13" s="5">
        <v>310</v>
      </c>
      <c r="G13" s="22"/>
      <c r="H13" s="22"/>
      <c r="I13" s="22"/>
      <c r="J13" s="22"/>
      <c r="K13" s="5"/>
      <c r="L13" s="5">
        <f t="shared" si="0"/>
        <v>0.551724137931034</v>
      </c>
      <c r="M13" s="5">
        <f t="shared" si="1"/>
        <v>0.420655172413793</v>
      </c>
      <c r="N13" s="5">
        <f t="shared" si="2"/>
        <v>243.98</v>
      </c>
      <c r="O13" s="5"/>
      <c r="P13" s="5">
        <v>12.3</v>
      </c>
      <c r="Q13" s="5"/>
      <c r="R13" s="5">
        <v>41</v>
      </c>
      <c r="S13" s="5"/>
      <c r="T13" s="5">
        <f>11+1</f>
        <v>12</v>
      </c>
      <c r="U13" s="5"/>
      <c r="V13" s="5">
        <v>7.4</v>
      </c>
      <c r="W13" s="5"/>
      <c r="X13" s="5">
        <v>5</v>
      </c>
      <c r="Y13" s="5"/>
      <c r="Z13" s="5"/>
      <c r="AA13" s="5">
        <v>10.28</v>
      </c>
      <c r="AB13" s="5"/>
      <c r="AC13" s="5"/>
      <c r="AD13" s="5">
        <v>4.8</v>
      </c>
      <c r="AE13" s="5">
        <v>4</v>
      </c>
      <c r="AF13" s="5"/>
      <c r="AG13" s="5">
        <v>1.2</v>
      </c>
      <c r="AH13" s="5"/>
      <c r="AI13" s="5"/>
      <c r="AJ13" s="5"/>
      <c r="AK13" s="5"/>
      <c r="AL13" s="5"/>
      <c r="AM13" s="5"/>
      <c r="AN13" s="5"/>
      <c r="AO13" s="5"/>
      <c r="AP13" s="5">
        <v>121</v>
      </c>
      <c r="AQ13" s="5">
        <v>10</v>
      </c>
      <c r="AR13" s="5">
        <v>15</v>
      </c>
      <c r="AS13" s="5"/>
      <c r="AT13" s="5">
        <v>39</v>
      </c>
      <c r="AU13" s="5">
        <v>1</v>
      </c>
      <c r="AV13" s="5">
        <v>1</v>
      </c>
      <c r="AW13" s="5">
        <v>0.1</v>
      </c>
      <c r="AX13" s="5">
        <v>1</v>
      </c>
    </row>
    <row r="14" s="1" customFormat="1" customHeight="1" spans="1:50">
      <c r="A14" s="18">
        <v>12</v>
      </c>
      <c r="B14" s="19">
        <v>44200</v>
      </c>
      <c r="C14" s="5"/>
      <c r="D14" s="23">
        <v>600</v>
      </c>
      <c r="E14" s="5">
        <v>302</v>
      </c>
      <c r="F14" s="5">
        <v>290</v>
      </c>
      <c r="G14" s="20">
        <v>80</v>
      </c>
      <c r="H14" s="20">
        <v>58</v>
      </c>
      <c r="I14" s="20">
        <v>116</v>
      </c>
      <c r="J14" s="20">
        <v>134</v>
      </c>
      <c r="K14" s="5"/>
      <c r="L14" s="5">
        <f t="shared" si="0"/>
        <v>0.503333333333333</v>
      </c>
      <c r="M14" s="5">
        <f t="shared" si="1"/>
        <v>0.397916666666667</v>
      </c>
      <c r="N14" s="5">
        <f t="shared" si="2"/>
        <v>238.75</v>
      </c>
      <c r="O14" s="5"/>
      <c r="P14" s="5">
        <v>15.7</v>
      </c>
      <c r="Q14" s="5">
        <v>1.1</v>
      </c>
      <c r="R14" s="5">
        <v>32</v>
      </c>
      <c r="S14" s="5">
        <v>2.29</v>
      </c>
      <c r="T14" s="5"/>
      <c r="U14" s="5"/>
      <c r="V14" s="5">
        <v>7.16</v>
      </c>
      <c r="W14" s="5">
        <v>5</v>
      </c>
      <c r="X14" s="5">
        <v>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>
        <v>155.5</v>
      </c>
      <c r="AQ14" s="5"/>
      <c r="AR14" s="5">
        <v>15</v>
      </c>
      <c r="AS14" s="5"/>
      <c r="AT14" s="5">
        <v>43</v>
      </c>
      <c r="AU14" s="5">
        <v>1</v>
      </c>
      <c r="AV14" s="5">
        <v>1</v>
      </c>
      <c r="AW14" s="5">
        <v>0.1</v>
      </c>
      <c r="AX14" s="5">
        <v>1</v>
      </c>
    </row>
    <row r="15" s="1" customFormat="1" customHeight="1" spans="1:50">
      <c r="A15" s="18">
        <v>13</v>
      </c>
      <c r="B15" s="19">
        <v>44200</v>
      </c>
      <c r="C15" s="5"/>
      <c r="D15" s="23">
        <v>600</v>
      </c>
      <c r="E15" s="5">
        <v>298</v>
      </c>
      <c r="F15" s="5">
        <v>288</v>
      </c>
      <c r="G15" s="21"/>
      <c r="H15" s="21"/>
      <c r="I15" s="21"/>
      <c r="J15" s="21"/>
      <c r="K15" s="5"/>
      <c r="L15" s="5">
        <f t="shared" si="0"/>
        <v>0.496666666666667</v>
      </c>
      <c r="M15" s="5">
        <f t="shared" si="1"/>
        <v>0.242466666666667</v>
      </c>
      <c r="N15" s="5">
        <f t="shared" si="2"/>
        <v>145.48</v>
      </c>
      <c r="O15" s="5"/>
      <c r="P15" s="5">
        <f>8.6+0.2+1.18+1</f>
        <v>10.98</v>
      </c>
      <c r="Q15" s="5"/>
      <c r="R15" s="5">
        <v>54</v>
      </c>
      <c r="S15" s="5"/>
      <c r="T15" s="5"/>
      <c r="U15" s="5"/>
      <c r="V15" s="5"/>
      <c r="W15" s="5"/>
      <c r="X15" s="5">
        <v>5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>
        <v>60.5</v>
      </c>
      <c r="AQ15" s="5"/>
      <c r="AR15" s="5">
        <v>15</v>
      </c>
      <c r="AS15" s="5"/>
      <c r="AT15" s="5">
        <v>41</v>
      </c>
      <c r="AU15" s="5">
        <v>1</v>
      </c>
      <c r="AV15" s="5">
        <v>1</v>
      </c>
      <c r="AW15" s="5">
        <v>0.1</v>
      </c>
      <c r="AX15" s="5">
        <v>1</v>
      </c>
    </row>
    <row r="16" s="1" customFormat="1" customHeight="1" spans="1:50">
      <c r="A16" s="18">
        <v>14</v>
      </c>
      <c r="B16" s="19">
        <v>44200</v>
      </c>
      <c r="C16" s="5"/>
      <c r="D16" s="23">
        <v>500</v>
      </c>
      <c r="E16" s="5">
        <v>250</v>
      </c>
      <c r="F16" s="5">
        <v>240</v>
      </c>
      <c r="G16" s="22"/>
      <c r="H16" s="22"/>
      <c r="I16" s="22"/>
      <c r="J16" s="22"/>
      <c r="K16" s="5"/>
      <c r="L16" s="5">
        <f t="shared" si="0"/>
        <v>0.5</v>
      </c>
      <c r="M16" s="5">
        <f t="shared" si="1"/>
        <v>0.416</v>
      </c>
      <c r="N16" s="5">
        <f t="shared" si="2"/>
        <v>208</v>
      </c>
      <c r="O16" s="5"/>
      <c r="P16" s="5"/>
      <c r="Q16" s="5"/>
      <c r="R16" s="5">
        <v>56</v>
      </c>
      <c r="S16" s="5"/>
      <c r="T16" s="5"/>
      <c r="U16" s="5"/>
      <c r="V16" s="5"/>
      <c r="W16" s="5"/>
      <c r="X16" s="5">
        <v>5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132</v>
      </c>
      <c r="AQ16" s="5"/>
      <c r="AR16" s="5">
        <v>15</v>
      </c>
      <c r="AS16" s="5"/>
      <c r="AT16" s="5">
        <v>38</v>
      </c>
      <c r="AU16" s="5">
        <v>1</v>
      </c>
      <c r="AV16" s="5">
        <v>1</v>
      </c>
      <c r="AW16" s="5">
        <v>0.1</v>
      </c>
      <c r="AX16" s="5">
        <v>1</v>
      </c>
    </row>
    <row r="17" s="1" customFormat="1" customHeight="1" spans="1:50">
      <c r="A17" s="18">
        <v>15</v>
      </c>
      <c r="B17" s="19">
        <v>44201</v>
      </c>
      <c r="C17" s="5"/>
      <c r="D17" s="23">
        <v>630</v>
      </c>
      <c r="E17" s="5">
        <v>315</v>
      </c>
      <c r="F17" s="5">
        <v>305</v>
      </c>
      <c r="G17" s="20">
        <f>87.6</f>
        <v>87.6</v>
      </c>
      <c r="H17" s="20">
        <v>63</v>
      </c>
      <c r="I17" s="20">
        <v>117.5</v>
      </c>
      <c r="J17" s="20">
        <v>135</v>
      </c>
      <c r="K17" s="5"/>
      <c r="L17" s="5">
        <f t="shared" si="0"/>
        <v>0.5</v>
      </c>
      <c r="M17" s="5">
        <f t="shared" si="1"/>
        <v>0.262698412698413</v>
      </c>
      <c r="N17" s="5">
        <f t="shared" si="2"/>
        <v>165.5</v>
      </c>
      <c r="O17" s="5"/>
      <c r="P17" s="5"/>
      <c r="Q17" s="5"/>
      <c r="R17" s="5">
        <v>128.5</v>
      </c>
      <c r="S17" s="5"/>
      <c r="T17" s="5"/>
      <c r="U17" s="5"/>
      <c r="V17" s="5"/>
      <c r="W17" s="5"/>
      <c r="X17" s="5">
        <v>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>
        <v>17</v>
      </c>
      <c r="AQ17" s="5"/>
      <c r="AR17" s="5">
        <v>15</v>
      </c>
      <c r="AS17" s="5"/>
      <c r="AT17" s="5">
        <v>40</v>
      </c>
      <c r="AU17" s="5">
        <v>1</v>
      </c>
      <c r="AV17" s="5">
        <v>1</v>
      </c>
      <c r="AW17" s="5">
        <v>0.1</v>
      </c>
      <c r="AX17" s="5">
        <v>1</v>
      </c>
    </row>
    <row r="18" s="1" customFormat="1" customHeight="1" spans="1:50">
      <c r="A18" s="18">
        <v>16</v>
      </c>
      <c r="B18" s="19">
        <v>44201</v>
      </c>
      <c r="C18" s="5"/>
      <c r="D18" s="23">
        <v>630</v>
      </c>
      <c r="E18" s="5">
        <v>308</v>
      </c>
      <c r="F18" s="5">
        <v>298</v>
      </c>
      <c r="G18" s="21"/>
      <c r="H18" s="21"/>
      <c r="I18" s="21"/>
      <c r="J18" s="21"/>
      <c r="K18" s="5"/>
      <c r="L18" s="5">
        <f t="shared" si="0"/>
        <v>0.488888888888889</v>
      </c>
      <c r="M18" s="5">
        <f t="shared" si="1"/>
        <v>0.326349206349206</v>
      </c>
      <c r="N18" s="5">
        <f t="shared" si="2"/>
        <v>205.6</v>
      </c>
      <c r="O18" s="5"/>
      <c r="P18" s="5">
        <v>1.1</v>
      </c>
      <c r="Q18" s="5"/>
      <c r="R18" s="5">
        <v>27</v>
      </c>
      <c r="S18" s="5"/>
      <c r="T18" s="5"/>
      <c r="U18" s="5"/>
      <c r="V18" s="5"/>
      <c r="W18" s="5"/>
      <c r="X18" s="5">
        <v>5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>
        <v>157.5</v>
      </c>
      <c r="AQ18" s="5"/>
      <c r="AR18" s="5">
        <v>15</v>
      </c>
      <c r="AS18" s="5"/>
      <c r="AT18" s="5">
        <v>39</v>
      </c>
      <c r="AU18" s="5">
        <v>1</v>
      </c>
      <c r="AV18" s="5">
        <v>1</v>
      </c>
      <c r="AW18" s="5">
        <v>0.1</v>
      </c>
      <c r="AX18" s="5">
        <v>1</v>
      </c>
    </row>
    <row r="19" s="1" customFormat="1" customHeight="1" spans="1:50">
      <c r="A19" s="18">
        <v>17</v>
      </c>
      <c r="B19" s="19">
        <v>44201</v>
      </c>
      <c r="C19" s="5"/>
      <c r="D19" s="23">
        <v>640</v>
      </c>
      <c r="E19" s="5">
        <v>310</v>
      </c>
      <c r="F19" s="5">
        <v>300</v>
      </c>
      <c r="G19" s="22"/>
      <c r="H19" s="22"/>
      <c r="I19" s="22"/>
      <c r="J19" s="22"/>
      <c r="K19" s="5"/>
      <c r="L19" s="5">
        <f t="shared" si="0"/>
        <v>0.484375</v>
      </c>
      <c r="M19" s="5">
        <f t="shared" si="1"/>
        <v>0.3003125</v>
      </c>
      <c r="N19" s="5">
        <f t="shared" si="2"/>
        <v>192.2</v>
      </c>
      <c r="O19" s="5">
        <v>6.3</v>
      </c>
      <c r="P19" s="5"/>
      <c r="Q19" s="5"/>
      <c r="R19" s="5">
        <v>72</v>
      </c>
      <c r="S19" s="5"/>
      <c r="T19" s="5"/>
      <c r="U19" s="5"/>
      <c r="V19" s="5"/>
      <c r="W19" s="5"/>
      <c r="X19" s="5">
        <v>5</v>
      </c>
      <c r="Y19" s="5"/>
      <c r="Z19" s="5"/>
      <c r="AA19" s="5"/>
      <c r="AB19" s="5">
        <v>7.4</v>
      </c>
      <c r="AC19" s="5"/>
      <c r="AD19" s="5"/>
      <c r="AE19" s="5">
        <v>4.5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>
        <v>82</v>
      </c>
      <c r="AQ19" s="5"/>
      <c r="AR19" s="5">
        <v>15</v>
      </c>
      <c r="AS19" s="5"/>
      <c r="AT19" s="5">
        <v>46</v>
      </c>
      <c r="AU19" s="5">
        <v>1</v>
      </c>
      <c r="AV19" s="5">
        <v>1</v>
      </c>
      <c r="AW19" s="5">
        <v>0.1</v>
      </c>
      <c r="AX19" s="5">
        <v>1</v>
      </c>
    </row>
    <row r="20" s="1" customFormat="1" customHeight="1" spans="1:50">
      <c r="A20" s="18">
        <v>18</v>
      </c>
      <c r="B20" s="19">
        <v>44206</v>
      </c>
      <c r="C20" s="5"/>
      <c r="D20" s="23">
        <v>680</v>
      </c>
      <c r="E20" s="5">
        <v>331.5</v>
      </c>
      <c r="F20" s="5">
        <v>321</v>
      </c>
      <c r="G20" s="20">
        <v>95</v>
      </c>
      <c r="H20" s="20">
        <v>70</v>
      </c>
      <c r="I20" s="20">
        <v>136.5</v>
      </c>
      <c r="J20" s="20">
        <v>140</v>
      </c>
      <c r="K20" s="5"/>
      <c r="L20" s="5">
        <f t="shared" si="0"/>
        <v>0.4875</v>
      </c>
      <c r="M20" s="5">
        <f t="shared" si="1"/>
        <v>0.395735294117647</v>
      </c>
      <c r="N20" s="5">
        <f t="shared" si="2"/>
        <v>269.1</v>
      </c>
      <c r="O20" s="5"/>
      <c r="P20" s="5">
        <f>8.2+9.8+7.6+6.5+7.2</f>
        <v>39.3</v>
      </c>
      <c r="Q20" s="5"/>
      <c r="R20" s="5">
        <v>39</v>
      </c>
      <c r="S20" s="5"/>
      <c r="T20" s="5">
        <f>11.3+7.2+4.3+2.5+2.6+12.5+1.6+9</f>
        <v>51</v>
      </c>
      <c r="U20" s="5"/>
      <c r="V20" s="5">
        <v>14.7</v>
      </c>
      <c r="W20" s="5">
        <v>7</v>
      </c>
      <c r="X20" s="5">
        <v>5</v>
      </c>
      <c r="Y20" s="5">
        <v>4.1</v>
      </c>
      <c r="Z20" s="5"/>
      <c r="AA20" s="5"/>
      <c r="AB20" s="5">
        <v>5</v>
      </c>
      <c r="AC20" s="5">
        <f>4.6</f>
        <v>4.6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1.4</v>
      </c>
      <c r="AO20" s="5"/>
      <c r="AP20" s="5">
        <v>83</v>
      </c>
      <c r="AQ20" s="5"/>
      <c r="AR20" s="5">
        <v>15</v>
      </c>
      <c r="AS20" s="5"/>
      <c r="AT20" s="5">
        <v>45</v>
      </c>
      <c r="AU20" s="5">
        <v>1</v>
      </c>
      <c r="AV20" s="5">
        <v>1</v>
      </c>
      <c r="AW20" s="5">
        <v>0.1</v>
      </c>
      <c r="AX20" s="5">
        <v>1</v>
      </c>
    </row>
    <row r="21" s="1" customFormat="1" customHeight="1" spans="1:50">
      <c r="A21" s="18">
        <v>19</v>
      </c>
      <c r="B21" s="19">
        <v>44206</v>
      </c>
      <c r="C21" s="5"/>
      <c r="D21" s="23">
        <v>690</v>
      </c>
      <c r="E21" s="5">
        <v>459.5</v>
      </c>
      <c r="F21" s="5">
        <v>450</v>
      </c>
      <c r="G21" s="21"/>
      <c r="H21" s="21"/>
      <c r="I21" s="21"/>
      <c r="J21" s="21"/>
      <c r="K21" s="5"/>
      <c r="L21" s="5">
        <f t="shared" si="0"/>
        <v>0.665942028985507</v>
      </c>
      <c r="M21" s="5">
        <f t="shared" si="1"/>
        <v>0.395652173913043</v>
      </c>
      <c r="N21" s="5">
        <f t="shared" si="2"/>
        <v>273</v>
      </c>
      <c r="O21" s="5"/>
      <c r="P21" s="5"/>
      <c r="Q21" s="5">
        <v>1.3</v>
      </c>
      <c r="R21" s="5">
        <v>2</v>
      </c>
      <c r="S21" s="5"/>
      <c r="T21" s="5"/>
      <c r="U21" s="5">
        <f>5.1+10.2+6.3+5.9</f>
        <v>27.5</v>
      </c>
      <c r="V21" s="5"/>
      <c r="W21" s="5"/>
      <c r="X21" s="5">
        <v>5</v>
      </c>
      <c r="Y21" s="5"/>
      <c r="Z21" s="5"/>
      <c r="AA21" s="5"/>
      <c r="AB21" s="5"/>
      <c r="AC21" s="5"/>
      <c r="AD21" s="5"/>
      <c r="AE21" s="5">
        <v>10.2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212</v>
      </c>
      <c r="AQ21" s="5"/>
      <c r="AR21" s="5">
        <v>15</v>
      </c>
      <c r="AS21" s="5"/>
      <c r="AT21" s="5">
        <v>45</v>
      </c>
      <c r="AU21" s="5">
        <v>1</v>
      </c>
      <c r="AV21" s="5">
        <v>1</v>
      </c>
      <c r="AW21" s="5">
        <v>0.1</v>
      </c>
      <c r="AX21" s="5">
        <v>1</v>
      </c>
    </row>
    <row r="22" s="1" customFormat="1" customHeight="1" spans="1:50">
      <c r="A22" s="18">
        <v>20</v>
      </c>
      <c r="B22" s="19">
        <v>44206</v>
      </c>
      <c r="C22" s="5"/>
      <c r="D22" s="23">
        <v>680</v>
      </c>
      <c r="E22" s="5">
        <v>367</v>
      </c>
      <c r="F22" s="5">
        <v>358</v>
      </c>
      <c r="G22" s="22"/>
      <c r="H22" s="22"/>
      <c r="I22" s="22"/>
      <c r="J22" s="22"/>
      <c r="K22" s="5"/>
      <c r="L22" s="5">
        <f t="shared" si="0"/>
        <v>0.539705882352941</v>
      </c>
      <c r="M22" s="5">
        <f t="shared" si="1"/>
        <v>0.220132352941176</v>
      </c>
      <c r="N22" s="5">
        <f t="shared" si="2"/>
        <v>149.69</v>
      </c>
      <c r="O22" s="5"/>
      <c r="P22" s="5"/>
      <c r="Q22" s="5"/>
      <c r="R22" s="5">
        <v>97.5</v>
      </c>
      <c r="S22" s="5"/>
      <c r="T22" s="5"/>
      <c r="U22" s="5"/>
      <c r="V22" s="5"/>
      <c r="W22" s="5"/>
      <c r="X22" s="5">
        <v>5</v>
      </c>
      <c r="Y22" s="5"/>
      <c r="Z22" s="5"/>
      <c r="AA22" s="5"/>
      <c r="AB22" s="5"/>
      <c r="AC22" s="5"/>
      <c r="AD22" s="5">
        <v>7.19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25</v>
      </c>
      <c r="AQ22" s="5"/>
      <c r="AR22" s="5">
        <v>15</v>
      </c>
      <c r="AS22" s="5"/>
      <c r="AT22" s="5">
        <v>45</v>
      </c>
      <c r="AU22" s="5">
        <v>1</v>
      </c>
      <c r="AV22" s="5">
        <v>1</v>
      </c>
      <c r="AW22" s="5">
        <v>0.1</v>
      </c>
      <c r="AX22" s="5">
        <v>1</v>
      </c>
    </row>
    <row r="23" s="1" customFormat="1" customHeight="1" spans="1:50">
      <c r="A23" s="18">
        <v>21</v>
      </c>
      <c r="B23" s="19">
        <v>44208</v>
      </c>
      <c r="C23" s="5"/>
      <c r="D23" s="23">
        <v>700</v>
      </c>
      <c r="E23" s="5">
        <f>362</f>
        <v>362</v>
      </c>
      <c r="F23" s="5">
        <v>352</v>
      </c>
      <c r="G23" s="20">
        <v>103</v>
      </c>
      <c r="H23" s="20">
        <v>71</v>
      </c>
      <c r="I23" s="20">
        <v>145</v>
      </c>
      <c r="J23" s="20">
        <v>150</v>
      </c>
      <c r="K23" s="5"/>
      <c r="L23" s="5">
        <f t="shared" si="0"/>
        <v>0.517142857142857</v>
      </c>
      <c r="M23" s="5">
        <f t="shared" si="1"/>
        <v>0.602</v>
      </c>
      <c r="N23" s="5">
        <f t="shared" si="2"/>
        <v>421.4</v>
      </c>
      <c r="O23" s="5"/>
      <c r="P23" s="5">
        <f>23+11.5</f>
        <v>34.5</v>
      </c>
      <c r="Q23" s="5"/>
      <c r="R23" s="5">
        <v>41</v>
      </c>
      <c r="S23" s="5">
        <v>2.7</v>
      </c>
      <c r="T23" s="5">
        <f>13+13.8+8.6+12+3.3+12+12.5+12.1+10.5+7.1+7.3+11.7+10.2+13.1</f>
        <v>147.2</v>
      </c>
      <c r="U23" s="5"/>
      <c r="V23" s="5"/>
      <c r="W23" s="5"/>
      <c r="X23" s="5">
        <v>5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>
        <v>176</v>
      </c>
      <c r="AQ23" s="5"/>
      <c r="AR23" s="5">
        <v>15</v>
      </c>
      <c r="AS23" s="5"/>
      <c r="AT23" s="5">
        <v>45</v>
      </c>
      <c r="AU23" s="5">
        <v>1</v>
      </c>
      <c r="AV23" s="5">
        <v>1</v>
      </c>
      <c r="AW23" s="5">
        <v>0.1</v>
      </c>
      <c r="AX23" s="5">
        <v>1</v>
      </c>
    </row>
    <row r="24" s="1" customFormat="1" customHeight="1" spans="1:50">
      <c r="A24" s="18">
        <v>22</v>
      </c>
      <c r="B24" s="19">
        <v>44208</v>
      </c>
      <c r="C24" s="5"/>
      <c r="D24" s="23">
        <v>700</v>
      </c>
      <c r="E24" s="5">
        <v>420</v>
      </c>
      <c r="F24" s="5">
        <v>410</v>
      </c>
      <c r="G24" s="21"/>
      <c r="H24" s="21"/>
      <c r="I24" s="21"/>
      <c r="J24" s="21"/>
      <c r="K24" s="5"/>
      <c r="L24" s="5">
        <f t="shared" si="0"/>
        <v>0.6</v>
      </c>
      <c r="M24" s="5">
        <f t="shared" si="1"/>
        <v>0.518542857142857</v>
      </c>
      <c r="N24" s="5">
        <f t="shared" si="2"/>
        <v>362.98</v>
      </c>
      <c r="O24" s="5">
        <v>4.1</v>
      </c>
      <c r="P24" s="5">
        <f>9.23+10.8+6.6</f>
        <v>26.63</v>
      </c>
      <c r="Q24" s="5"/>
      <c r="R24" s="5">
        <v>42</v>
      </c>
      <c r="S24" s="5"/>
      <c r="T24" s="5">
        <f>13.2+8+8+4.8+13.4</f>
        <v>47.4</v>
      </c>
      <c r="U24" s="5">
        <v>8.9</v>
      </c>
      <c r="V24" s="5">
        <f>11.25+6.8+14.3+11.1+5.8+9.6+7.3+12+5.6</f>
        <v>83.75</v>
      </c>
      <c r="W24" s="5"/>
      <c r="X24" s="5">
        <v>5</v>
      </c>
      <c r="Y24" s="5"/>
      <c r="Z24" s="5"/>
      <c r="AA24" s="5"/>
      <c r="AB24" s="5"/>
      <c r="AC24" s="5">
        <v>8.9</v>
      </c>
      <c r="AD24" s="5"/>
      <c r="AE24" s="5">
        <v>5.7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115.6</v>
      </c>
      <c r="AQ24" s="5"/>
      <c r="AR24" s="5">
        <v>15</v>
      </c>
      <c r="AS24" s="5"/>
      <c r="AT24" s="5">
        <v>45</v>
      </c>
      <c r="AU24" s="5">
        <v>1</v>
      </c>
      <c r="AV24" s="5">
        <v>1</v>
      </c>
      <c r="AW24" s="5">
        <v>0.1</v>
      </c>
      <c r="AX24" s="5">
        <v>1</v>
      </c>
    </row>
    <row r="25" s="1" customFormat="1" customHeight="1" spans="1:50">
      <c r="A25" s="18">
        <v>23</v>
      </c>
      <c r="B25" s="19">
        <v>44208</v>
      </c>
      <c r="C25" s="5"/>
      <c r="D25" s="23">
        <v>750</v>
      </c>
      <c r="E25" s="5">
        <v>424.5</v>
      </c>
      <c r="F25" s="5">
        <v>410</v>
      </c>
      <c r="G25" s="22"/>
      <c r="H25" s="22"/>
      <c r="I25" s="22"/>
      <c r="J25" s="22"/>
      <c r="K25" s="5"/>
      <c r="L25" s="5">
        <f t="shared" si="0"/>
        <v>0.566</v>
      </c>
      <c r="M25" s="5">
        <f t="shared" si="1"/>
        <v>0.71952</v>
      </c>
      <c r="N25" s="5">
        <f t="shared" si="2"/>
        <v>539.64</v>
      </c>
      <c r="O25" s="5"/>
      <c r="P25" s="5">
        <f>8.99+2.45</f>
        <v>11.44</v>
      </c>
      <c r="Q25" s="5"/>
      <c r="R25" s="5">
        <v>31</v>
      </c>
      <c r="S25" s="5"/>
      <c r="T25" s="5">
        <f>22.8+12.98+14.3+10.6</f>
        <v>60.68</v>
      </c>
      <c r="U25" s="5">
        <v>10.7</v>
      </c>
      <c r="V25" s="5">
        <f>16.8+7.4+6.5</f>
        <v>30.7</v>
      </c>
      <c r="W25" s="5">
        <f>12.4+5.4+5.7</f>
        <v>23.5</v>
      </c>
      <c r="X25" s="5">
        <v>5</v>
      </c>
      <c r="Y25" s="5"/>
      <c r="Z25" s="5">
        <v>10</v>
      </c>
      <c r="AA25" s="5"/>
      <c r="AB25" s="5">
        <v>9.88</v>
      </c>
      <c r="AC25" s="5"/>
      <c r="AD25" s="5">
        <v>7.74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304.5</v>
      </c>
      <c r="AQ25" s="5">
        <v>19.5</v>
      </c>
      <c r="AR25" s="5">
        <v>15</v>
      </c>
      <c r="AS25" s="5"/>
      <c r="AT25" s="5">
        <v>45</v>
      </c>
      <c r="AU25" s="5">
        <v>1</v>
      </c>
      <c r="AV25" s="5">
        <v>1</v>
      </c>
      <c r="AW25" s="5">
        <v>0.1</v>
      </c>
      <c r="AX25" s="5">
        <v>1</v>
      </c>
    </row>
    <row r="26" s="1" customFormat="1" customHeight="1" spans="1:50">
      <c r="A26" s="18">
        <v>24</v>
      </c>
      <c r="B26" s="19">
        <v>44212</v>
      </c>
      <c r="C26" s="5"/>
      <c r="D26" s="23">
        <v>720</v>
      </c>
      <c r="E26" s="5">
        <v>395</v>
      </c>
      <c r="F26" s="5">
        <v>385</v>
      </c>
      <c r="G26" s="20">
        <v>96</v>
      </c>
      <c r="H26" s="20">
        <v>75</v>
      </c>
      <c r="I26" s="20">
        <v>149</v>
      </c>
      <c r="J26" s="20">
        <v>140</v>
      </c>
      <c r="K26" s="5"/>
      <c r="L26" s="5">
        <f t="shared" si="0"/>
        <v>0.548611111111111</v>
      </c>
      <c r="M26" s="5">
        <f t="shared" si="1"/>
        <v>0.218472222222222</v>
      </c>
      <c r="N26" s="5">
        <f t="shared" si="2"/>
        <v>157.3</v>
      </c>
      <c r="O26" s="5"/>
      <c r="P26" s="5">
        <v>5.6</v>
      </c>
      <c r="Q26" s="5"/>
      <c r="R26" s="5">
        <v>10</v>
      </c>
      <c r="S26" s="5"/>
      <c r="T26" s="5"/>
      <c r="U26" s="5"/>
      <c r="V26" s="5"/>
      <c r="W26" s="5"/>
      <c r="X26" s="5">
        <v>5</v>
      </c>
      <c r="Y26" s="5"/>
      <c r="Z26" s="5"/>
      <c r="AA26" s="5"/>
      <c r="AB26" s="5"/>
      <c r="AC26" s="5"/>
      <c r="AD26" s="5"/>
      <c r="AE26" s="5"/>
      <c r="AF26" s="5">
        <v>4.2</v>
      </c>
      <c r="AG26" s="5"/>
      <c r="AH26" s="5"/>
      <c r="AI26" s="5"/>
      <c r="AJ26" s="5"/>
      <c r="AK26" s="5"/>
      <c r="AL26" s="5"/>
      <c r="AM26" s="5"/>
      <c r="AN26" s="5"/>
      <c r="AO26" s="5"/>
      <c r="AP26" s="5">
        <v>117.5</v>
      </c>
      <c r="AQ26" s="5"/>
      <c r="AR26" s="5">
        <v>15</v>
      </c>
      <c r="AS26" s="5"/>
      <c r="AT26" s="5">
        <v>45</v>
      </c>
      <c r="AU26" s="5">
        <v>1</v>
      </c>
      <c r="AV26" s="5">
        <v>1</v>
      </c>
      <c r="AW26" s="5">
        <v>0.1</v>
      </c>
      <c r="AX26" s="5">
        <v>1</v>
      </c>
    </row>
    <row r="27" s="1" customFormat="1" customHeight="1" spans="1:50">
      <c r="A27" s="18">
        <v>25</v>
      </c>
      <c r="B27" s="19">
        <v>44212</v>
      </c>
      <c r="C27" s="5"/>
      <c r="D27" s="23">
        <v>720</v>
      </c>
      <c r="E27" s="5">
        <v>415</v>
      </c>
      <c r="F27" s="5">
        <v>405</v>
      </c>
      <c r="G27" s="21"/>
      <c r="H27" s="21"/>
      <c r="I27" s="21"/>
      <c r="J27" s="21"/>
      <c r="K27" s="5"/>
      <c r="L27" s="5">
        <f t="shared" si="0"/>
        <v>0.576388888888889</v>
      </c>
      <c r="M27" s="5">
        <f t="shared" si="1"/>
        <v>0.253888888888889</v>
      </c>
      <c r="N27" s="5">
        <f t="shared" si="2"/>
        <v>182.8</v>
      </c>
      <c r="O27" s="5"/>
      <c r="P27" s="5">
        <f>22.6+42.4</f>
        <v>65</v>
      </c>
      <c r="Q27" s="5"/>
      <c r="R27" s="5">
        <v>13.5</v>
      </c>
      <c r="S27" s="5">
        <v>2.5</v>
      </c>
      <c r="T27" s="5"/>
      <c r="U27" s="5">
        <v>25</v>
      </c>
      <c r="V27" s="5"/>
      <c r="W27" s="5"/>
      <c r="X27" s="5">
        <v>5</v>
      </c>
      <c r="Y27" s="5"/>
      <c r="Z27" s="5">
        <v>6.4</v>
      </c>
      <c r="AA27" s="5"/>
      <c r="AB27" s="5"/>
      <c r="AC27" s="5">
        <v>13.8</v>
      </c>
      <c r="AD27" s="5"/>
      <c r="AE27" s="5"/>
      <c r="AF27" s="5"/>
      <c r="AG27" s="5">
        <v>6.6</v>
      </c>
      <c r="AH27" s="5"/>
      <c r="AI27" s="5"/>
      <c r="AJ27" s="5"/>
      <c r="AK27" s="5"/>
      <c r="AL27" s="5"/>
      <c r="AM27" s="5"/>
      <c r="AN27" s="5"/>
      <c r="AO27" s="5"/>
      <c r="AP27" s="5">
        <v>30</v>
      </c>
      <c r="AQ27" s="5"/>
      <c r="AR27" s="5">
        <v>15</v>
      </c>
      <c r="AS27" s="5"/>
      <c r="AT27" s="5">
        <v>45</v>
      </c>
      <c r="AU27" s="5">
        <v>1</v>
      </c>
      <c r="AV27" s="5">
        <v>1</v>
      </c>
      <c r="AW27" s="5">
        <v>0.1</v>
      </c>
      <c r="AX27" s="5">
        <v>1</v>
      </c>
    </row>
    <row r="28" s="1" customFormat="1" customHeight="1" spans="1:50">
      <c r="A28" s="18">
        <v>26</v>
      </c>
      <c r="B28" s="19">
        <v>44212</v>
      </c>
      <c r="C28" s="5"/>
      <c r="D28" s="23">
        <v>710</v>
      </c>
      <c r="E28" s="5">
        <v>412.5</v>
      </c>
      <c r="F28" s="5">
        <v>402</v>
      </c>
      <c r="G28" s="22"/>
      <c r="H28" s="22"/>
      <c r="I28" s="22"/>
      <c r="J28" s="22"/>
      <c r="K28" s="5"/>
      <c r="L28" s="5">
        <f t="shared" si="0"/>
        <v>0.580985915492958</v>
      </c>
      <c r="M28" s="5">
        <f t="shared" si="1"/>
        <v>0.143507042253521</v>
      </c>
      <c r="N28" s="5">
        <f t="shared" si="2"/>
        <v>101.89</v>
      </c>
      <c r="O28" s="5">
        <v>1.8</v>
      </c>
      <c r="P28" s="5">
        <v>11.1</v>
      </c>
      <c r="Q28" s="5"/>
      <c r="R28" s="5">
        <v>7.5</v>
      </c>
      <c r="S28" s="5"/>
      <c r="T28" s="5"/>
      <c r="U28" s="5"/>
      <c r="V28" s="5"/>
      <c r="W28" s="5"/>
      <c r="X28" s="5">
        <v>5</v>
      </c>
      <c r="Y28" s="5"/>
      <c r="Z28" s="5">
        <v>6.99</v>
      </c>
      <c r="AA28" s="5"/>
      <c r="AB28" s="5">
        <v>3.6</v>
      </c>
      <c r="AC28" s="5"/>
      <c r="AD28" s="5">
        <f>7.8+3.7</f>
        <v>11.5</v>
      </c>
      <c r="AE28" s="5"/>
      <c r="AF28" s="5"/>
      <c r="AG28" s="5"/>
      <c r="AH28" s="5"/>
      <c r="AI28" s="5"/>
      <c r="AJ28" s="5"/>
      <c r="AK28" s="5"/>
      <c r="AL28" s="5"/>
      <c r="AM28" s="5"/>
      <c r="AN28" s="5">
        <v>5.4</v>
      </c>
      <c r="AO28" s="5"/>
      <c r="AP28" s="5">
        <v>1</v>
      </c>
      <c r="AQ28" s="5">
        <v>33</v>
      </c>
      <c r="AR28" s="5">
        <v>15</v>
      </c>
      <c r="AS28" s="5"/>
      <c r="AT28" s="5">
        <v>45</v>
      </c>
      <c r="AU28" s="5">
        <v>1</v>
      </c>
      <c r="AV28" s="5">
        <v>1</v>
      </c>
      <c r="AW28" s="5">
        <v>0.1</v>
      </c>
      <c r="AX28" s="5">
        <v>1</v>
      </c>
    </row>
    <row r="29" s="1" customFormat="1" customHeight="1" spans="1:50">
      <c r="A29" s="18">
        <v>27</v>
      </c>
      <c r="B29" s="19">
        <v>44214</v>
      </c>
      <c r="C29" s="5"/>
      <c r="D29" s="23">
        <v>750</v>
      </c>
      <c r="E29" s="5">
        <v>402</v>
      </c>
      <c r="F29" s="5">
        <v>392</v>
      </c>
      <c r="G29" s="20">
        <v>110</v>
      </c>
      <c r="H29" s="20">
        <v>74</v>
      </c>
      <c r="I29" s="20">
        <v>198</v>
      </c>
      <c r="J29" s="20">
        <v>142</v>
      </c>
      <c r="K29" s="5"/>
      <c r="L29" s="5">
        <f t="shared" si="0"/>
        <v>0.536</v>
      </c>
      <c r="M29" s="5">
        <f t="shared" si="1"/>
        <v>0.155333333333333</v>
      </c>
      <c r="N29" s="5">
        <f t="shared" si="2"/>
        <v>116.5</v>
      </c>
      <c r="O29" s="5"/>
      <c r="P29" s="5"/>
      <c r="Q29" s="5"/>
      <c r="R29" s="5">
        <v>1</v>
      </c>
      <c r="S29" s="5"/>
      <c r="T29" s="5">
        <f>9.1+7.4</f>
        <v>16.5</v>
      </c>
      <c r="U29" s="5">
        <f>7.2+5.2</f>
        <v>12.4</v>
      </c>
      <c r="V29" s="5">
        <f>7.7+9.2</f>
        <v>16.9</v>
      </c>
      <c r="W29" s="5">
        <f>11.8+9.8</f>
        <v>21.6</v>
      </c>
      <c r="X29" s="5">
        <v>5</v>
      </c>
      <c r="Y29" s="5"/>
      <c r="Z29" s="5"/>
      <c r="AA29" s="5"/>
      <c r="AB29" s="5"/>
      <c r="AC29" s="5">
        <v>2.1</v>
      </c>
      <c r="AD29" s="5"/>
      <c r="AE29" s="5">
        <v>9.8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>
        <v>16.2</v>
      </c>
      <c r="AQ29" s="5"/>
      <c r="AR29" s="5">
        <v>15</v>
      </c>
      <c r="AS29" s="5"/>
      <c r="AT29" s="5">
        <v>39</v>
      </c>
      <c r="AU29" s="5">
        <v>1</v>
      </c>
      <c r="AV29" s="5">
        <v>1</v>
      </c>
      <c r="AW29" s="5">
        <v>0.1</v>
      </c>
      <c r="AX29" s="5">
        <v>1</v>
      </c>
    </row>
    <row r="30" s="1" customFormat="1" customHeight="1" spans="1:50">
      <c r="A30" s="18">
        <v>28</v>
      </c>
      <c r="B30" s="19">
        <v>44214</v>
      </c>
      <c r="C30" s="5"/>
      <c r="D30" s="23">
        <v>750</v>
      </c>
      <c r="E30" s="5">
        <v>453</v>
      </c>
      <c r="F30" s="5">
        <v>442</v>
      </c>
      <c r="G30" s="21"/>
      <c r="H30" s="21"/>
      <c r="I30" s="21"/>
      <c r="J30" s="21"/>
      <c r="K30" s="5"/>
      <c r="L30" s="5">
        <f t="shared" si="0"/>
        <v>0.604</v>
      </c>
      <c r="M30" s="5">
        <f t="shared" si="1"/>
        <v>0.5524</v>
      </c>
      <c r="N30" s="5">
        <f t="shared" si="2"/>
        <v>414.3</v>
      </c>
      <c r="O30" s="5"/>
      <c r="P30" s="5">
        <f>11.6+22.9+1.5+2.8</f>
        <v>38.8</v>
      </c>
      <c r="Q30" s="5"/>
      <c r="R30" s="5">
        <f>13.4+44</f>
        <v>57.4</v>
      </c>
      <c r="S30" s="5"/>
      <c r="T30" s="5">
        <f>16.3+21.3+3.3+3.9+10.5+6.6+8.7+3.2+13.8</f>
        <v>87.6</v>
      </c>
      <c r="U30" s="5">
        <v>13.6</v>
      </c>
      <c r="V30" s="5">
        <f>14.7+10.4+5.5</f>
        <v>30.6</v>
      </c>
      <c r="W30" s="5">
        <f>10.7+9.7</f>
        <v>20.4</v>
      </c>
      <c r="X30" s="5">
        <v>5</v>
      </c>
      <c r="Y30" s="5">
        <v>3.1</v>
      </c>
      <c r="Z30" s="5"/>
      <c r="AA30" s="5">
        <v>10.1</v>
      </c>
      <c r="AB30" s="5">
        <v>5.5</v>
      </c>
      <c r="AC30" s="5">
        <f>18.8+8.4</f>
        <v>27.2</v>
      </c>
      <c r="AD30" s="5">
        <f>8.5+8.1+1.8</f>
        <v>18.4</v>
      </c>
      <c r="AE30" s="5"/>
      <c r="AF30" s="5"/>
      <c r="AG30" s="5">
        <v>10</v>
      </c>
      <c r="AH30" s="5"/>
      <c r="AI30" s="5"/>
      <c r="AJ30" s="5"/>
      <c r="AK30" s="5"/>
      <c r="AL30" s="5"/>
      <c r="AM30" s="5"/>
      <c r="AN30" s="5"/>
      <c r="AO30" s="5"/>
      <c r="AP30" s="5">
        <f>3.9+5.2+52.5</f>
        <v>61.6</v>
      </c>
      <c r="AQ30" s="5">
        <v>6</v>
      </c>
      <c r="AR30" s="5">
        <v>19</v>
      </c>
      <c r="AS30" s="5"/>
      <c r="AT30" s="5">
        <v>36</v>
      </c>
      <c r="AU30" s="5">
        <v>1</v>
      </c>
      <c r="AV30" s="5">
        <v>1</v>
      </c>
      <c r="AW30" s="5">
        <v>0</v>
      </c>
      <c r="AX30" s="5">
        <v>1</v>
      </c>
    </row>
    <row r="31" s="1" customFormat="1" customHeight="1" spans="1:50">
      <c r="A31" s="18">
        <v>29</v>
      </c>
      <c r="B31" s="19">
        <v>44214</v>
      </c>
      <c r="C31" s="5"/>
      <c r="D31" s="23">
        <v>800</v>
      </c>
      <c r="E31" s="5">
        <v>485</v>
      </c>
      <c r="F31" s="5">
        <v>475</v>
      </c>
      <c r="G31" s="22"/>
      <c r="H31" s="22"/>
      <c r="I31" s="22"/>
      <c r="J31" s="22"/>
      <c r="K31" s="5"/>
      <c r="L31" s="5">
        <f t="shared" si="0"/>
        <v>0.60625</v>
      </c>
      <c r="M31" s="5">
        <f t="shared" si="1"/>
        <v>0.432325</v>
      </c>
      <c r="N31" s="5">
        <f t="shared" si="2"/>
        <v>345.86</v>
      </c>
      <c r="O31" s="5"/>
      <c r="P31" s="5"/>
      <c r="Q31" s="5"/>
      <c r="R31" s="5">
        <f>11+12+30</f>
        <v>53</v>
      </c>
      <c r="S31" s="5"/>
      <c r="T31" s="5">
        <f>13.1+13.3+10.6+9.9+3.5+10.3+2+10+11+7.8</f>
        <v>91.5</v>
      </c>
      <c r="U31" s="5">
        <v>7.1</v>
      </c>
      <c r="V31" s="5">
        <f>7.2+6.1+1.9+8.39+7.8+8.2+8</f>
        <v>47.59</v>
      </c>
      <c r="W31" s="5">
        <f>8.8+5.5+10.1</f>
        <v>24.4</v>
      </c>
      <c r="X31" s="5">
        <v>5.77</v>
      </c>
      <c r="Y31" s="5"/>
      <c r="Z31" s="5"/>
      <c r="AA31" s="5"/>
      <c r="AB31" s="5">
        <v>2.5</v>
      </c>
      <c r="AC31" s="5"/>
      <c r="AD31" s="5"/>
      <c r="AE31" s="5">
        <v>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65</v>
      </c>
      <c r="AQ31" s="5">
        <v>21</v>
      </c>
      <c r="AR31" s="5">
        <v>23</v>
      </c>
      <c r="AS31" s="5"/>
      <c r="AT31" s="5">
        <v>69</v>
      </c>
      <c r="AU31" s="5">
        <v>1</v>
      </c>
      <c r="AV31" s="5">
        <v>1</v>
      </c>
      <c r="AW31" s="5">
        <v>0.1</v>
      </c>
      <c r="AX31" s="5">
        <v>1</v>
      </c>
    </row>
    <row r="32" s="1" customFormat="1" customHeight="1" spans="1:50">
      <c r="A32" s="18">
        <v>30</v>
      </c>
      <c r="B32" s="19">
        <v>44216</v>
      </c>
      <c r="C32" s="5"/>
      <c r="D32" s="23">
        <v>550</v>
      </c>
      <c r="E32" s="5">
        <v>302</v>
      </c>
      <c r="F32" s="5">
        <v>292</v>
      </c>
      <c r="G32" s="20">
        <v>140</v>
      </c>
      <c r="H32" s="20">
        <v>85</v>
      </c>
      <c r="I32" s="20">
        <v>260</v>
      </c>
      <c r="J32" s="20">
        <v>154</v>
      </c>
      <c r="K32" s="5"/>
      <c r="L32" s="5">
        <f t="shared" si="0"/>
        <v>0.549090909090909</v>
      </c>
      <c r="M32" s="5">
        <f t="shared" si="1"/>
        <v>0.456545454545455</v>
      </c>
      <c r="N32" s="5">
        <f t="shared" si="2"/>
        <v>251.1</v>
      </c>
      <c r="O32" s="5"/>
      <c r="P32" s="5">
        <f>8+16.6</f>
        <v>24.6</v>
      </c>
      <c r="Q32" s="5"/>
      <c r="R32" s="5">
        <v>27</v>
      </c>
      <c r="S32" s="5"/>
      <c r="T32" s="5">
        <f>16.7+20.4+10.3</f>
        <v>47.4</v>
      </c>
      <c r="U32" s="5">
        <f>14.7+5.48+6.7+7.3</f>
        <v>34.18</v>
      </c>
      <c r="V32" s="5">
        <f>8+8.48+7</f>
        <v>23.48</v>
      </c>
      <c r="W32" s="5">
        <f>11.44+5.4</f>
        <v>16.84</v>
      </c>
      <c r="X32" s="5"/>
      <c r="Y32" s="5"/>
      <c r="Z32" s="5"/>
      <c r="AA32" s="5"/>
      <c r="AB32" s="5"/>
      <c r="AC32" s="5">
        <f>11.4+4.6+4.8+27</f>
        <v>47.8</v>
      </c>
      <c r="AD32" s="5"/>
      <c r="AE32" s="5">
        <v>4.8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>
        <v>25</v>
      </c>
      <c r="AQ32" s="5"/>
      <c r="AR32" s="5"/>
      <c r="AS32" s="5"/>
      <c r="AT32" s="5">
        <v>64</v>
      </c>
      <c r="AU32" s="5">
        <v>1</v>
      </c>
      <c r="AV32" s="5">
        <v>1</v>
      </c>
      <c r="AW32" s="5">
        <v>0.1</v>
      </c>
      <c r="AX32" s="5">
        <v>1</v>
      </c>
    </row>
    <row r="33" s="1" customFormat="1" customHeight="1" spans="1:50">
      <c r="A33" s="18">
        <v>31</v>
      </c>
      <c r="B33" s="19">
        <v>44216</v>
      </c>
      <c r="C33" s="5"/>
      <c r="D33" s="23">
        <v>680</v>
      </c>
      <c r="E33" s="5">
        <v>374</v>
      </c>
      <c r="F33" s="5">
        <v>364</v>
      </c>
      <c r="G33" s="21"/>
      <c r="H33" s="21"/>
      <c r="I33" s="21"/>
      <c r="J33" s="21"/>
      <c r="K33" s="5"/>
      <c r="L33" s="5">
        <f t="shared" si="0"/>
        <v>0.55</v>
      </c>
      <c r="M33" s="5">
        <f t="shared" si="1"/>
        <v>0.445838235294118</v>
      </c>
      <c r="N33" s="5">
        <f t="shared" si="2"/>
        <v>303.17</v>
      </c>
      <c r="O33" s="5"/>
      <c r="P33" s="5"/>
      <c r="Q33" s="5"/>
      <c r="R33" s="5">
        <v>128</v>
      </c>
      <c r="S33" s="5"/>
      <c r="T33" s="5">
        <f>7.7+6.3+8.8+5.9</f>
        <v>28.7</v>
      </c>
      <c r="U33" s="5">
        <f>7.8+8.1</f>
        <v>15.9</v>
      </c>
      <c r="V33" s="5">
        <f>8.4+7.6</f>
        <v>16</v>
      </c>
      <c r="W33" s="5">
        <v>10.7</v>
      </c>
      <c r="X33" s="5"/>
      <c r="Y33" s="5"/>
      <c r="Z33" s="5"/>
      <c r="AA33" s="5"/>
      <c r="AB33" s="5">
        <v>11.3</v>
      </c>
      <c r="AC33" s="5">
        <f>13.5+10.5</f>
        <v>24</v>
      </c>
      <c r="AD33" s="5"/>
      <c r="AE33" s="5"/>
      <c r="AF33" s="5">
        <v>5</v>
      </c>
      <c r="AG33" s="5"/>
      <c r="AH33" s="5"/>
      <c r="AI33" s="5"/>
      <c r="AJ33" s="5"/>
      <c r="AK33" s="5"/>
      <c r="AL33" s="5"/>
      <c r="AM33" s="5"/>
      <c r="AN33" s="5">
        <v>4</v>
      </c>
      <c r="AO33" s="5"/>
      <c r="AP33" s="5">
        <v>2.07</v>
      </c>
      <c r="AQ33" s="5">
        <f>5+9+7+4.5</f>
        <v>25.5</v>
      </c>
      <c r="AR33" s="5">
        <f>15+6+11</f>
        <v>32</v>
      </c>
      <c r="AS33" s="5"/>
      <c r="AT33" s="5">
        <v>42</v>
      </c>
      <c r="AU33" s="5">
        <v>1</v>
      </c>
      <c r="AV33" s="5">
        <v>1</v>
      </c>
      <c r="AW33" s="5">
        <v>0.1</v>
      </c>
      <c r="AX33" s="5">
        <v>1</v>
      </c>
    </row>
    <row r="34" s="1" customFormat="1" customHeight="1" spans="1:50">
      <c r="A34" s="18">
        <v>32</v>
      </c>
      <c r="B34" s="19">
        <v>44216</v>
      </c>
      <c r="C34" s="5"/>
      <c r="D34" s="23">
        <v>680</v>
      </c>
      <c r="E34" s="5">
        <v>365</v>
      </c>
      <c r="F34" s="5">
        <v>355</v>
      </c>
      <c r="G34" s="21"/>
      <c r="H34" s="21"/>
      <c r="I34" s="21"/>
      <c r="J34" s="21"/>
      <c r="K34" s="5"/>
      <c r="L34" s="5">
        <f t="shared" si="0"/>
        <v>0.536764705882353</v>
      </c>
      <c r="M34" s="5">
        <f t="shared" si="1"/>
        <v>0.0129411764705882</v>
      </c>
      <c r="N34" s="5">
        <f t="shared" si="2"/>
        <v>8.8</v>
      </c>
      <c r="O34" s="5"/>
      <c r="P34" s="5"/>
      <c r="Q34" s="5"/>
      <c r="R34" s="5">
        <v>4.7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4.1</v>
      </c>
      <c r="AQ34" s="5"/>
      <c r="AR34" s="5"/>
      <c r="AS34" s="5"/>
      <c r="AT34" s="5">
        <v>30</v>
      </c>
      <c r="AU34" s="5">
        <v>1</v>
      </c>
      <c r="AV34" s="5">
        <v>1</v>
      </c>
      <c r="AW34" s="5">
        <v>0.1</v>
      </c>
      <c r="AX34" s="5">
        <v>1</v>
      </c>
    </row>
    <row r="35" s="1" customFormat="1" customHeight="1" spans="1:50">
      <c r="A35" s="18">
        <v>33</v>
      </c>
      <c r="B35" s="19">
        <v>44216</v>
      </c>
      <c r="C35" s="5"/>
      <c r="D35" s="23">
        <v>690</v>
      </c>
      <c r="E35" s="5">
        <v>382</v>
      </c>
      <c r="F35" s="5">
        <v>370</v>
      </c>
      <c r="G35" s="22"/>
      <c r="H35" s="22"/>
      <c r="I35" s="22"/>
      <c r="J35" s="22"/>
      <c r="K35" s="5"/>
      <c r="L35" s="5">
        <f t="shared" si="0"/>
        <v>0.553623188405797</v>
      </c>
      <c r="M35" s="5">
        <f t="shared" si="1"/>
        <v>0.0139130434782609</v>
      </c>
      <c r="N35" s="5">
        <f t="shared" si="2"/>
        <v>9.6</v>
      </c>
      <c r="O35" s="5"/>
      <c r="P35" s="5"/>
      <c r="Q35" s="5"/>
      <c r="R35" s="5">
        <v>7.8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1.8</v>
      </c>
      <c r="AQ35" s="5"/>
      <c r="AR35" s="5"/>
      <c r="AS35" s="5"/>
      <c r="AT35" s="5">
        <v>45</v>
      </c>
      <c r="AU35" s="5">
        <v>1</v>
      </c>
      <c r="AV35" s="5">
        <v>1</v>
      </c>
      <c r="AW35" s="5">
        <v>0.1</v>
      </c>
      <c r="AX35" s="5">
        <v>1</v>
      </c>
    </row>
    <row r="36" s="3" customFormat="1" customHeight="1" spans="1:46">
      <c r="A36" s="18">
        <v>34</v>
      </c>
      <c r="B36" s="27">
        <v>44223</v>
      </c>
      <c r="D36" s="3">
        <v>600</v>
      </c>
      <c r="E36" s="3">
        <v>297</v>
      </c>
      <c r="F36" s="3">
        <v>287</v>
      </c>
      <c r="G36" s="3">
        <v>43</v>
      </c>
      <c r="H36" s="3">
        <v>35</v>
      </c>
      <c r="I36" s="3">
        <v>48</v>
      </c>
      <c r="J36" s="3">
        <v>48</v>
      </c>
      <c r="L36" s="5">
        <f t="shared" si="0"/>
        <v>0.495</v>
      </c>
      <c r="M36" s="5">
        <f t="shared" si="1"/>
        <v>0.358133333333333</v>
      </c>
      <c r="N36" s="5">
        <f t="shared" si="2"/>
        <v>214.88</v>
      </c>
      <c r="O36" s="3">
        <f>4+1.8+4</f>
        <v>9.8</v>
      </c>
      <c r="P36" s="3">
        <f>5.4+10</f>
        <v>15.4</v>
      </c>
      <c r="Q36" s="3">
        <f>1.7+1.3</f>
        <v>3</v>
      </c>
      <c r="R36" s="3">
        <f>11.4+12.6</f>
        <v>24</v>
      </c>
      <c r="S36" s="3">
        <f>1.5+1.4</f>
        <v>2.9</v>
      </c>
      <c r="T36" s="3">
        <v>19.1</v>
      </c>
      <c r="U36" s="3">
        <v>12</v>
      </c>
      <c r="V36" s="3">
        <v>11.8</v>
      </c>
      <c r="W36" s="3">
        <f>3.5+3</f>
        <v>6.5</v>
      </c>
      <c r="X36" s="3">
        <v>1.3</v>
      </c>
      <c r="Y36" s="3">
        <f>1.7+3.5+3</f>
        <v>8.2</v>
      </c>
      <c r="Z36" s="3">
        <f>4.2+6.3</f>
        <v>10.5</v>
      </c>
      <c r="AA36" s="3">
        <v>12</v>
      </c>
      <c r="AB36" s="3">
        <v>3.1</v>
      </c>
      <c r="AC36" s="3">
        <v>20.48</v>
      </c>
      <c r="AD36" s="3">
        <v>4.2</v>
      </c>
      <c r="AE36" s="3">
        <f>9+2.5</f>
        <v>11.5</v>
      </c>
      <c r="AF36" s="3">
        <v>0.7</v>
      </c>
      <c r="AG36" s="3">
        <v>4.5</v>
      </c>
      <c r="AP36" s="3">
        <v>0.4</v>
      </c>
      <c r="AQ36" s="3">
        <f>3+6.5</f>
        <v>9.5</v>
      </c>
      <c r="AR36" s="3">
        <f>16+8</f>
        <v>24</v>
      </c>
      <c r="AT36" s="3">
        <v>24</v>
      </c>
    </row>
    <row r="37" s="3" customFormat="1" customHeight="1" spans="1:46">
      <c r="A37" s="18">
        <v>35</v>
      </c>
      <c r="B37" s="27">
        <v>44231</v>
      </c>
      <c r="D37" s="3">
        <v>780</v>
      </c>
      <c r="E37" s="3">
        <f>453.5</f>
        <v>453.5</v>
      </c>
      <c r="F37" s="3">
        <v>438</v>
      </c>
      <c r="G37" s="20">
        <f>93+30</f>
        <v>123</v>
      </c>
      <c r="H37" s="3">
        <v>75</v>
      </c>
      <c r="I37" s="20">
        <v>219</v>
      </c>
      <c r="J37" s="3">
        <v>54</v>
      </c>
      <c r="L37" s="5">
        <f t="shared" si="0"/>
        <v>0.581410256410256</v>
      </c>
      <c r="M37" s="5">
        <f t="shared" si="1"/>
        <v>0.314346153846154</v>
      </c>
      <c r="N37" s="5">
        <f t="shared" si="2"/>
        <v>245.19</v>
      </c>
      <c r="O37" s="3">
        <v>5.1</v>
      </c>
      <c r="P37" s="3">
        <f>7.5+6.3+3</f>
        <v>16.8</v>
      </c>
      <c r="Q37" s="3">
        <v>3.7</v>
      </c>
      <c r="R37" s="3">
        <v>27.9</v>
      </c>
      <c r="S37" s="3">
        <f>3.7+2.3</f>
        <v>6</v>
      </c>
      <c r="T37" s="3">
        <f>2.8+11.8</f>
        <v>14.6</v>
      </c>
      <c r="U37" s="3">
        <f>7.9+7.5</f>
        <v>15.4</v>
      </c>
      <c r="V37" s="3">
        <f>9.6+9.3+12</f>
        <v>30.9</v>
      </c>
      <c r="W37" s="3">
        <f>1.79+4</f>
        <v>5.79</v>
      </c>
      <c r="X37" s="3">
        <f>0.6+1.1</f>
        <v>1.7</v>
      </c>
      <c r="Y37" s="3">
        <v>3.3</v>
      </c>
      <c r="Z37" s="3">
        <v>6.6</v>
      </c>
      <c r="AA37" s="3">
        <v>21.2</v>
      </c>
      <c r="AB37" s="3">
        <v>12</v>
      </c>
      <c r="AC37" s="3">
        <f>10.3+11.8</f>
        <v>22.1</v>
      </c>
      <c r="AD37" s="3">
        <f>3.2+3+7.8</f>
        <v>14</v>
      </c>
      <c r="AE37" s="3">
        <f>4.9+2.6</f>
        <v>7.5</v>
      </c>
      <c r="AG37" s="3">
        <v>6</v>
      </c>
      <c r="AN37" s="3">
        <v>2.1</v>
      </c>
      <c r="AP37" s="3">
        <f>2.9+2.2+1.9</f>
        <v>7</v>
      </c>
      <c r="AQ37" s="3">
        <v>9.5</v>
      </c>
      <c r="AR37" s="3">
        <v>6</v>
      </c>
      <c r="AT37" s="3">
        <v>54</v>
      </c>
    </row>
    <row r="38" s="3" customFormat="1" customHeight="1" spans="1:46">
      <c r="A38" s="18">
        <v>36</v>
      </c>
      <c r="B38" s="27">
        <v>44231</v>
      </c>
      <c r="D38" s="3">
        <v>720</v>
      </c>
      <c r="E38" s="3">
        <v>435.5</v>
      </c>
      <c r="F38" s="3">
        <v>422</v>
      </c>
      <c r="G38" s="21"/>
      <c r="I38" s="21"/>
      <c r="J38" s="3">
        <v>53</v>
      </c>
      <c r="L38" s="5">
        <f t="shared" si="0"/>
        <v>0.604861111111111</v>
      </c>
      <c r="M38" s="5">
        <f t="shared" si="1"/>
        <v>0.533875</v>
      </c>
      <c r="N38" s="5">
        <f t="shared" si="2"/>
        <v>384.39</v>
      </c>
      <c r="O38" s="3">
        <v>8</v>
      </c>
      <c r="P38" s="3">
        <f>6.99+4.8+3.2+1.6+14.4</f>
        <v>30.99</v>
      </c>
      <c r="Q38" s="3">
        <v>3.7</v>
      </c>
      <c r="R38" s="3">
        <f>24+15</f>
        <v>39</v>
      </c>
      <c r="S38" s="3">
        <v>5.5</v>
      </c>
      <c r="T38" s="3">
        <f>8.7+7.1+5.6+13.3+6.6+7.8+2</f>
        <v>51.1</v>
      </c>
      <c r="U38" s="3">
        <f>7.26+6.9</f>
        <v>14.16</v>
      </c>
      <c r="V38" s="3">
        <f>7.75+7.79</f>
        <v>15.54</v>
      </c>
      <c r="W38" s="3">
        <f>9.6+4.8</f>
        <v>14.4</v>
      </c>
      <c r="X38" s="3">
        <v>11.7</v>
      </c>
      <c r="Y38" s="3">
        <v>3.5</v>
      </c>
      <c r="Z38" s="3">
        <v>6.8</v>
      </c>
      <c r="AA38" s="3">
        <v>20</v>
      </c>
      <c r="AB38" s="3">
        <v>15</v>
      </c>
      <c r="AC38" s="3">
        <v>20</v>
      </c>
      <c r="AD38" s="3">
        <v>24</v>
      </c>
      <c r="AE38" s="3">
        <v>50</v>
      </c>
      <c r="AG38" s="3">
        <v>4</v>
      </c>
      <c r="AN38" s="3">
        <v>0.5</v>
      </c>
      <c r="AP38" s="3">
        <v>30</v>
      </c>
      <c r="AQ38" s="3">
        <v>2.5</v>
      </c>
      <c r="AR38" s="3">
        <v>14</v>
      </c>
      <c r="AT38" s="3">
        <v>40</v>
      </c>
    </row>
    <row r="39" s="3" customFormat="1" customHeight="1" spans="1:46">
      <c r="A39" s="18">
        <v>37</v>
      </c>
      <c r="B39" s="27">
        <v>44231</v>
      </c>
      <c r="D39" s="3">
        <v>700</v>
      </c>
      <c r="E39" s="3">
        <v>383.5</v>
      </c>
      <c r="F39" s="3">
        <v>370</v>
      </c>
      <c r="G39" s="22"/>
      <c r="I39" s="22"/>
      <c r="J39" s="3">
        <v>53</v>
      </c>
      <c r="L39" s="5">
        <f t="shared" si="0"/>
        <v>0.547857142857143</v>
      </c>
      <c r="M39" s="5">
        <f t="shared" si="1"/>
        <v>0.425657142857143</v>
      </c>
      <c r="N39" s="5">
        <f t="shared" si="2"/>
        <v>297.96</v>
      </c>
      <c r="O39" s="3">
        <v>7.67</v>
      </c>
      <c r="P39" s="3">
        <f>1.78+8.5</f>
        <v>10.28</v>
      </c>
      <c r="Q39" s="3">
        <v>3.7</v>
      </c>
      <c r="R39" s="3">
        <f>17.6+32.1</f>
        <v>49.7</v>
      </c>
      <c r="S39" s="3">
        <v>6</v>
      </c>
      <c r="T39" s="3">
        <v>15</v>
      </c>
      <c r="U39" s="3">
        <v>13</v>
      </c>
      <c r="V39" s="3">
        <v>6.78</v>
      </c>
      <c r="W39" s="3">
        <f>5.4+5.8</f>
        <v>11.2</v>
      </c>
      <c r="X39" s="3">
        <f>3.5+3.2</f>
        <v>6.7</v>
      </c>
      <c r="Y39" s="3">
        <v>3.1</v>
      </c>
      <c r="Z39" s="3">
        <f>6.54+7</f>
        <v>13.54</v>
      </c>
      <c r="AA39" s="3">
        <v>10.4</v>
      </c>
      <c r="AB39" s="3">
        <f>13.7+5.3</f>
        <v>19</v>
      </c>
      <c r="AC39" s="3">
        <v>25</v>
      </c>
      <c r="AD39" s="3">
        <f>8.5+7.7</f>
        <v>16.2</v>
      </c>
      <c r="AE39" s="3">
        <v>8.2</v>
      </c>
      <c r="AF39" s="3">
        <v>6.8</v>
      </c>
      <c r="AG39" s="3">
        <v>5</v>
      </c>
      <c r="AN39" s="3">
        <v>1.48</v>
      </c>
      <c r="AP39" s="3">
        <v>0.33</v>
      </c>
      <c r="AQ39" s="3">
        <f>16.38+1.5</f>
        <v>17.88</v>
      </c>
      <c r="AR39" s="3">
        <v>41</v>
      </c>
      <c r="AT39" s="3">
        <v>40</v>
      </c>
    </row>
    <row r="40" s="3" customFormat="1" customHeight="1" spans="1:50">
      <c r="A40" s="18">
        <v>38</v>
      </c>
      <c r="B40" s="27">
        <v>44244</v>
      </c>
      <c r="D40" s="3">
        <v>660</v>
      </c>
      <c r="E40" s="3">
        <v>358</v>
      </c>
      <c r="F40" s="3">
        <v>343.5</v>
      </c>
      <c r="G40" s="3">
        <v>85</v>
      </c>
      <c r="H40" s="3">
        <v>95</v>
      </c>
      <c r="I40" s="3">
        <v>97</v>
      </c>
      <c r="J40" s="3">
        <v>53</v>
      </c>
      <c r="L40" s="5">
        <f t="shared" si="0"/>
        <v>0.542424242424242</v>
      </c>
      <c r="M40" s="5">
        <f t="shared" si="1"/>
        <v>0.402924242424242</v>
      </c>
      <c r="N40" s="5">
        <f t="shared" si="2"/>
        <v>265.93</v>
      </c>
      <c r="O40" s="3">
        <v>12.3</v>
      </c>
      <c r="P40" s="3">
        <v>12.82</v>
      </c>
      <c r="Q40" s="3">
        <v>2.64</v>
      </c>
      <c r="R40" s="3">
        <v>37.4</v>
      </c>
      <c r="S40" s="3">
        <v>3.6</v>
      </c>
      <c r="T40" s="3">
        <v>21</v>
      </c>
      <c r="U40" s="3">
        <v>12.5</v>
      </c>
      <c r="V40" s="3">
        <v>15.9</v>
      </c>
      <c r="W40" s="3">
        <v>10.4</v>
      </c>
      <c r="X40" s="3">
        <v>5.17</v>
      </c>
      <c r="Y40" s="3">
        <v>4.7</v>
      </c>
      <c r="Z40" s="3">
        <v>10.5</v>
      </c>
      <c r="AA40" s="3">
        <v>16.95</v>
      </c>
      <c r="AB40" s="3">
        <v>10.6</v>
      </c>
      <c r="AC40" s="3">
        <v>18.4</v>
      </c>
      <c r="AD40" s="3">
        <v>12.5</v>
      </c>
      <c r="AE40" s="3">
        <v>18.35</v>
      </c>
      <c r="AF40" s="3">
        <v>1.8</v>
      </c>
      <c r="AG40" s="3">
        <v>6.2</v>
      </c>
      <c r="AN40" s="3">
        <v>0.8</v>
      </c>
      <c r="AP40" s="3">
        <v>2.9</v>
      </c>
      <c r="AQ40" s="3">
        <v>10.5</v>
      </c>
      <c r="AR40" s="3">
        <v>18</v>
      </c>
      <c r="AT40" s="3">
        <v>23</v>
      </c>
      <c r="AU40" s="3">
        <v>1</v>
      </c>
      <c r="AV40" s="3">
        <v>1</v>
      </c>
      <c r="AW40" s="3">
        <v>0.1</v>
      </c>
      <c r="AX40" s="3">
        <v>1</v>
      </c>
    </row>
    <row r="41" s="3" customFormat="1" customHeight="1" spans="1:50">
      <c r="A41" s="18">
        <v>39</v>
      </c>
      <c r="B41" s="27">
        <v>44244</v>
      </c>
      <c r="D41" s="3">
        <v>690</v>
      </c>
      <c r="E41" s="3">
        <v>395</v>
      </c>
      <c r="F41" s="3">
        <v>379</v>
      </c>
      <c r="J41" s="3">
        <v>53</v>
      </c>
      <c r="L41" s="5">
        <f t="shared" si="0"/>
        <v>0.572463768115942</v>
      </c>
      <c r="M41" s="5">
        <f t="shared" si="1"/>
        <v>0.440159420289855</v>
      </c>
      <c r="N41" s="5">
        <f t="shared" si="2"/>
        <v>303.71</v>
      </c>
      <c r="O41" s="3">
        <v>13.26</v>
      </c>
      <c r="P41" s="3">
        <v>16.5</v>
      </c>
      <c r="Q41" s="3">
        <v>4.5</v>
      </c>
      <c r="R41" s="3">
        <v>27.1</v>
      </c>
      <c r="S41" s="3">
        <v>3.99</v>
      </c>
      <c r="T41" s="3">
        <v>36.5</v>
      </c>
      <c r="U41" s="3">
        <v>13</v>
      </c>
      <c r="V41" s="3">
        <v>27.4</v>
      </c>
      <c r="W41" s="3">
        <v>0</v>
      </c>
      <c r="X41" s="3">
        <v>6.1</v>
      </c>
      <c r="Y41" s="3">
        <v>5</v>
      </c>
      <c r="Z41" s="3">
        <v>12.94</v>
      </c>
      <c r="AA41" s="3">
        <v>20.54</v>
      </c>
      <c r="AB41" s="3">
        <v>10.9</v>
      </c>
      <c r="AC41" s="3">
        <v>21.83</v>
      </c>
      <c r="AD41" s="3">
        <v>13.5</v>
      </c>
      <c r="AE41" s="3">
        <v>27.57</v>
      </c>
      <c r="AF41" s="3">
        <v>2.08</v>
      </c>
      <c r="AG41" s="3">
        <v>5</v>
      </c>
      <c r="AN41" s="3">
        <v>0.91</v>
      </c>
      <c r="AP41" s="3">
        <v>1.49</v>
      </c>
      <c r="AQ41" s="3">
        <v>10.5</v>
      </c>
      <c r="AR41" s="3">
        <v>23.1</v>
      </c>
      <c r="AT41" s="3">
        <v>23</v>
      </c>
      <c r="AU41" s="3">
        <v>1</v>
      </c>
      <c r="AV41" s="3">
        <v>1</v>
      </c>
      <c r="AW41" s="3">
        <v>0.1</v>
      </c>
      <c r="AX41" s="3">
        <v>1</v>
      </c>
    </row>
    <row r="42" s="3" customFormat="1" customHeight="1" spans="1:50">
      <c r="A42" s="18">
        <v>40</v>
      </c>
      <c r="B42" s="27">
        <v>44246</v>
      </c>
      <c r="D42" s="3">
        <v>650</v>
      </c>
      <c r="E42" s="3">
        <v>362</v>
      </c>
      <c r="F42" s="3">
        <v>351</v>
      </c>
      <c r="G42" s="20">
        <v>74</v>
      </c>
      <c r="H42" s="20">
        <v>75</v>
      </c>
      <c r="I42" s="20">
        <v>96</v>
      </c>
      <c r="J42" s="3">
        <v>50</v>
      </c>
      <c r="L42" s="5">
        <f t="shared" si="0"/>
        <v>0.556923076923077</v>
      </c>
      <c r="M42" s="5">
        <f t="shared" si="1"/>
        <v>0.525784615384615</v>
      </c>
      <c r="N42" s="5">
        <f t="shared" si="2"/>
        <v>341.76</v>
      </c>
      <c r="O42" s="3">
        <f>6.6+5.3</f>
        <v>11.9</v>
      </c>
      <c r="P42" s="3">
        <f>1.4+8</f>
        <v>9.4</v>
      </c>
      <c r="Q42" s="3">
        <v>3.1</v>
      </c>
      <c r="R42" s="3">
        <f>30+13.94</f>
        <v>43.94</v>
      </c>
      <c r="S42" s="3">
        <v>1.8</v>
      </c>
      <c r="T42" s="3">
        <f>15.2</f>
        <v>15.2</v>
      </c>
      <c r="U42" s="3">
        <v>5.2</v>
      </c>
      <c r="V42" s="3">
        <v>14.2</v>
      </c>
      <c r="W42" s="3">
        <v>10</v>
      </c>
      <c r="X42" s="3">
        <v>4.75</v>
      </c>
      <c r="Y42" s="3">
        <v>0</v>
      </c>
      <c r="Z42" s="3">
        <v>6.4</v>
      </c>
      <c r="AA42" s="3">
        <v>30</v>
      </c>
      <c r="AB42" s="3">
        <f>5.1+6.2</f>
        <v>11.3</v>
      </c>
      <c r="AC42" s="3">
        <v>9.2</v>
      </c>
      <c r="AD42" s="3">
        <v>7.5</v>
      </c>
      <c r="AE42" s="3">
        <f>5.8+0.85</f>
        <v>6.65</v>
      </c>
      <c r="AF42" s="3">
        <v>1.5</v>
      </c>
      <c r="AG42" s="3">
        <v>5</v>
      </c>
      <c r="AN42" s="20">
        <v>2.32</v>
      </c>
      <c r="AP42" s="3">
        <f>2+0.3+4.1+100</f>
        <v>106.4</v>
      </c>
      <c r="AQ42" s="3">
        <v>18</v>
      </c>
      <c r="AR42" s="3">
        <v>18</v>
      </c>
      <c r="AT42" s="20">
        <v>72</v>
      </c>
      <c r="AU42" s="3">
        <v>1</v>
      </c>
      <c r="AV42" s="3">
        <v>1</v>
      </c>
      <c r="AW42" s="3">
        <v>0.1</v>
      </c>
      <c r="AX42" s="3">
        <v>1</v>
      </c>
    </row>
    <row r="43" s="3" customFormat="1" ht="24.75" customHeight="1" spans="1:50">
      <c r="A43" s="18">
        <v>41</v>
      </c>
      <c r="B43" s="27">
        <v>44246</v>
      </c>
      <c r="D43" s="3">
        <v>650</v>
      </c>
      <c r="E43" s="3">
        <v>371</v>
      </c>
      <c r="F43" s="3">
        <v>360</v>
      </c>
      <c r="G43" s="22"/>
      <c r="H43" s="22"/>
      <c r="I43" s="22"/>
      <c r="J43" s="3">
        <v>48.9</v>
      </c>
      <c r="L43" s="5">
        <f t="shared" si="0"/>
        <v>0.570769230769231</v>
      </c>
      <c r="M43" s="5">
        <f t="shared" si="1"/>
        <v>0.374261538461538</v>
      </c>
      <c r="N43" s="5">
        <f t="shared" si="2"/>
        <v>243.27</v>
      </c>
      <c r="O43" s="3">
        <v>10.4</v>
      </c>
      <c r="P43" s="3">
        <v>12.1</v>
      </c>
      <c r="Q43" s="3">
        <v>3</v>
      </c>
      <c r="R43" s="3">
        <v>19</v>
      </c>
      <c r="S43" s="3">
        <v>4.35</v>
      </c>
      <c r="T43" s="3">
        <f>5.8+4.2+7.6</f>
        <v>17.6</v>
      </c>
      <c r="U43" s="3">
        <v>12.5</v>
      </c>
      <c r="V43" s="3">
        <v>12</v>
      </c>
      <c r="W43" s="3">
        <v>10.1</v>
      </c>
      <c r="X43" s="3">
        <v>4.8</v>
      </c>
      <c r="Y43" s="3">
        <v>2.8</v>
      </c>
      <c r="Z43" s="3">
        <v>6.2</v>
      </c>
      <c r="AA43" s="3">
        <v>19</v>
      </c>
      <c r="AB43" s="3">
        <f>5.11+8</f>
        <v>13.11</v>
      </c>
      <c r="AC43" s="3">
        <f>15.4+6.4+1.8</f>
        <v>23.6</v>
      </c>
      <c r="AD43" s="3">
        <v>8.1</v>
      </c>
      <c r="AE43" s="3">
        <f>10.5+4</f>
        <v>14.5</v>
      </c>
      <c r="AF43" s="3">
        <v>1.42</v>
      </c>
      <c r="AG43" s="3">
        <v>5</v>
      </c>
      <c r="AN43" s="21"/>
      <c r="AP43" s="3">
        <v>2.69</v>
      </c>
      <c r="AQ43" s="3">
        <v>13</v>
      </c>
      <c r="AR43" s="3">
        <v>28</v>
      </c>
      <c r="AT43" s="22"/>
      <c r="AU43" s="3">
        <v>1</v>
      </c>
      <c r="AV43" s="3">
        <v>1</v>
      </c>
      <c r="AW43" s="3">
        <v>0.1</v>
      </c>
      <c r="AX43" s="3">
        <v>1</v>
      </c>
    </row>
    <row r="44" s="3" customFormat="1" ht="24.75" customHeight="1" spans="1:50">
      <c r="A44" s="18">
        <v>42</v>
      </c>
      <c r="B44" s="27">
        <v>44248</v>
      </c>
      <c r="D44" s="3">
        <v>650</v>
      </c>
      <c r="E44" s="3">
        <v>395</v>
      </c>
      <c r="F44" s="3">
        <v>385</v>
      </c>
      <c r="G44" s="3">
        <v>42</v>
      </c>
      <c r="H44" s="3">
        <v>38</v>
      </c>
      <c r="I44" s="3">
        <v>51</v>
      </c>
      <c r="J44" s="3">
        <v>48</v>
      </c>
      <c r="L44" s="5">
        <f t="shared" si="0"/>
        <v>0.607692307692308</v>
      </c>
      <c r="M44" s="5">
        <f t="shared" si="1"/>
        <v>0.381369230769231</v>
      </c>
      <c r="N44" s="5">
        <f t="shared" si="2"/>
        <v>247.89</v>
      </c>
      <c r="O44" s="3">
        <v>7</v>
      </c>
      <c r="P44" s="3">
        <f>9.7+4.56+0.9</f>
        <v>15.16</v>
      </c>
      <c r="Q44" s="3">
        <v>2.85</v>
      </c>
      <c r="R44" s="3">
        <f>9.3+11.3+15.8</f>
        <v>36.4</v>
      </c>
      <c r="S44" s="3">
        <v>2.17</v>
      </c>
      <c r="T44" s="3">
        <f>16.56+12.36</f>
        <v>28.92</v>
      </c>
      <c r="U44" s="3">
        <f>6.15+6.57</f>
        <v>12.72</v>
      </c>
      <c r="V44" s="3">
        <f>6.1+5.88</f>
        <v>11.98</v>
      </c>
      <c r="W44" s="3">
        <v>8.64</v>
      </c>
      <c r="X44" s="3">
        <v>1.2</v>
      </c>
      <c r="Y44" s="3">
        <v>2.8</v>
      </c>
      <c r="Z44" s="3">
        <f>6.19+5.5</f>
        <v>11.69</v>
      </c>
      <c r="AA44" s="3">
        <f>10.4+10.4</f>
        <v>20.8</v>
      </c>
      <c r="AB44" s="3">
        <v>5.75</v>
      </c>
      <c r="AC44" s="3">
        <f>7.5+7.48</f>
        <v>14.98</v>
      </c>
      <c r="AD44" s="3">
        <f>9.03</f>
        <v>9.03</v>
      </c>
      <c r="AE44" s="3">
        <f>9.5+9.66</f>
        <v>19.16</v>
      </c>
      <c r="AF44" s="3">
        <f>1.4+0.35</f>
        <v>1.75</v>
      </c>
      <c r="AG44" s="3">
        <v>5</v>
      </c>
      <c r="AN44" s="22"/>
      <c r="AP44" s="3">
        <v>1.89</v>
      </c>
      <c r="AQ44" s="3">
        <v>5</v>
      </c>
      <c r="AR44" s="3">
        <v>23</v>
      </c>
      <c r="AT44" s="3">
        <v>28.6</v>
      </c>
      <c r="AU44" s="3">
        <v>1</v>
      </c>
      <c r="AV44" s="3">
        <v>1</v>
      </c>
      <c r="AW44" s="3">
        <v>0.1</v>
      </c>
      <c r="AX44" s="3">
        <v>1</v>
      </c>
    </row>
    <row r="45" s="1" customFormat="1" customHeight="1" spans="1:50">
      <c r="A45" s="18">
        <v>43</v>
      </c>
      <c r="B45" s="27">
        <v>44250</v>
      </c>
      <c r="C45" s="5"/>
      <c r="D45" s="23">
        <v>620</v>
      </c>
      <c r="E45" s="3">
        <v>367</v>
      </c>
      <c r="F45" s="3">
        <v>352</v>
      </c>
      <c r="G45" s="3">
        <v>60</v>
      </c>
      <c r="H45" s="3">
        <v>35</v>
      </c>
      <c r="I45" s="3">
        <v>82</v>
      </c>
      <c r="J45" s="3">
        <v>46</v>
      </c>
      <c r="K45" s="5"/>
      <c r="L45" s="3">
        <f t="shared" si="0"/>
        <v>0.591935483870968</v>
      </c>
      <c r="M45" s="5">
        <f t="shared" si="1"/>
        <v>0.263612903225806</v>
      </c>
      <c r="N45" s="5">
        <f t="shared" si="2"/>
        <v>163.44</v>
      </c>
      <c r="O45" s="5"/>
      <c r="P45" s="5">
        <f>8.8+2.58</f>
        <v>11.38</v>
      </c>
      <c r="Q45" s="3">
        <v>1.77</v>
      </c>
      <c r="R45" s="3">
        <v>9.1</v>
      </c>
      <c r="S45" s="3">
        <v>2.1</v>
      </c>
      <c r="T45" s="5">
        <v>14.2</v>
      </c>
      <c r="U45" s="3">
        <v>6.7</v>
      </c>
      <c r="V45" s="3">
        <v>8.38</v>
      </c>
      <c r="W45" s="3">
        <v>5.6</v>
      </c>
      <c r="X45" s="3">
        <v>3</v>
      </c>
      <c r="Y45" s="3">
        <v>7.3</v>
      </c>
      <c r="Z45" s="3">
        <v>12.4</v>
      </c>
      <c r="AA45" s="3">
        <v>13.7</v>
      </c>
      <c r="AB45" s="3">
        <v>12.1</v>
      </c>
      <c r="AC45" s="3">
        <v>11.3</v>
      </c>
      <c r="AD45" s="3">
        <v>15.6</v>
      </c>
      <c r="AE45" s="5"/>
      <c r="AF45" s="3">
        <v>1.9</v>
      </c>
      <c r="AG45" s="3">
        <v>2.8</v>
      </c>
      <c r="AH45" s="5"/>
      <c r="AI45" s="5"/>
      <c r="AJ45" s="5"/>
      <c r="AK45" s="5"/>
      <c r="AL45" s="5"/>
      <c r="AM45" s="5"/>
      <c r="AN45" s="5"/>
      <c r="AO45" s="5"/>
      <c r="AP45" s="3">
        <v>2.61</v>
      </c>
      <c r="AQ45" s="3">
        <v>5.5</v>
      </c>
      <c r="AR45" s="3">
        <v>16</v>
      </c>
      <c r="AS45" s="5"/>
      <c r="AT45" s="3">
        <v>35</v>
      </c>
      <c r="AU45" s="3">
        <v>1</v>
      </c>
      <c r="AV45" s="3">
        <v>1</v>
      </c>
      <c r="AW45" s="3">
        <v>0.1</v>
      </c>
      <c r="AX45" s="3">
        <v>1</v>
      </c>
    </row>
    <row r="46" s="1" customFormat="1" customHeight="1" spans="1:50">
      <c r="A46" s="18">
        <v>44</v>
      </c>
      <c r="B46" s="27">
        <v>44250</v>
      </c>
      <c r="C46" s="5"/>
      <c r="D46" s="23">
        <v>630</v>
      </c>
      <c r="E46" s="3">
        <v>357.5</v>
      </c>
      <c r="F46" s="3">
        <v>345</v>
      </c>
      <c r="G46" s="3"/>
      <c r="H46" s="3">
        <v>35</v>
      </c>
      <c r="I46" s="3"/>
      <c r="J46" s="3">
        <v>45</v>
      </c>
      <c r="K46" s="5"/>
      <c r="L46" s="3">
        <f t="shared" si="0"/>
        <v>0.567460317460317</v>
      </c>
      <c r="M46" s="5">
        <f t="shared" si="1"/>
        <v>0.215968253968254</v>
      </c>
      <c r="N46" s="5">
        <f t="shared" si="2"/>
        <v>136.06</v>
      </c>
      <c r="O46" s="3">
        <v>5.2</v>
      </c>
      <c r="P46" s="5">
        <v>9.3</v>
      </c>
      <c r="Q46" s="5"/>
      <c r="R46" s="3">
        <v>16</v>
      </c>
      <c r="S46" s="5"/>
      <c r="T46" s="5">
        <v>13.2</v>
      </c>
      <c r="U46" s="3">
        <v>6.6</v>
      </c>
      <c r="V46" s="3">
        <v>7.85</v>
      </c>
      <c r="W46" s="3">
        <v>5.43</v>
      </c>
      <c r="X46" s="3"/>
      <c r="Y46" s="3">
        <v>2.1</v>
      </c>
      <c r="Z46" s="3">
        <v>5.4</v>
      </c>
      <c r="AA46" s="3">
        <v>9.7</v>
      </c>
      <c r="AB46" s="5"/>
      <c r="AC46" s="3">
        <v>9.8</v>
      </c>
      <c r="AD46" s="5"/>
      <c r="AE46" s="5">
        <v>10</v>
      </c>
      <c r="AF46" s="5"/>
      <c r="AG46" s="3">
        <v>9.8</v>
      </c>
      <c r="AH46" s="5"/>
      <c r="AI46" s="5"/>
      <c r="AJ46" s="5"/>
      <c r="AK46" s="5"/>
      <c r="AL46" s="5"/>
      <c r="AM46" s="5"/>
      <c r="AN46" s="20">
        <v>1.1</v>
      </c>
      <c r="AO46" s="5"/>
      <c r="AP46" s="3">
        <f>9.4+0.68</f>
        <v>10.08</v>
      </c>
      <c r="AQ46" s="3">
        <v>5.5</v>
      </c>
      <c r="AR46" s="3">
        <v>9</v>
      </c>
      <c r="AS46" s="5"/>
      <c r="AT46" s="3">
        <v>23.8</v>
      </c>
      <c r="AU46" s="3">
        <v>1</v>
      </c>
      <c r="AV46" s="3">
        <v>1</v>
      </c>
      <c r="AW46" s="3">
        <v>0.1</v>
      </c>
      <c r="AX46" s="3">
        <v>1</v>
      </c>
    </row>
    <row r="47" s="1" customFormat="1" customHeight="1" spans="1:50">
      <c r="A47" s="18">
        <v>45</v>
      </c>
      <c r="B47" s="27">
        <v>44254</v>
      </c>
      <c r="C47" s="5"/>
      <c r="D47" s="23">
        <v>700</v>
      </c>
      <c r="E47" s="3">
        <v>475</v>
      </c>
      <c r="F47" s="3">
        <v>465</v>
      </c>
      <c r="G47" s="3">
        <v>65</v>
      </c>
      <c r="H47" s="3">
        <v>35</v>
      </c>
      <c r="I47" s="3">
        <v>88</v>
      </c>
      <c r="J47" s="3">
        <v>52</v>
      </c>
      <c r="K47" s="5"/>
      <c r="L47" s="3">
        <f t="shared" si="0"/>
        <v>0.678571428571429</v>
      </c>
      <c r="M47" s="5">
        <f t="shared" si="1"/>
        <v>0.227785714285714</v>
      </c>
      <c r="N47" s="5">
        <f t="shared" si="2"/>
        <v>159.45</v>
      </c>
      <c r="O47" s="3">
        <v>5.5</v>
      </c>
      <c r="P47" s="5">
        <v>8.3</v>
      </c>
      <c r="Q47" s="3">
        <v>1.8</v>
      </c>
      <c r="R47" s="3">
        <v>19</v>
      </c>
      <c r="S47" s="3">
        <v>2.14</v>
      </c>
      <c r="T47" s="5">
        <v>8.2</v>
      </c>
      <c r="U47" s="3">
        <v>5.8</v>
      </c>
      <c r="V47" s="5">
        <f>12.3+4.56+1.4</f>
        <v>18.26</v>
      </c>
      <c r="W47" s="5"/>
      <c r="X47" s="3">
        <v>5.5</v>
      </c>
      <c r="Y47" s="3">
        <v>2.1</v>
      </c>
      <c r="Z47" s="3">
        <v>5.6</v>
      </c>
      <c r="AA47" s="3">
        <v>8.9</v>
      </c>
      <c r="AB47" s="5">
        <v>9.8</v>
      </c>
      <c r="AC47" s="3">
        <v>11.4</v>
      </c>
      <c r="AD47" s="3">
        <v>11.9</v>
      </c>
      <c r="AE47" s="5">
        <v>7.9</v>
      </c>
      <c r="AF47" s="3">
        <v>1.29</v>
      </c>
      <c r="AG47" s="3">
        <v>3.4</v>
      </c>
      <c r="AH47" s="5"/>
      <c r="AI47" s="5"/>
      <c r="AJ47" s="5"/>
      <c r="AK47" s="5"/>
      <c r="AL47" s="5"/>
      <c r="AM47" s="5"/>
      <c r="AN47" s="22"/>
      <c r="AO47" s="5"/>
      <c r="AP47" s="3">
        <f>0.37+0.29</f>
        <v>0.66</v>
      </c>
      <c r="AQ47" s="3">
        <v>6</v>
      </c>
      <c r="AR47" s="3">
        <v>16</v>
      </c>
      <c r="AS47" s="5"/>
      <c r="AT47" s="3">
        <v>35</v>
      </c>
      <c r="AU47" s="3">
        <v>1</v>
      </c>
      <c r="AV47" s="3">
        <v>1</v>
      </c>
      <c r="AW47" s="3">
        <v>0.1</v>
      </c>
      <c r="AX47" s="3">
        <v>1</v>
      </c>
    </row>
    <row r="48" s="1" customFormat="1" customHeight="1" spans="1:50">
      <c r="A48" s="18">
        <v>46</v>
      </c>
      <c r="B48" s="27">
        <v>44254</v>
      </c>
      <c r="C48" s="5"/>
      <c r="D48" s="23">
        <v>700</v>
      </c>
      <c r="E48" s="3">
        <v>468</v>
      </c>
      <c r="F48" s="3">
        <v>458</v>
      </c>
      <c r="G48" s="3"/>
      <c r="H48" s="3">
        <v>35</v>
      </c>
      <c r="I48" s="3"/>
      <c r="J48" s="3">
        <v>53</v>
      </c>
      <c r="K48" s="5"/>
      <c r="L48" s="3">
        <f t="shared" si="0"/>
        <v>0.668571428571429</v>
      </c>
      <c r="M48" s="5">
        <f t="shared" si="1"/>
        <v>0.249842857142857</v>
      </c>
      <c r="N48" s="5">
        <f t="shared" si="2"/>
        <v>174.89</v>
      </c>
      <c r="O48" s="5"/>
      <c r="P48" s="5">
        <v>10.27</v>
      </c>
      <c r="Q48" s="5"/>
      <c r="R48" s="3"/>
      <c r="S48" s="5"/>
      <c r="T48" s="5"/>
      <c r="U48" s="5"/>
      <c r="V48" s="3">
        <v>18</v>
      </c>
      <c r="W48" s="3">
        <v>5.14</v>
      </c>
      <c r="X48" s="3">
        <v>5.41</v>
      </c>
      <c r="Y48" s="3">
        <v>5.27</v>
      </c>
      <c r="Z48" s="5">
        <v>113.5</v>
      </c>
      <c r="AA48" s="5"/>
      <c r="AB48" s="5"/>
      <c r="AC48" s="5"/>
      <c r="AD48" s="5"/>
      <c r="AE48" s="5"/>
      <c r="AF48" s="5"/>
      <c r="AG48" s="5">
        <v>4.5</v>
      </c>
      <c r="AH48" s="5"/>
      <c r="AI48" s="5"/>
      <c r="AJ48" s="5"/>
      <c r="AK48" s="5"/>
      <c r="AL48" s="5"/>
      <c r="AM48" s="5"/>
      <c r="AN48" s="20">
        <v>2.8</v>
      </c>
      <c r="AO48" s="5"/>
      <c r="AP48" s="5"/>
      <c r="AQ48" s="5"/>
      <c r="AR48" s="3">
        <v>10</v>
      </c>
      <c r="AS48" s="5"/>
      <c r="AT48" s="3">
        <v>35</v>
      </c>
      <c r="AU48" s="3">
        <v>1</v>
      </c>
      <c r="AV48" s="3">
        <v>1</v>
      </c>
      <c r="AW48" s="3">
        <v>0.1</v>
      </c>
      <c r="AX48" s="3">
        <v>1</v>
      </c>
    </row>
    <row r="49" s="1" customFormat="1" customHeight="1" spans="1:50">
      <c r="A49" s="18">
        <v>47</v>
      </c>
      <c r="B49" s="27">
        <v>44256</v>
      </c>
      <c r="C49" s="5"/>
      <c r="D49" s="23">
        <v>700</v>
      </c>
      <c r="E49" s="3">
        <v>400</v>
      </c>
      <c r="F49" s="3">
        <v>390</v>
      </c>
      <c r="G49" s="3">
        <v>93</v>
      </c>
      <c r="H49" s="3">
        <v>35</v>
      </c>
      <c r="I49" s="3">
        <v>125</v>
      </c>
      <c r="J49" s="3">
        <v>45</v>
      </c>
      <c r="K49" s="5"/>
      <c r="L49" s="3">
        <f t="shared" si="0"/>
        <v>0.571428571428571</v>
      </c>
      <c r="M49" s="5">
        <f t="shared" si="1"/>
        <v>0.491685714285714</v>
      </c>
      <c r="N49" s="5">
        <f t="shared" si="2"/>
        <v>344.18</v>
      </c>
      <c r="O49" s="5"/>
      <c r="P49" s="5"/>
      <c r="Q49" s="5"/>
      <c r="R49" s="3">
        <v>7.5</v>
      </c>
      <c r="S49" s="5"/>
      <c r="T49" s="5"/>
      <c r="U49" s="3">
        <v>13.3</v>
      </c>
      <c r="V49" s="3">
        <v>8.28</v>
      </c>
      <c r="W49" s="5"/>
      <c r="X49" s="3">
        <v>2</v>
      </c>
      <c r="Y49" s="5"/>
      <c r="Z49" s="5">
        <v>307.5</v>
      </c>
      <c r="AA49" s="5"/>
      <c r="AB49" s="5"/>
      <c r="AC49" s="5"/>
      <c r="AD49" s="5"/>
      <c r="AE49" s="5"/>
      <c r="AF49" s="5"/>
      <c r="AG49" s="5">
        <v>5.6</v>
      </c>
      <c r="AH49" s="5"/>
      <c r="AI49" s="5"/>
      <c r="AJ49" s="5"/>
      <c r="AK49" s="5"/>
      <c r="AL49" s="5"/>
      <c r="AM49" s="5"/>
      <c r="AN49" s="21"/>
      <c r="AO49" s="5"/>
      <c r="AP49" s="5"/>
      <c r="AQ49" s="5"/>
      <c r="AR49" s="5"/>
      <c r="AS49" s="5"/>
      <c r="AT49" s="3">
        <v>35</v>
      </c>
      <c r="AU49" s="3">
        <v>1</v>
      </c>
      <c r="AV49" s="3">
        <v>1</v>
      </c>
      <c r="AW49" s="3">
        <v>0.1</v>
      </c>
      <c r="AX49" s="3">
        <v>1</v>
      </c>
    </row>
    <row r="50" s="1" customFormat="1" customHeight="1" spans="1:50">
      <c r="A50" s="18">
        <v>48</v>
      </c>
      <c r="B50" s="27">
        <v>44256</v>
      </c>
      <c r="C50" s="5"/>
      <c r="D50" s="23">
        <v>650</v>
      </c>
      <c r="E50" s="3">
        <v>372</v>
      </c>
      <c r="F50" s="3">
        <v>360</v>
      </c>
      <c r="G50" s="3"/>
      <c r="H50" s="3">
        <v>35</v>
      </c>
      <c r="I50" s="3"/>
      <c r="J50" s="3">
        <v>45</v>
      </c>
      <c r="K50" s="5"/>
      <c r="L50" s="3">
        <f t="shared" si="0"/>
        <v>0.572307692307692</v>
      </c>
      <c r="M50" s="5">
        <f t="shared" si="1"/>
        <v>0.382584615384615</v>
      </c>
      <c r="N50" s="5">
        <f t="shared" si="2"/>
        <v>248.68</v>
      </c>
      <c r="O50" s="5"/>
      <c r="P50" s="5">
        <v>14.8</v>
      </c>
      <c r="Q50" s="5"/>
      <c r="R50" s="3">
        <v>13</v>
      </c>
      <c r="S50" s="5"/>
      <c r="T50" s="5">
        <f>13.1+15.38</f>
        <v>28.48</v>
      </c>
      <c r="U50" s="5"/>
      <c r="V50" s="3">
        <v>8.4</v>
      </c>
      <c r="W50" s="5"/>
      <c r="X50" s="3">
        <v>6.5</v>
      </c>
      <c r="Y50" s="3">
        <v>5.8</v>
      </c>
      <c r="Z50" s="5">
        <v>70</v>
      </c>
      <c r="AA50" s="3">
        <v>8.8</v>
      </c>
      <c r="AB50" s="5">
        <v>7</v>
      </c>
      <c r="AC50" s="3">
        <v>31.37</v>
      </c>
      <c r="AD50" s="5"/>
      <c r="AE50" s="5"/>
      <c r="AF50" s="5">
        <v>1.9</v>
      </c>
      <c r="AG50" s="3">
        <v>7</v>
      </c>
      <c r="AH50" s="5"/>
      <c r="AI50" s="5"/>
      <c r="AJ50" s="5"/>
      <c r="AK50" s="5"/>
      <c r="AL50" s="5"/>
      <c r="AM50" s="5"/>
      <c r="AN50" s="21"/>
      <c r="AO50" s="5"/>
      <c r="AP50" s="5">
        <v>5.13</v>
      </c>
      <c r="AQ50" s="3">
        <v>11.5</v>
      </c>
      <c r="AR50" s="3">
        <v>29</v>
      </c>
      <c r="AS50" s="5"/>
      <c r="AT50" s="3">
        <v>140</v>
      </c>
      <c r="AU50" s="3">
        <v>1</v>
      </c>
      <c r="AV50" s="3">
        <v>1</v>
      </c>
      <c r="AW50" s="3">
        <v>0.1</v>
      </c>
      <c r="AX50" s="3">
        <v>1</v>
      </c>
    </row>
    <row r="51" s="1" customFormat="1" customHeight="1" spans="1:50">
      <c r="A51" s="18">
        <v>49</v>
      </c>
      <c r="B51" s="27">
        <v>44257</v>
      </c>
      <c r="C51" s="5"/>
      <c r="D51" s="23">
        <v>710</v>
      </c>
      <c r="E51" s="3">
        <v>404</v>
      </c>
      <c r="F51" s="3">
        <v>393</v>
      </c>
      <c r="G51" s="3">
        <v>120</v>
      </c>
      <c r="H51" s="3">
        <v>35</v>
      </c>
      <c r="I51" s="3">
        <v>165</v>
      </c>
      <c r="J51" s="3">
        <v>48</v>
      </c>
      <c r="K51" s="5"/>
      <c r="L51" s="3">
        <f t="shared" si="0"/>
        <v>0.569014084507042</v>
      </c>
      <c r="M51" s="5">
        <f t="shared" si="1"/>
        <v>0.558450704225352</v>
      </c>
      <c r="N51" s="5">
        <f t="shared" si="2"/>
        <v>396.5</v>
      </c>
      <c r="O51" s="5"/>
      <c r="P51" s="5">
        <f>9.8+26.4+1.4</f>
        <v>37.6</v>
      </c>
      <c r="Q51" s="5"/>
      <c r="R51" s="3">
        <v>300.7</v>
      </c>
      <c r="S51" s="5"/>
      <c r="T51" s="5"/>
      <c r="U51" s="5">
        <v>20.2</v>
      </c>
      <c r="V51" s="5"/>
      <c r="W51" s="5"/>
      <c r="X51" s="3">
        <v>7.5</v>
      </c>
      <c r="Y51" s="5"/>
      <c r="Z51" s="5">
        <v>5</v>
      </c>
      <c r="AA51" s="5"/>
      <c r="AB51" s="5">
        <v>8.3</v>
      </c>
      <c r="AC51" s="5"/>
      <c r="AD51" s="5"/>
      <c r="AE51" s="5">
        <v>8.2</v>
      </c>
      <c r="AF51" s="5"/>
      <c r="AG51" s="3">
        <v>5</v>
      </c>
      <c r="AH51" s="5"/>
      <c r="AI51" s="5"/>
      <c r="AJ51" s="5"/>
      <c r="AK51" s="5"/>
      <c r="AL51" s="5"/>
      <c r="AM51" s="5"/>
      <c r="AN51" s="20">
        <v>4</v>
      </c>
      <c r="AO51" s="5"/>
      <c r="AP51" s="5"/>
      <c r="AQ51" s="5"/>
      <c r="AR51" s="5"/>
      <c r="AS51" s="5"/>
      <c r="AT51" s="3"/>
      <c r="AU51" s="3">
        <v>1</v>
      </c>
      <c r="AV51" s="3">
        <v>1</v>
      </c>
      <c r="AW51" s="3">
        <v>0.1</v>
      </c>
      <c r="AX51" s="3">
        <v>1</v>
      </c>
    </row>
    <row r="52" s="1" customFormat="1" customHeight="1" spans="1:50">
      <c r="A52" s="18">
        <v>50</v>
      </c>
      <c r="B52" s="27">
        <v>44257</v>
      </c>
      <c r="C52" s="5"/>
      <c r="D52" s="23">
        <v>710</v>
      </c>
      <c r="E52" s="3">
        <v>415</v>
      </c>
      <c r="F52" s="3">
        <v>405</v>
      </c>
      <c r="G52" s="3"/>
      <c r="H52" s="3">
        <v>35</v>
      </c>
      <c r="I52" s="3"/>
      <c r="J52" s="3">
        <v>48</v>
      </c>
      <c r="K52" s="5"/>
      <c r="L52" s="3">
        <f t="shared" si="0"/>
        <v>0.584507042253521</v>
      </c>
      <c r="M52" s="5">
        <f t="shared" si="1"/>
        <v>0.248760563380282</v>
      </c>
      <c r="N52" s="5">
        <f t="shared" si="2"/>
        <v>176.62</v>
      </c>
      <c r="O52" s="5"/>
      <c r="P52" s="5"/>
      <c r="Q52" s="5"/>
      <c r="R52" s="5">
        <v>9.32</v>
      </c>
      <c r="S52" s="5"/>
      <c r="T52" s="5">
        <f>7.6+14.8+0.4+12</f>
        <v>34.8</v>
      </c>
      <c r="U52" s="5"/>
      <c r="V52" s="5">
        <f>11.3+8.9+8.2+6.5</f>
        <v>34.9</v>
      </c>
      <c r="W52" s="5">
        <f>4.7+9.7+7.1+5.3</f>
        <v>26.8</v>
      </c>
      <c r="X52" s="3">
        <v>20.5</v>
      </c>
      <c r="Y52" s="5"/>
      <c r="Z52" s="5">
        <v>1.8</v>
      </c>
      <c r="AA52" s="5"/>
      <c r="AB52" s="5"/>
      <c r="AC52" s="5">
        <v>11.7</v>
      </c>
      <c r="AD52" s="5">
        <v>3.3</v>
      </c>
      <c r="AE52" s="5"/>
      <c r="AF52" s="5"/>
      <c r="AG52" s="3">
        <v>5</v>
      </c>
      <c r="AH52" s="5"/>
      <c r="AI52" s="5"/>
      <c r="AJ52" s="5"/>
      <c r="AK52" s="5"/>
      <c r="AL52" s="5"/>
      <c r="AM52" s="5"/>
      <c r="AN52" s="21"/>
      <c r="AO52" s="5"/>
      <c r="AP52" s="5">
        <v>3.5</v>
      </c>
      <c r="AQ52" s="5"/>
      <c r="AR52" s="5">
        <v>25</v>
      </c>
      <c r="AS52" s="5"/>
      <c r="AT52" s="3">
        <v>35</v>
      </c>
      <c r="AU52" s="3">
        <v>1</v>
      </c>
      <c r="AV52" s="3">
        <v>1</v>
      </c>
      <c r="AW52" s="3">
        <v>0</v>
      </c>
      <c r="AX52" s="3">
        <v>1</v>
      </c>
    </row>
    <row r="53" s="1" customFormat="1" customHeight="1" spans="1:50">
      <c r="A53" s="18">
        <v>51</v>
      </c>
      <c r="B53" s="27">
        <v>44257</v>
      </c>
      <c r="C53" s="5"/>
      <c r="D53" s="23">
        <v>710</v>
      </c>
      <c r="E53" s="3">
        <v>372.5</v>
      </c>
      <c r="F53" s="3">
        <v>360</v>
      </c>
      <c r="G53" s="3"/>
      <c r="H53" s="3">
        <v>35</v>
      </c>
      <c r="I53" s="3"/>
      <c r="J53" s="3">
        <v>48</v>
      </c>
      <c r="K53" s="5"/>
      <c r="L53" s="3">
        <f t="shared" si="0"/>
        <v>0.524647887323944</v>
      </c>
      <c r="M53" s="5">
        <f t="shared" si="1"/>
        <v>0.328098591549296</v>
      </c>
      <c r="N53" s="5">
        <f t="shared" si="2"/>
        <v>232.95</v>
      </c>
      <c r="O53" s="5"/>
      <c r="P53" s="5"/>
      <c r="Q53" s="5"/>
      <c r="R53" s="5">
        <v>9</v>
      </c>
      <c r="S53" s="5"/>
      <c r="T53" s="5">
        <f>10.6+11.5+13.2+16.4+6.4+6.4+13.3+7.3+0.7</f>
        <v>85.8</v>
      </c>
      <c r="U53" s="5"/>
      <c r="V53" s="5">
        <f>3.7+6.25+17.6</f>
        <v>27.55</v>
      </c>
      <c r="W53" s="5">
        <f>4.5+5.6</f>
        <v>10.1</v>
      </c>
      <c r="X53" s="3">
        <v>4</v>
      </c>
      <c r="Y53" s="5"/>
      <c r="Z53" s="5">
        <v>12.5</v>
      </c>
      <c r="AA53" s="5"/>
      <c r="AB53" s="5"/>
      <c r="AC53" s="5"/>
      <c r="AD53" s="5"/>
      <c r="AE53" s="5"/>
      <c r="AF53" s="5"/>
      <c r="AG53" s="3">
        <v>5</v>
      </c>
      <c r="AH53" s="5"/>
      <c r="AI53" s="5"/>
      <c r="AJ53" s="5"/>
      <c r="AK53" s="5"/>
      <c r="AL53" s="5"/>
      <c r="AM53" s="5"/>
      <c r="AN53" s="21"/>
      <c r="AO53" s="5"/>
      <c r="AP53" s="5"/>
      <c r="AQ53" s="5">
        <v>9</v>
      </c>
      <c r="AR53" s="5">
        <f>36+1+18+2+13</f>
        <v>70</v>
      </c>
      <c r="AS53" s="5"/>
      <c r="AT53" s="3">
        <v>35</v>
      </c>
      <c r="AU53" s="3">
        <v>1</v>
      </c>
      <c r="AV53" s="3">
        <v>1</v>
      </c>
      <c r="AW53" s="3">
        <v>0</v>
      </c>
      <c r="AX53" s="3">
        <v>1</v>
      </c>
    </row>
    <row r="54" s="1" customFormat="1" customHeight="1" spans="1:50">
      <c r="A54" s="18">
        <v>52</v>
      </c>
      <c r="B54" s="27">
        <v>44257</v>
      </c>
      <c r="C54" s="5"/>
      <c r="D54" s="23">
        <v>720</v>
      </c>
      <c r="E54" s="3">
        <v>399</v>
      </c>
      <c r="F54" s="3">
        <v>389</v>
      </c>
      <c r="G54" s="3"/>
      <c r="H54" s="3">
        <v>35</v>
      </c>
      <c r="I54" s="3"/>
      <c r="J54" s="3">
        <v>48</v>
      </c>
      <c r="K54" s="5"/>
      <c r="L54" s="3">
        <f t="shared" si="0"/>
        <v>0.554166666666667</v>
      </c>
      <c r="M54" s="5">
        <f t="shared" si="1"/>
        <v>0.324652777777778</v>
      </c>
      <c r="N54" s="5">
        <f t="shared" si="2"/>
        <v>233.75</v>
      </c>
      <c r="O54" s="5"/>
      <c r="P54" s="5">
        <f>17+10.7+2.2</f>
        <v>29.9</v>
      </c>
      <c r="Q54" s="5"/>
      <c r="R54" s="5">
        <v>16</v>
      </c>
      <c r="S54" s="5"/>
      <c r="T54" s="5">
        <v>29</v>
      </c>
      <c r="U54" s="5">
        <f>16.6+13.5+7.8</f>
        <v>37.9</v>
      </c>
      <c r="V54" s="5">
        <v>7.1</v>
      </c>
      <c r="W54" s="5">
        <v>8.8</v>
      </c>
      <c r="X54" s="3">
        <v>6</v>
      </c>
      <c r="Y54" s="5"/>
      <c r="Z54" s="5">
        <v>32</v>
      </c>
      <c r="AA54" s="5">
        <v>5.4</v>
      </c>
      <c r="AB54" s="5"/>
      <c r="AC54" s="5">
        <f>15+10.75</f>
        <v>25.75</v>
      </c>
      <c r="AD54" s="5"/>
      <c r="AE54" s="5">
        <v>11.4</v>
      </c>
      <c r="AF54" s="5"/>
      <c r="AG54" s="3">
        <v>5</v>
      </c>
      <c r="AH54" s="5"/>
      <c r="AI54" s="5"/>
      <c r="AJ54" s="5"/>
      <c r="AK54" s="5"/>
      <c r="AL54" s="5"/>
      <c r="AM54" s="5"/>
      <c r="AN54" s="21"/>
      <c r="AO54" s="5"/>
      <c r="AP54" s="5">
        <v>2.5</v>
      </c>
      <c r="AQ54" s="5"/>
      <c r="AR54" s="5">
        <v>17</v>
      </c>
      <c r="AS54" s="5"/>
      <c r="AT54" s="3">
        <v>35</v>
      </c>
      <c r="AU54" s="3">
        <v>1</v>
      </c>
      <c r="AV54" s="3">
        <v>1</v>
      </c>
      <c r="AW54" s="3">
        <v>0.1</v>
      </c>
      <c r="AX54" s="3">
        <v>1</v>
      </c>
    </row>
    <row r="55" s="1" customFormat="1" customHeight="1" spans="1:50">
      <c r="A55" s="18">
        <v>53</v>
      </c>
      <c r="B55" s="27">
        <v>44262</v>
      </c>
      <c r="C55" s="5"/>
      <c r="D55" s="23">
        <v>720</v>
      </c>
      <c r="E55" s="3">
        <v>402</v>
      </c>
      <c r="F55" s="3">
        <v>391</v>
      </c>
      <c r="G55" s="3">
        <v>90</v>
      </c>
      <c r="H55" s="3">
        <v>35</v>
      </c>
      <c r="I55" s="3">
        <v>149</v>
      </c>
      <c r="J55" s="3">
        <v>45</v>
      </c>
      <c r="K55" s="5"/>
      <c r="L55" s="3">
        <f t="shared" si="0"/>
        <v>0.558333333333333</v>
      </c>
      <c r="M55" s="5">
        <f t="shared" si="1"/>
        <v>0.288263888888889</v>
      </c>
      <c r="N55" s="5">
        <f t="shared" si="2"/>
        <v>207.55</v>
      </c>
      <c r="O55" s="5"/>
      <c r="P55" s="5">
        <v>10.4</v>
      </c>
      <c r="Q55" s="5"/>
      <c r="R55" s="5">
        <v>12.7</v>
      </c>
      <c r="S55" s="5"/>
      <c r="T55" s="5"/>
      <c r="U55" s="5">
        <v>14.2</v>
      </c>
      <c r="V55" s="5"/>
      <c r="W55" s="5"/>
      <c r="X55" s="3">
        <v>7.6</v>
      </c>
      <c r="Y55" s="5">
        <v>3.4</v>
      </c>
      <c r="Z55" s="5">
        <v>82.5</v>
      </c>
      <c r="AA55" s="5">
        <v>6.5</v>
      </c>
      <c r="AB55" s="5">
        <v>5.5</v>
      </c>
      <c r="AC55" s="5"/>
      <c r="AD55" s="5">
        <v>7.35</v>
      </c>
      <c r="AE55" s="5">
        <v>4.4</v>
      </c>
      <c r="AF55" s="5">
        <f>1+4.14+0.86</f>
        <v>6</v>
      </c>
      <c r="AG55" s="3">
        <v>5</v>
      </c>
      <c r="AH55" s="5"/>
      <c r="AI55" s="5"/>
      <c r="AJ55" s="5"/>
      <c r="AK55" s="5"/>
      <c r="AL55" s="5"/>
      <c r="AM55" s="5"/>
      <c r="AN55" s="21"/>
      <c r="AO55" s="5"/>
      <c r="AP55" s="5"/>
      <c r="AQ55" s="5">
        <f>1+3+10+7+3</f>
        <v>24</v>
      </c>
      <c r="AR55" s="5">
        <v>18</v>
      </c>
      <c r="AS55" s="5"/>
      <c r="AT55" s="3">
        <v>35</v>
      </c>
      <c r="AU55" s="3">
        <v>1</v>
      </c>
      <c r="AV55" s="3">
        <v>1</v>
      </c>
      <c r="AW55" s="3">
        <v>0.1</v>
      </c>
      <c r="AX55" s="3">
        <v>1</v>
      </c>
    </row>
    <row r="56" s="1" customFormat="1" customHeight="1" spans="1:50">
      <c r="A56" s="18">
        <v>54</v>
      </c>
      <c r="B56" s="27">
        <v>44262</v>
      </c>
      <c r="C56" s="5"/>
      <c r="D56" s="23">
        <v>720</v>
      </c>
      <c r="E56" s="3">
        <v>390</v>
      </c>
      <c r="F56" s="3">
        <v>380</v>
      </c>
      <c r="G56" s="3"/>
      <c r="H56" s="3">
        <v>35</v>
      </c>
      <c r="I56" s="3"/>
      <c r="J56" s="3">
        <v>45</v>
      </c>
      <c r="K56" s="5"/>
      <c r="L56" s="3">
        <f t="shared" si="0"/>
        <v>0.541666666666667</v>
      </c>
      <c r="M56" s="5">
        <f t="shared" si="1"/>
        <v>0.325722222222222</v>
      </c>
      <c r="N56" s="5">
        <f t="shared" si="2"/>
        <v>234.52</v>
      </c>
      <c r="O56" s="5"/>
      <c r="P56" s="5">
        <v>8.3</v>
      </c>
      <c r="Q56" s="5"/>
      <c r="R56" s="5">
        <v>99</v>
      </c>
      <c r="S56" s="5"/>
      <c r="T56" s="5">
        <f>7.18+12.55+6.3+3</f>
        <v>29.03</v>
      </c>
      <c r="U56" s="5">
        <v>14.85</v>
      </c>
      <c r="V56" s="5">
        <v>8.2</v>
      </c>
      <c r="W56" s="5"/>
      <c r="X56" s="3">
        <v>9.5</v>
      </c>
      <c r="Y56" s="5"/>
      <c r="Z56" s="5">
        <v>4.5</v>
      </c>
      <c r="AA56" s="5"/>
      <c r="AB56" s="5"/>
      <c r="AC56" s="5">
        <v>9.5</v>
      </c>
      <c r="AD56" s="5"/>
      <c r="AE56" s="5">
        <v>18.14</v>
      </c>
      <c r="AF56" s="5"/>
      <c r="AG56" s="3">
        <v>5</v>
      </c>
      <c r="AH56" s="5"/>
      <c r="AI56" s="5"/>
      <c r="AJ56" s="5"/>
      <c r="AK56" s="5"/>
      <c r="AL56" s="5"/>
      <c r="AM56" s="5"/>
      <c r="AN56" s="22"/>
      <c r="AO56" s="5"/>
      <c r="AP56" s="5">
        <v>2.5</v>
      </c>
      <c r="AQ56" s="5">
        <v>1</v>
      </c>
      <c r="AR56" s="5">
        <v>25</v>
      </c>
      <c r="AS56" s="5"/>
      <c r="AT56" s="3">
        <v>35</v>
      </c>
      <c r="AU56" s="3">
        <v>1</v>
      </c>
      <c r="AV56" s="3">
        <v>1</v>
      </c>
      <c r="AW56" s="3">
        <v>0.1</v>
      </c>
      <c r="AX56" s="3">
        <v>1</v>
      </c>
    </row>
    <row r="57" s="1" customFormat="1" customHeight="1" spans="1:50">
      <c r="A57" s="18">
        <v>55</v>
      </c>
      <c r="B57" s="27">
        <v>44262</v>
      </c>
      <c r="C57" s="5"/>
      <c r="D57" s="23">
        <v>710</v>
      </c>
      <c r="E57" s="3">
        <v>389</v>
      </c>
      <c r="F57" s="3">
        <v>378</v>
      </c>
      <c r="G57" s="3"/>
      <c r="H57" s="3">
        <v>35</v>
      </c>
      <c r="I57" s="3"/>
      <c r="J57" s="3">
        <v>45</v>
      </c>
      <c r="K57" s="5"/>
      <c r="L57" s="3">
        <f t="shared" si="0"/>
        <v>0.547887323943662</v>
      </c>
      <c r="M57" s="5">
        <f t="shared" si="1"/>
        <v>0.819859154929577</v>
      </c>
      <c r="N57" s="5">
        <f t="shared" si="2"/>
        <v>582.1</v>
      </c>
      <c r="O57" s="5"/>
      <c r="P57" s="5">
        <v>6.4</v>
      </c>
      <c r="Q57" s="5"/>
      <c r="R57" s="5">
        <v>74</v>
      </c>
      <c r="S57" s="5"/>
      <c r="T57" s="5">
        <v>14.1</v>
      </c>
      <c r="U57" s="5"/>
      <c r="V57" s="5"/>
      <c r="W57" s="5"/>
      <c r="X57" s="3">
        <v>3</v>
      </c>
      <c r="Y57" s="5"/>
      <c r="Z57" s="5">
        <v>94.5</v>
      </c>
      <c r="AA57" s="5"/>
      <c r="AB57" s="5">
        <v>210</v>
      </c>
      <c r="AC57" s="5"/>
      <c r="AD57" s="5">
        <f>8.8+138</f>
        <v>146.8</v>
      </c>
      <c r="AE57" s="5"/>
      <c r="AF57" s="5"/>
      <c r="AG57" s="3">
        <v>5</v>
      </c>
      <c r="AH57" s="5"/>
      <c r="AI57" s="5"/>
      <c r="AJ57" s="5"/>
      <c r="AK57" s="5"/>
      <c r="AL57" s="5"/>
      <c r="AM57" s="5"/>
      <c r="AN57" s="20">
        <v>3</v>
      </c>
      <c r="AO57" s="5"/>
      <c r="AP57" s="5"/>
      <c r="AQ57" s="5">
        <v>2</v>
      </c>
      <c r="AR57" s="5">
        <v>23.3</v>
      </c>
      <c r="AS57" s="5"/>
      <c r="AT57" s="3">
        <v>35</v>
      </c>
      <c r="AU57" s="3">
        <v>1</v>
      </c>
      <c r="AV57" s="3">
        <v>1</v>
      </c>
      <c r="AW57" s="3">
        <v>0.1</v>
      </c>
      <c r="AX57" s="3">
        <v>1</v>
      </c>
    </row>
    <row r="58" s="1" customFormat="1" customHeight="1" spans="1:50">
      <c r="A58" s="18">
        <v>56</v>
      </c>
      <c r="B58" s="27">
        <v>44264</v>
      </c>
      <c r="C58" s="5"/>
      <c r="D58" s="23">
        <v>1000</v>
      </c>
      <c r="E58" s="3">
        <v>514.5</v>
      </c>
      <c r="F58" s="3">
        <v>504</v>
      </c>
      <c r="G58" s="3">
        <v>110</v>
      </c>
      <c r="H58" s="3">
        <v>56</v>
      </c>
      <c r="I58" s="3">
        <v>180</v>
      </c>
      <c r="J58" s="3">
        <v>62</v>
      </c>
      <c r="K58" s="5"/>
      <c r="L58" s="3">
        <f t="shared" si="0"/>
        <v>0.5145</v>
      </c>
      <c r="M58" s="5">
        <f t="shared" si="1"/>
        <v>0.30205</v>
      </c>
      <c r="N58" s="5">
        <f t="shared" si="2"/>
        <v>302.05</v>
      </c>
      <c r="O58" s="5"/>
      <c r="P58" s="5">
        <v>6.15</v>
      </c>
      <c r="Q58" s="5"/>
      <c r="R58" s="5">
        <v>65</v>
      </c>
      <c r="S58" s="5"/>
      <c r="T58" s="5"/>
      <c r="U58" s="5"/>
      <c r="V58" s="5">
        <v>15.9</v>
      </c>
      <c r="W58" s="5"/>
      <c r="X58" s="3">
        <v>5.2</v>
      </c>
      <c r="Y58" s="5"/>
      <c r="Z58" s="5">
        <v>198</v>
      </c>
      <c r="AA58" s="5"/>
      <c r="AB58" s="5">
        <v>6.8</v>
      </c>
      <c r="AC58" s="5"/>
      <c r="AD58" s="5"/>
      <c r="AE58" s="5"/>
      <c r="AF58" s="5"/>
      <c r="AG58" s="3">
        <v>5</v>
      </c>
      <c r="AH58" s="5"/>
      <c r="AI58" s="5"/>
      <c r="AJ58" s="5"/>
      <c r="AK58" s="5"/>
      <c r="AL58" s="5"/>
      <c r="AM58" s="5"/>
      <c r="AN58" s="21"/>
      <c r="AO58" s="5"/>
      <c r="AP58" s="5"/>
      <c r="AQ58" s="5"/>
      <c r="AR58" s="5"/>
      <c r="AS58" s="5"/>
      <c r="AT58" s="3">
        <v>55</v>
      </c>
      <c r="AU58" s="3">
        <v>1</v>
      </c>
      <c r="AV58" s="3">
        <v>1</v>
      </c>
      <c r="AW58" s="3">
        <v>0</v>
      </c>
      <c r="AX58" s="3">
        <v>1</v>
      </c>
    </row>
    <row r="59" s="1" customFormat="1" customHeight="1" spans="1:50">
      <c r="A59" s="18">
        <v>57</v>
      </c>
      <c r="B59" s="27">
        <v>44264</v>
      </c>
      <c r="C59" s="5"/>
      <c r="D59" s="23">
        <v>600</v>
      </c>
      <c r="E59" s="3">
        <v>322</v>
      </c>
      <c r="F59" s="3">
        <v>312</v>
      </c>
      <c r="G59" s="3"/>
      <c r="H59" s="3">
        <v>32</v>
      </c>
      <c r="I59" s="3"/>
      <c r="J59" s="3">
        <v>41</v>
      </c>
      <c r="K59" s="5"/>
      <c r="L59" s="3">
        <f t="shared" si="0"/>
        <v>0.536666666666667</v>
      </c>
      <c r="M59" s="5">
        <f t="shared" si="1"/>
        <v>0.665466666666667</v>
      </c>
      <c r="N59" s="5">
        <f t="shared" si="2"/>
        <v>399.28</v>
      </c>
      <c r="O59" s="5"/>
      <c r="P59" s="5">
        <v>25</v>
      </c>
      <c r="Q59" s="5"/>
      <c r="R59" s="5">
        <v>117.5</v>
      </c>
      <c r="S59" s="5"/>
      <c r="T59" s="5">
        <v>4.9</v>
      </c>
      <c r="U59" s="5"/>
      <c r="V59" s="5"/>
      <c r="W59" s="5"/>
      <c r="X59" s="3">
        <v>4.95</v>
      </c>
      <c r="Y59" s="5"/>
      <c r="Z59" s="5">
        <v>159</v>
      </c>
      <c r="AA59" s="5"/>
      <c r="AB59" s="5"/>
      <c r="AC59" s="5">
        <v>7.2</v>
      </c>
      <c r="AD59" s="5"/>
      <c r="AE59" s="5"/>
      <c r="AF59" s="5">
        <f>3.48+0.25</f>
        <v>3.73</v>
      </c>
      <c r="AG59" s="3">
        <v>5</v>
      </c>
      <c r="AH59" s="5"/>
      <c r="AI59" s="5"/>
      <c r="AJ59" s="5"/>
      <c r="AK59" s="5"/>
      <c r="AL59" s="5"/>
      <c r="AM59" s="5"/>
      <c r="AN59" s="21"/>
      <c r="AO59" s="5"/>
      <c r="AP59" s="5"/>
      <c r="AQ59" s="5">
        <v>17</v>
      </c>
      <c r="AR59" s="5">
        <v>55</v>
      </c>
      <c r="AS59" s="5"/>
      <c r="AT59" s="3">
        <v>30</v>
      </c>
      <c r="AU59" s="3">
        <v>1</v>
      </c>
      <c r="AV59" s="3">
        <v>1</v>
      </c>
      <c r="AW59" s="3">
        <v>0</v>
      </c>
      <c r="AX59" s="3">
        <v>1</v>
      </c>
    </row>
    <row r="60" s="1" customFormat="1" customHeight="1" spans="1:50">
      <c r="A60" s="18">
        <v>58</v>
      </c>
      <c r="B60" s="27">
        <v>44264</v>
      </c>
      <c r="C60" s="5"/>
      <c r="D60" s="23">
        <v>1000</v>
      </c>
      <c r="E60" s="3">
        <v>557.5</v>
      </c>
      <c r="F60" s="3">
        <v>547</v>
      </c>
      <c r="G60" s="3"/>
      <c r="H60" s="3">
        <v>55</v>
      </c>
      <c r="I60" s="3"/>
      <c r="J60" s="3">
        <v>60</v>
      </c>
      <c r="K60" s="5"/>
      <c r="L60" s="3">
        <f t="shared" si="0"/>
        <v>0.5575</v>
      </c>
      <c r="M60" s="5">
        <f t="shared" si="1"/>
        <v>0.11398</v>
      </c>
      <c r="N60" s="5">
        <f t="shared" si="2"/>
        <v>113.98</v>
      </c>
      <c r="O60" s="5"/>
      <c r="P60" s="5">
        <v>12.4</v>
      </c>
      <c r="Q60" s="5"/>
      <c r="R60" s="5">
        <v>8.5</v>
      </c>
      <c r="S60" s="5"/>
      <c r="T60" s="5">
        <v>10.9</v>
      </c>
      <c r="U60" s="5"/>
      <c r="V60" s="5">
        <v>16.5</v>
      </c>
      <c r="W60" s="5"/>
      <c r="X60" s="3">
        <v>4.1</v>
      </c>
      <c r="Y60" s="5"/>
      <c r="Z60" s="5">
        <v>8.5</v>
      </c>
      <c r="AA60" s="5"/>
      <c r="AB60" s="5">
        <v>5.9</v>
      </c>
      <c r="AC60" s="5"/>
      <c r="AD60" s="5">
        <v>12.5</v>
      </c>
      <c r="AE60" s="5"/>
      <c r="AF60" s="5"/>
      <c r="AG60" s="3">
        <v>5</v>
      </c>
      <c r="AH60" s="5"/>
      <c r="AI60" s="5"/>
      <c r="AJ60" s="5"/>
      <c r="AK60" s="5"/>
      <c r="AL60" s="5"/>
      <c r="AM60" s="5"/>
      <c r="AN60" s="22"/>
      <c r="AO60" s="5"/>
      <c r="AP60" s="5"/>
      <c r="AQ60" s="5">
        <v>13.68</v>
      </c>
      <c r="AR60" s="5">
        <v>16</v>
      </c>
      <c r="AS60" s="5"/>
      <c r="AT60" s="3">
        <v>55</v>
      </c>
      <c r="AU60" s="3">
        <v>1</v>
      </c>
      <c r="AV60" s="3">
        <v>1</v>
      </c>
      <c r="AW60" s="3">
        <v>0.1</v>
      </c>
      <c r="AX60" s="3">
        <v>1</v>
      </c>
    </row>
    <row r="61" s="1" customFormat="1" customHeight="1" spans="1:50">
      <c r="A61" s="18">
        <v>59</v>
      </c>
      <c r="B61" s="27">
        <v>44266</v>
      </c>
      <c r="C61" s="5" t="s">
        <v>55</v>
      </c>
      <c r="D61" s="23">
        <v>900</v>
      </c>
      <c r="E61" s="3">
        <v>511</v>
      </c>
      <c r="F61" s="3">
        <v>500</v>
      </c>
      <c r="G61" s="3">
        <v>100</v>
      </c>
      <c r="H61" s="3">
        <v>100</v>
      </c>
      <c r="I61" s="3">
        <v>146</v>
      </c>
      <c r="J61" s="3">
        <v>58</v>
      </c>
      <c r="K61" s="5"/>
      <c r="L61" s="3">
        <f t="shared" si="0"/>
        <v>0.567777777777778</v>
      </c>
      <c r="M61" s="5">
        <f t="shared" si="1"/>
        <v>0.360744444444445</v>
      </c>
      <c r="N61" s="5">
        <f t="shared" si="2"/>
        <v>324.67</v>
      </c>
      <c r="O61" s="5">
        <v>10.07</v>
      </c>
      <c r="P61" s="5">
        <f>4.7+6.5+5.9</f>
        <v>17.1</v>
      </c>
      <c r="Q61" s="5">
        <v>3.3</v>
      </c>
      <c r="R61" s="5">
        <v>3.7</v>
      </c>
      <c r="S61" s="5">
        <v>4.2</v>
      </c>
      <c r="T61" s="5">
        <v>32.8</v>
      </c>
      <c r="U61" s="5">
        <f>5.9+9.2</f>
        <v>15.1</v>
      </c>
      <c r="V61" s="5">
        <f>5.3+6</f>
        <v>11.3</v>
      </c>
      <c r="W61" s="5">
        <v>14.7</v>
      </c>
      <c r="X61" s="3">
        <v>5</v>
      </c>
      <c r="Y61" s="5">
        <v>5.2</v>
      </c>
      <c r="Z61" s="5">
        <f>5.9+6.6</f>
        <v>12.5</v>
      </c>
      <c r="AA61" s="5">
        <v>19.8</v>
      </c>
      <c r="AB61" s="5">
        <v>10.8</v>
      </c>
      <c r="AC61" s="5">
        <v>14</v>
      </c>
      <c r="AD61" s="5">
        <f>2.9+4.8+6.8</f>
        <v>14.5</v>
      </c>
      <c r="AE61" s="5">
        <f>3.9+4.6+3</f>
        <v>11.5</v>
      </c>
      <c r="AF61" s="5">
        <v>1.8</v>
      </c>
      <c r="AG61" s="3">
        <v>5</v>
      </c>
      <c r="AH61" s="5"/>
      <c r="AI61" s="5"/>
      <c r="AJ61" s="5"/>
      <c r="AK61" s="5"/>
      <c r="AL61" s="5"/>
      <c r="AM61" s="5"/>
      <c r="AN61" s="5">
        <v>2.3</v>
      </c>
      <c r="AO61" s="5"/>
      <c r="AP61" s="5">
        <v>10</v>
      </c>
      <c r="AQ61" s="5">
        <v>19</v>
      </c>
      <c r="AR61" s="5">
        <v>81</v>
      </c>
      <c r="AS61" s="5"/>
      <c r="AT61" s="3">
        <v>100</v>
      </c>
      <c r="AU61" s="3">
        <v>0</v>
      </c>
      <c r="AV61" s="3">
        <v>1</v>
      </c>
      <c r="AW61" s="3">
        <v>0.1</v>
      </c>
      <c r="AX61" s="3">
        <v>1</v>
      </c>
    </row>
    <row r="62" s="1" customFormat="1" customHeight="1" spans="1:50">
      <c r="A62" s="18">
        <v>60</v>
      </c>
      <c r="B62" s="27">
        <v>44266</v>
      </c>
      <c r="C62" s="5"/>
      <c r="D62" s="23">
        <v>830</v>
      </c>
      <c r="E62" s="3">
        <v>470</v>
      </c>
      <c r="F62" s="3">
        <v>460</v>
      </c>
      <c r="G62" s="3"/>
      <c r="H62" s="3">
        <v>35</v>
      </c>
      <c r="I62" s="3"/>
      <c r="J62" s="3">
        <v>53</v>
      </c>
      <c r="K62" s="5"/>
      <c r="L62" s="3">
        <f t="shared" si="0"/>
        <v>0.566265060240964</v>
      </c>
      <c r="M62" s="5">
        <f t="shared" si="1"/>
        <v>0.382144578313253</v>
      </c>
      <c r="N62" s="5">
        <f t="shared" si="2"/>
        <v>317.18</v>
      </c>
      <c r="O62" s="5"/>
      <c r="P62" s="5">
        <v>79.9</v>
      </c>
      <c r="Q62" s="5"/>
      <c r="R62" s="5">
        <v>11</v>
      </c>
      <c r="S62" s="5"/>
      <c r="T62" s="5">
        <f>9+11.8+9.5+9.4+8.6+9.6+0.8+5.9+7.7+4.9</f>
        <v>77.2</v>
      </c>
      <c r="U62" s="5">
        <v>8.7</v>
      </c>
      <c r="V62" s="5">
        <f>8.5+6+8.3+7.3+6.9</f>
        <v>37</v>
      </c>
      <c r="W62" s="5">
        <f>14+4.6+5.1</f>
        <v>23.7</v>
      </c>
      <c r="X62" s="3">
        <v>2.99</v>
      </c>
      <c r="Y62" s="5">
        <v>4.5</v>
      </c>
      <c r="Z62" s="5">
        <v>5</v>
      </c>
      <c r="AA62" s="5"/>
      <c r="AB62" s="5"/>
      <c r="AC62" s="5">
        <v>10</v>
      </c>
      <c r="AD62" s="5"/>
      <c r="AE62" s="5">
        <f>9.9+7.5+3.2</f>
        <v>20.6</v>
      </c>
      <c r="AF62" s="5">
        <v>0.39</v>
      </c>
      <c r="AG62" s="3">
        <v>5</v>
      </c>
      <c r="AH62" s="5"/>
      <c r="AI62" s="5"/>
      <c r="AJ62" s="5"/>
      <c r="AK62" s="5"/>
      <c r="AL62" s="5"/>
      <c r="AM62" s="5"/>
      <c r="AN62" s="5">
        <v>1.6</v>
      </c>
      <c r="AO62" s="5"/>
      <c r="AP62" s="5">
        <v>1.6</v>
      </c>
      <c r="AQ62" s="5">
        <v>14</v>
      </c>
      <c r="AR62" s="5">
        <v>14</v>
      </c>
      <c r="AS62" s="5"/>
      <c r="AT62" s="3">
        <v>35</v>
      </c>
      <c r="AU62" s="3">
        <v>1</v>
      </c>
      <c r="AV62" s="3">
        <v>1</v>
      </c>
      <c r="AW62" s="3">
        <v>0.1</v>
      </c>
      <c r="AX62" s="3">
        <v>1</v>
      </c>
    </row>
    <row r="63" s="1" customFormat="1" customHeight="1" spans="1:50">
      <c r="A63" s="18">
        <v>61</v>
      </c>
      <c r="B63" s="27">
        <v>44266</v>
      </c>
      <c r="C63" s="5"/>
      <c r="D63" s="23">
        <v>820</v>
      </c>
      <c r="E63" s="3">
        <v>432.5</v>
      </c>
      <c r="F63" s="3">
        <v>422</v>
      </c>
      <c r="G63" s="3"/>
      <c r="H63" s="3">
        <v>35</v>
      </c>
      <c r="I63" s="3"/>
      <c r="J63" s="3">
        <v>52</v>
      </c>
      <c r="K63" s="5"/>
      <c r="L63" s="3">
        <f t="shared" si="0"/>
        <v>0.527439024390244</v>
      </c>
      <c r="M63" s="5">
        <f t="shared" si="1"/>
        <v>0.232414634146341</v>
      </c>
      <c r="N63" s="5">
        <f t="shared" si="2"/>
        <v>190.58</v>
      </c>
      <c r="O63" s="5"/>
      <c r="P63" s="5">
        <v>8.8</v>
      </c>
      <c r="Q63" s="5"/>
      <c r="R63" s="5">
        <v>44.5</v>
      </c>
      <c r="S63" s="5"/>
      <c r="T63" s="5">
        <v>7.3</v>
      </c>
      <c r="U63" s="5">
        <f>11.4+11.3</f>
        <v>22.7</v>
      </c>
      <c r="V63" s="5">
        <v>28.6</v>
      </c>
      <c r="W63" s="5"/>
      <c r="X63" s="3">
        <v>6.4</v>
      </c>
      <c r="Y63" s="5"/>
      <c r="Z63" s="5">
        <v>40.5</v>
      </c>
      <c r="AA63" s="5"/>
      <c r="AB63" s="5"/>
      <c r="AC63" s="5"/>
      <c r="AD63" s="5"/>
      <c r="AE63" s="5"/>
      <c r="AF63" s="5">
        <v>12.1</v>
      </c>
      <c r="AG63" s="3">
        <v>5</v>
      </c>
      <c r="AH63" s="5"/>
      <c r="AI63" s="5"/>
      <c r="AJ63" s="5"/>
      <c r="AK63" s="5"/>
      <c r="AL63" s="5"/>
      <c r="AM63" s="5"/>
      <c r="AN63" s="5"/>
      <c r="AO63" s="5"/>
      <c r="AP63" s="5">
        <v>0.68</v>
      </c>
      <c r="AQ63" s="5">
        <v>8</v>
      </c>
      <c r="AR63" s="5">
        <v>6</v>
      </c>
      <c r="AS63" s="5"/>
      <c r="AT63" s="3">
        <v>35</v>
      </c>
      <c r="AU63" s="3">
        <v>1</v>
      </c>
      <c r="AV63" s="3">
        <v>1</v>
      </c>
      <c r="AW63" s="3">
        <v>0.1</v>
      </c>
      <c r="AX63" s="3">
        <v>1</v>
      </c>
    </row>
    <row r="64" s="1" customFormat="1" customHeight="1" spans="1:50">
      <c r="A64" s="18">
        <v>62</v>
      </c>
      <c r="B64" s="27">
        <v>44270</v>
      </c>
      <c r="C64" s="5"/>
      <c r="D64" s="23">
        <v>740</v>
      </c>
      <c r="E64" s="3">
        <v>414.5</v>
      </c>
      <c r="F64" s="3">
        <v>404</v>
      </c>
      <c r="G64" s="3">
        <v>93</v>
      </c>
      <c r="H64" s="3">
        <v>35</v>
      </c>
      <c r="I64" s="3">
        <v>135</v>
      </c>
      <c r="J64" s="3">
        <v>48</v>
      </c>
      <c r="K64" s="5"/>
      <c r="L64" s="3">
        <f t="shared" si="0"/>
        <v>0.560135135135135</v>
      </c>
      <c r="M64" s="5">
        <f t="shared" si="1"/>
        <v>0.471162162162162</v>
      </c>
      <c r="N64" s="5">
        <f t="shared" si="2"/>
        <v>348.66</v>
      </c>
      <c r="O64" s="5"/>
      <c r="P64" s="5">
        <v>8.8</v>
      </c>
      <c r="Q64" s="5"/>
      <c r="R64" s="5">
        <v>86.5</v>
      </c>
      <c r="S64" s="5"/>
      <c r="T64" s="5">
        <v>5.2</v>
      </c>
      <c r="U64" s="5"/>
      <c r="V64" s="5">
        <f>9.5+14.3+7.4+10.6+5.7</f>
        <v>47.5</v>
      </c>
      <c r="W64" s="5"/>
      <c r="X64" s="3">
        <v>2.6</v>
      </c>
      <c r="Y64" s="5"/>
      <c r="Z64" s="5">
        <v>126.5</v>
      </c>
      <c r="AA64" s="5"/>
      <c r="AB64" s="5"/>
      <c r="AC64" s="5"/>
      <c r="AD64" s="5"/>
      <c r="AE64" s="5"/>
      <c r="AF64" s="5">
        <v>8</v>
      </c>
      <c r="AG64" s="3">
        <v>5</v>
      </c>
      <c r="AH64" s="5"/>
      <c r="AI64" s="5"/>
      <c r="AJ64" s="5"/>
      <c r="AK64" s="5"/>
      <c r="AL64" s="5"/>
      <c r="AM64" s="5"/>
      <c r="AN64" s="20">
        <v>4</v>
      </c>
      <c r="AO64" s="5"/>
      <c r="AP64" s="5">
        <v>0.56</v>
      </c>
      <c r="AQ64" s="5">
        <v>4</v>
      </c>
      <c r="AR64" s="5">
        <v>50</v>
      </c>
      <c r="AS64" s="5"/>
      <c r="AT64" s="3">
        <v>35</v>
      </c>
      <c r="AU64" s="3">
        <v>1</v>
      </c>
      <c r="AV64" s="3">
        <v>1</v>
      </c>
      <c r="AW64" s="3">
        <v>0</v>
      </c>
      <c r="AX64" s="3">
        <v>1</v>
      </c>
    </row>
    <row r="65" s="1" customFormat="1" customHeight="1" spans="1:50">
      <c r="A65" s="18">
        <v>63</v>
      </c>
      <c r="B65" s="27">
        <v>44270</v>
      </c>
      <c r="C65" s="5"/>
      <c r="D65" s="23">
        <v>790</v>
      </c>
      <c r="E65" s="3">
        <v>447</v>
      </c>
      <c r="F65" s="3">
        <v>435</v>
      </c>
      <c r="G65" s="3"/>
      <c r="H65" s="3">
        <v>35</v>
      </c>
      <c r="I65" s="3"/>
      <c r="J65" s="3">
        <v>48</v>
      </c>
      <c r="K65" s="5"/>
      <c r="L65" s="3">
        <f t="shared" si="0"/>
        <v>0.565822784810127</v>
      </c>
      <c r="M65" s="5">
        <f t="shared" si="1"/>
        <v>0.531518987341772</v>
      </c>
      <c r="N65" s="5">
        <f t="shared" si="2"/>
        <v>419.9</v>
      </c>
      <c r="O65" s="5"/>
      <c r="P65" s="5">
        <v>10.7</v>
      </c>
      <c r="Q65" s="5"/>
      <c r="R65" s="5">
        <v>50</v>
      </c>
      <c r="S65" s="5"/>
      <c r="T65" s="5">
        <f>12+10.3+5.6+11+10.3+13.8+7+8.5+8+8.7+7.5+8+8.2</f>
        <v>118.9</v>
      </c>
      <c r="U65" s="5"/>
      <c r="V65" s="5"/>
      <c r="W65" s="5">
        <f>10.8+10.8+7.4+8.3</f>
        <v>37.3</v>
      </c>
      <c r="X65" s="3">
        <v>8.4</v>
      </c>
      <c r="Y65" s="5"/>
      <c r="Z65" s="5">
        <v>163.5</v>
      </c>
      <c r="AA65" s="5"/>
      <c r="AB65" s="5"/>
      <c r="AC65" s="5">
        <f>14+5.7+2.2</f>
        <v>21.9</v>
      </c>
      <c r="AD65" s="5"/>
      <c r="AE65" s="5"/>
      <c r="AF65" s="5"/>
      <c r="AG65" s="3">
        <v>5</v>
      </c>
      <c r="AH65" s="5"/>
      <c r="AI65" s="5"/>
      <c r="AJ65" s="5"/>
      <c r="AK65" s="5"/>
      <c r="AL65" s="5"/>
      <c r="AM65" s="5"/>
      <c r="AN65" s="21"/>
      <c r="AO65" s="5"/>
      <c r="AP65" s="5">
        <v>4.2</v>
      </c>
      <c r="AQ65" s="5"/>
      <c r="AR65" s="5"/>
      <c r="AS65" s="5"/>
      <c r="AT65" s="3">
        <v>35</v>
      </c>
      <c r="AU65" s="3">
        <v>1</v>
      </c>
      <c r="AV65" s="3">
        <v>1</v>
      </c>
      <c r="AW65" s="3">
        <v>0</v>
      </c>
      <c r="AX65" s="3">
        <v>1</v>
      </c>
    </row>
    <row r="66" s="1" customFormat="1" customHeight="1" spans="1:50">
      <c r="A66" s="18">
        <v>64</v>
      </c>
      <c r="B66" s="27">
        <v>44270</v>
      </c>
      <c r="C66" s="5"/>
      <c r="D66" s="23">
        <v>670</v>
      </c>
      <c r="E66" s="3">
        <v>361.5</v>
      </c>
      <c r="F66" s="3">
        <v>350</v>
      </c>
      <c r="G66" s="3"/>
      <c r="H66" s="3">
        <v>35</v>
      </c>
      <c r="I66" s="3"/>
      <c r="J66" s="3">
        <v>45</v>
      </c>
      <c r="K66" s="5"/>
      <c r="L66" s="3">
        <f t="shared" si="0"/>
        <v>0.53955223880597</v>
      </c>
      <c r="M66" s="5">
        <f t="shared" si="1"/>
        <v>0.260149253731343</v>
      </c>
      <c r="N66" s="5">
        <f t="shared" si="2"/>
        <v>174.3</v>
      </c>
      <c r="O66" s="5"/>
      <c r="P66" s="5">
        <v>7.3</v>
      </c>
      <c r="Q66" s="5"/>
      <c r="R66" s="5">
        <v>2.5</v>
      </c>
      <c r="S66" s="5"/>
      <c r="T66" s="5"/>
      <c r="U66" s="5"/>
      <c r="V66" s="5"/>
      <c r="W66" s="5"/>
      <c r="X66" s="3">
        <v>2.5</v>
      </c>
      <c r="Y66" s="5"/>
      <c r="Z66" s="5">
        <v>40</v>
      </c>
      <c r="AA66" s="5"/>
      <c r="AB66" s="5"/>
      <c r="AC66" s="5"/>
      <c r="AD66" s="5"/>
      <c r="AE66" s="5"/>
      <c r="AF66" s="5">
        <v>2</v>
      </c>
      <c r="AG66" s="3">
        <v>5</v>
      </c>
      <c r="AH66" s="5"/>
      <c r="AI66" s="5"/>
      <c r="AJ66" s="5"/>
      <c r="AK66" s="5"/>
      <c r="AL66" s="5"/>
      <c r="AM66" s="5"/>
      <c r="AN66" s="21"/>
      <c r="AO66" s="5"/>
      <c r="AP66" s="5">
        <v>1</v>
      </c>
      <c r="AQ66" s="5">
        <v>16</v>
      </c>
      <c r="AR66" s="5">
        <v>98</v>
      </c>
      <c r="AS66" s="5"/>
      <c r="AT66" s="3">
        <v>35</v>
      </c>
      <c r="AU66" s="3">
        <v>1</v>
      </c>
      <c r="AV66" s="3">
        <v>1</v>
      </c>
      <c r="AW66" s="3">
        <v>0</v>
      </c>
      <c r="AX66" s="3">
        <v>1</v>
      </c>
    </row>
    <row r="67" s="1" customFormat="1" customHeight="1" spans="1:50">
      <c r="A67" s="18">
        <v>65</v>
      </c>
      <c r="B67" s="27">
        <v>44272</v>
      </c>
      <c r="C67" s="5"/>
      <c r="D67" s="23">
        <v>750</v>
      </c>
      <c r="E67" s="3">
        <v>397</v>
      </c>
      <c r="F67" s="3">
        <v>387</v>
      </c>
      <c r="G67" s="3">
        <v>62</v>
      </c>
      <c r="H67" s="3">
        <v>35</v>
      </c>
      <c r="I67" s="3">
        <v>90</v>
      </c>
      <c r="J67" s="3">
        <v>53</v>
      </c>
      <c r="K67" s="5"/>
      <c r="L67" s="3">
        <f t="shared" ref="L67:L130" si="3">E67/D67</f>
        <v>0.529333333333333</v>
      </c>
      <c r="M67" s="5">
        <f t="shared" si="1"/>
        <v>0.598986666666667</v>
      </c>
      <c r="N67" s="5">
        <f t="shared" si="2"/>
        <v>449.24</v>
      </c>
      <c r="O67" s="5"/>
      <c r="P67" s="5">
        <v>5.24</v>
      </c>
      <c r="Q67" s="5"/>
      <c r="R67" s="5">
        <v>97.5</v>
      </c>
      <c r="S67" s="5"/>
      <c r="T67" s="5">
        <v>80</v>
      </c>
      <c r="U67" s="5">
        <v>50</v>
      </c>
      <c r="V67" s="5">
        <v>60</v>
      </c>
      <c r="W67" s="5"/>
      <c r="X67" s="3">
        <v>3.5</v>
      </c>
      <c r="Y67" s="5"/>
      <c r="Z67" s="5">
        <v>144</v>
      </c>
      <c r="AA67" s="5"/>
      <c r="AB67" s="5"/>
      <c r="AC67" s="5"/>
      <c r="AD67" s="5"/>
      <c r="AE67" s="5"/>
      <c r="AF67" s="5"/>
      <c r="AG67" s="3">
        <v>5</v>
      </c>
      <c r="AH67" s="5"/>
      <c r="AI67" s="5"/>
      <c r="AJ67" s="5"/>
      <c r="AK67" s="5"/>
      <c r="AL67" s="5"/>
      <c r="AM67" s="5"/>
      <c r="AN67" s="22"/>
      <c r="AO67" s="5"/>
      <c r="AP67" s="5"/>
      <c r="AQ67" s="5">
        <v>4</v>
      </c>
      <c r="AR67" s="5"/>
      <c r="AS67" s="5"/>
      <c r="AT67" s="3">
        <v>35</v>
      </c>
      <c r="AU67" s="3">
        <v>1</v>
      </c>
      <c r="AV67" s="3">
        <v>1</v>
      </c>
      <c r="AW67" s="3">
        <v>0.1</v>
      </c>
      <c r="AX67" s="3">
        <v>1</v>
      </c>
    </row>
    <row r="68" s="1" customFormat="1" customHeight="1" spans="1:50">
      <c r="A68" s="18">
        <v>66</v>
      </c>
      <c r="B68" s="27">
        <v>44272</v>
      </c>
      <c r="C68" s="5"/>
      <c r="D68" s="23">
        <v>750</v>
      </c>
      <c r="E68" s="3">
        <v>382.5</v>
      </c>
      <c r="F68" s="3">
        <v>370</v>
      </c>
      <c r="G68" s="3"/>
      <c r="H68" s="3">
        <v>35</v>
      </c>
      <c r="I68" s="3"/>
      <c r="J68" s="3">
        <v>53</v>
      </c>
      <c r="K68" s="5"/>
      <c r="L68" s="3">
        <f t="shared" si="3"/>
        <v>0.51</v>
      </c>
      <c r="M68" s="5">
        <f t="shared" si="1"/>
        <v>0.209466666666667</v>
      </c>
      <c r="N68" s="5">
        <f t="shared" si="2"/>
        <v>157.1</v>
      </c>
      <c r="O68" s="5"/>
      <c r="P68" s="5">
        <v>50.3</v>
      </c>
      <c r="Q68" s="5"/>
      <c r="R68" s="5">
        <v>16.8</v>
      </c>
      <c r="S68" s="5"/>
      <c r="T68" s="5">
        <v>5.2</v>
      </c>
      <c r="U68" s="5"/>
      <c r="V68" s="5"/>
      <c r="W68" s="5"/>
      <c r="X68" s="3">
        <v>16.5</v>
      </c>
      <c r="Y68" s="5"/>
      <c r="Z68" s="5">
        <v>2.5</v>
      </c>
      <c r="AA68" s="5"/>
      <c r="AB68" s="5"/>
      <c r="AC68" s="5"/>
      <c r="AD68" s="5"/>
      <c r="AE68" s="5"/>
      <c r="AF68" s="5"/>
      <c r="AG68" s="3">
        <v>5</v>
      </c>
      <c r="AH68" s="5"/>
      <c r="AI68" s="5"/>
      <c r="AJ68" s="5"/>
      <c r="AK68" s="5"/>
      <c r="AL68" s="5"/>
      <c r="AM68" s="5"/>
      <c r="AN68" s="5">
        <v>3.2</v>
      </c>
      <c r="AO68" s="5"/>
      <c r="AP68" s="5">
        <v>2.6</v>
      </c>
      <c r="AQ68" s="5">
        <v>13</v>
      </c>
      <c r="AR68" s="5">
        <v>42</v>
      </c>
      <c r="AS68" s="5"/>
      <c r="AT68" s="3">
        <v>35</v>
      </c>
      <c r="AU68" s="3">
        <v>1</v>
      </c>
      <c r="AV68" s="3">
        <v>1</v>
      </c>
      <c r="AW68" s="3">
        <v>0.1</v>
      </c>
      <c r="AX68" s="3">
        <v>1</v>
      </c>
    </row>
    <row r="69" s="1" customFormat="1" customHeight="1" spans="1:50">
      <c r="A69" s="18">
        <v>67</v>
      </c>
      <c r="B69" s="27">
        <v>44272</v>
      </c>
      <c r="C69" s="5"/>
      <c r="D69" s="23">
        <v>750</v>
      </c>
      <c r="E69" s="3">
        <v>385</v>
      </c>
      <c r="F69" s="3">
        <v>375</v>
      </c>
      <c r="G69" s="3">
        <v>105</v>
      </c>
      <c r="H69" s="3">
        <v>35</v>
      </c>
      <c r="I69" s="3">
        <v>150</v>
      </c>
      <c r="J69" s="3">
        <v>53</v>
      </c>
      <c r="K69" s="5"/>
      <c r="L69" s="3">
        <f t="shared" si="3"/>
        <v>0.513333333333333</v>
      </c>
      <c r="M69" s="5">
        <f t="shared" si="1"/>
        <v>0.680533333333333</v>
      </c>
      <c r="N69" s="5">
        <f t="shared" si="2"/>
        <v>510.4</v>
      </c>
      <c r="O69" s="5"/>
      <c r="P69" s="5">
        <v>35</v>
      </c>
      <c r="Q69" s="5"/>
      <c r="R69" s="5">
        <v>93</v>
      </c>
      <c r="S69" s="5"/>
      <c r="T69" s="5">
        <v>9.3</v>
      </c>
      <c r="U69" s="5">
        <v>21.9</v>
      </c>
      <c r="V69" s="5">
        <f>8.3+8.2+8.3+8.8+8.9</f>
        <v>42.5</v>
      </c>
      <c r="W69" s="5">
        <f>10.5+5.6+10.6+6.7</f>
        <v>33.4</v>
      </c>
      <c r="X69" s="3">
        <v>3.1</v>
      </c>
      <c r="Y69" s="5"/>
      <c r="Z69" s="5">
        <v>242.5</v>
      </c>
      <c r="AA69" s="5"/>
      <c r="AB69" s="5"/>
      <c r="AC69" s="5">
        <v>21.2</v>
      </c>
      <c r="AD69" s="5"/>
      <c r="AE69" s="5"/>
      <c r="AF69" s="5"/>
      <c r="AG69" s="3">
        <v>5</v>
      </c>
      <c r="AH69" s="5"/>
      <c r="AI69" s="5"/>
      <c r="AJ69" s="5"/>
      <c r="AK69" s="5"/>
      <c r="AL69" s="5"/>
      <c r="AM69" s="5"/>
      <c r="AN69" s="20">
        <v>3.5</v>
      </c>
      <c r="AO69" s="5"/>
      <c r="AP69" s="5"/>
      <c r="AQ69" s="5"/>
      <c r="AR69" s="5"/>
      <c r="AS69" s="5"/>
      <c r="AT69" s="3">
        <v>35</v>
      </c>
      <c r="AU69" s="3">
        <v>1</v>
      </c>
      <c r="AV69" s="3">
        <v>1</v>
      </c>
      <c r="AW69" s="3">
        <v>0.1</v>
      </c>
      <c r="AX69" s="3">
        <v>1</v>
      </c>
    </row>
    <row r="70" s="1" customFormat="1" customHeight="1" spans="1:50">
      <c r="A70" s="18">
        <v>68</v>
      </c>
      <c r="B70" s="27">
        <v>44273</v>
      </c>
      <c r="C70" s="5"/>
      <c r="D70" s="23">
        <v>620</v>
      </c>
      <c r="E70" s="3">
        <v>346</v>
      </c>
      <c r="F70" s="3">
        <v>336</v>
      </c>
      <c r="G70" s="3"/>
      <c r="H70" s="3">
        <v>35</v>
      </c>
      <c r="I70" s="3"/>
      <c r="J70" s="3">
        <v>45</v>
      </c>
      <c r="K70" s="5"/>
      <c r="L70" s="3">
        <f t="shared" si="3"/>
        <v>0.558064516129032</v>
      </c>
      <c r="M70" s="5">
        <f t="shared" ref="M70:M133" si="4">N70/D70</f>
        <v>0.362258064516129</v>
      </c>
      <c r="N70" s="5">
        <f t="shared" ref="N70:N133" si="5">SUM(O70:AR70)</f>
        <v>224.6</v>
      </c>
      <c r="O70" s="5"/>
      <c r="P70" s="5">
        <v>2.9</v>
      </c>
      <c r="Q70" s="5"/>
      <c r="R70" s="5">
        <v>1.5</v>
      </c>
      <c r="S70" s="5"/>
      <c r="T70" s="5">
        <f>11.2+6.1+13.3+9.8+8.4+8.1+7.4+12.8</f>
        <v>77.1</v>
      </c>
      <c r="U70" s="5"/>
      <c r="V70" s="5">
        <f>9.4+7.9+9.4+9.5</f>
        <v>36.2</v>
      </c>
      <c r="W70" s="5">
        <f>6.3+6.7+8.1</f>
        <v>21.1</v>
      </c>
      <c r="X70" s="3"/>
      <c r="Y70" s="5"/>
      <c r="Z70" s="5">
        <v>17</v>
      </c>
      <c r="AA70" s="5"/>
      <c r="AB70" s="5">
        <f>12.6+13.2+8</f>
        <v>33.8</v>
      </c>
      <c r="AC70" s="5"/>
      <c r="AD70" s="5"/>
      <c r="AE70" s="5"/>
      <c r="AF70" s="5"/>
      <c r="AG70" s="3">
        <v>5</v>
      </c>
      <c r="AH70" s="5"/>
      <c r="AI70" s="5"/>
      <c r="AJ70" s="5"/>
      <c r="AK70" s="5"/>
      <c r="AL70" s="5"/>
      <c r="AM70" s="5"/>
      <c r="AN70" s="21"/>
      <c r="AO70" s="5"/>
      <c r="AP70" s="5"/>
      <c r="AQ70" s="5">
        <v>28</v>
      </c>
      <c r="AR70" s="5">
        <v>2</v>
      </c>
      <c r="AS70" s="5"/>
      <c r="AT70" s="3">
        <v>35</v>
      </c>
      <c r="AU70" s="3">
        <v>1</v>
      </c>
      <c r="AV70" s="3">
        <v>1</v>
      </c>
      <c r="AW70" s="3">
        <v>0.1</v>
      </c>
      <c r="AX70" s="3">
        <v>1</v>
      </c>
    </row>
    <row r="71" s="1" customFormat="1" customHeight="1" spans="1:50">
      <c r="A71" s="18">
        <v>69</v>
      </c>
      <c r="B71" s="27">
        <v>44273</v>
      </c>
      <c r="C71" s="5"/>
      <c r="D71" s="23">
        <v>650</v>
      </c>
      <c r="E71" s="3">
        <v>330.5</v>
      </c>
      <c r="F71" s="3">
        <v>320</v>
      </c>
      <c r="G71" s="3"/>
      <c r="H71" s="3">
        <v>35</v>
      </c>
      <c r="I71" s="3"/>
      <c r="J71" s="3">
        <v>45</v>
      </c>
      <c r="K71" s="5"/>
      <c r="L71" s="3">
        <f t="shared" si="3"/>
        <v>0.508461538461538</v>
      </c>
      <c r="M71" s="5">
        <f t="shared" si="4"/>
        <v>0.735184615384615</v>
      </c>
      <c r="N71" s="5">
        <f t="shared" si="5"/>
        <v>477.87</v>
      </c>
      <c r="O71" s="5">
        <v>0.6</v>
      </c>
      <c r="P71" s="5">
        <f>53+6.3</f>
        <v>59.3</v>
      </c>
      <c r="Q71" s="5">
        <v>12.5</v>
      </c>
      <c r="R71" s="5">
        <v>35</v>
      </c>
      <c r="S71" s="5"/>
      <c r="T71" s="5">
        <f>10.2+8.4+6.4+9.7+5.8+6+5.1+9.1+9+4.6+4.67+12.5+3.65+0.35</f>
        <v>95.47</v>
      </c>
      <c r="U71" s="5">
        <v>12.2</v>
      </c>
      <c r="V71" s="5">
        <f>6.3+6.5+7.5+7.9+8.4</f>
        <v>36.6</v>
      </c>
      <c r="W71" s="5">
        <f>5.9+4.1+6.2+5.2</f>
        <v>21.4</v>
      </c>
      <c r="X71" s="3"/>
      <c r="Y71" s="5"/>
      <c r="Z71" s="5">
        <v>164</v>
      </c>
      <c r="AA71" s="5"/>
      <c r="AB71" s="5"/>
      <c r="AC71" s="5"/>
      <c r="AD71" s="5"/>
      <c r="AE71" s="5">
        <v>6.4</v>
      </c>
      <c r="AF71" s="5">
        <v>2.8</v>
      </c>
      <c r="AG71" s="3">
        <v>5</v>
      </c>
      <c r="AH71" s="5"/>
      <c r="AI71" s="5"/>
      <c r="AJ71" s="5"/>
      <c r="AK71" s="5"/>
      <c r="AL71" s="5"/>
      <c r="AM71" s="5"/>
      <c r="AN71" s="22"/>
      <c r="AO71" s="5"/>
      <c r="AP71" s="5">
        <v>5.6</v>
      </c>
      <c r="AQ71" s="5">
        <v>8</v>
      </c>
      <c r="AR71" s="5">
        <v>13</v>
      </c>
      <c r="AS71" s="5"/>
      <c r="AT71" s="3">
        <v>35</v>
      </c>
      <c r="AU71" s="3">
        <v>1</v>
      </c>
      <c r="AV71" s="3">
        <v>1</v>
      </c>
      <c r="AW71" s="3">
        <v>0.1</v>
      </c>
      <c r="AX71" s="3">
        <v>1</v>
      </c>
    </row>
    <row r="72" s="1" customFormat="1" customHeight="1" spans="1:50">
      <c r="A72" s="18">
        <v>70</v>
      </c>
      <c r="B72" s="27">
        <v>44273</v>
      </c>
      <c r="C72" s="5"/>
      <c r="D72" s="23">
        <v>780</v>
      </c>
      <c r="E72" s="3">
        <v>428.5</v>
      </c>
      <c r="F72" s="3">
        <v>418</v>
      </c>
      <c r="G72" s="3"/>
      <c r="H72" s="3">
        <v>35</v>
      </c>
      <c r="I72" s="3"/>
      <c r="J72" s="3">
        <v>49</v>
      </c>
      <c r="K72" s="5"/>
      <c r="L72" s="3">
        <f t="shared" si="3"/>
        <v>0.549358974358974</v>
      </c>
      <c r="M72" s="5">
        <f t="shared" si="4"/>
        <v>0.586153846153846</v>
      </c>
      <c r="N72" s="5">
        <f t="shared" si="5"/>
        <v>457.2</v>
      </c>
      <c r="O72" s="5">
        <v>2.4</v>
      </c>
      <c r="P72" s="5">
        <v>15</v>
      </c>
      <c r="Q72" s="5"/>
      <c r="R72" s="5">
        <v>61</v>
      </c>
      <c r="S72" s="5"/>
      <c r="T72" s="5"/>
      <c r="U72" s="5">
        <v>5.6</v>
      </c>
      <c r="V72" s="5"/>
      <c r="W72" s="5"/>
      <c r="X72" s="3">
        <v>1.6</v>
      </c>
      <c r="Y72" s="5"/>
      <c r="Z72" s="5">
        <v>280.5</v>
      </c>
      <c r="AA72" s="5">
        <v>6.2</v>
      </c>
      <c r="AB72" s="5"/>
      <c r="AC72" s="5">
        <v>19.3</v>
      </c>
      <c r="AD72" s="5"/>
      <c r="AE72" s="5"/>
      <c r="AF72" s="5">
        <v>5.6</v>
      </c>
      <c r="AG72" s="3">
        <v>5</v>
      </c>
      <c r="AH72" s="5"/>
      <c r="AI72" s="5"/>
      <c r="AJ72" s="5"/>
      <c r="AK72" s="5"/>
      <c r="AL72" s="5"/>
      <c r="AM72" s="5"/>
      <c r="AN72" s="5">
        <v>3</v>
      </c>
      <c r="AO72" s="5"/>
      <c r="AP72" s="5"/>
      <c r="AQ72" s="5">
        <v>19</v>
      </c>
      <c r="AR72" s="5">
        <v>33</v>
      </c>
      <c r="AS72" s="5"/>
      <c r="AT72" s="3">
        <v>35</v>
      </c>
      <c r="AU72" s="3">
        <v>1</v>
      </c>
      <c r="AV72" s="3">
        <v>1</v>
      </c>
      <c r="AW72" s="3">
        <v>0.1</v>
      </c>
      <c r="AX72" s="3">
        <v>1</v>
      </c>
    </row>
    <row r="73" s="1" customFormat="1" customHeight="1" spans="1:50">
      <c r="A73" s="18">
        <v>71</v>
      </c>
      <c r="B73" s="27">
        <v>44277</v>
      </c>
      <c r="C73" s="5"/>
      <c r="D73" s="23">
        <v>800</v>
      </c>
      <c r="E73" s="3">
        <v>427</v>
      </c>
      <c r="F73" s="3">
        <v>415</v>
      </c>
      <c r="G73" s="3">
        <v>65</v>
      </c>
      <c r="H73" s="3">
        <v>35</v>
      </c>
      <c r="I73" s="3">
        <v>85</v>
      </c>
      <c r="J73" s="3">
        <v>55</v>
      </c>
      <c r="K73" s="5"/>
      <c r="L73" s="3">
        <f t="shared" si="3"/>
        <v>0.53375</v>
      </c>
      <c r="M73" s="5">
        <f t="shared" si="4"/>
        <v>0.431425</v>
      </c>
      <c r="N73" s="5">
        <f t="shared" si="5"/>
        <v>345.14</v>
      </c>
      <c r="O73" s="5">
        <v>1</v>
      </c>
      <c r="P73" s="5">
        <v>17.2</v>
      </c>
      <c r="Q73" s="5"/>
      <c r="R73" s="5">
        <v>48.5</v>
      </c>
      <c r="S73" s="5">
        <v>2</v>
      </c>
      <c r="T73" s="5">
        <f>11+10.7+10+8+9.3</f>
        <v>49</v>
      </c>
      <c r="U73" s="5"/>
      <c r="V73" s="5">
        <f>6.2+7.1+6.3</f>
        <v>19.6</v>
      </c>
      <c r="W73" s="5">
        <f>5.5+5.1+3.9</f>
        <v>14.5</v>
      </c>
      <c r="X73" s="3"/>
      <c r="Y73" s="5"/>
      <c r="Z73" s="5">
        <v>160.5</v>
      </c>
      <c r="AA73" s="5"/>
      <c r="AB73" s="5">
        <v>5.2</v>
      </c>
      <c r="AC73" s="5">
        <v>10.2</v>
      </c>
      <c r="AD73" s="5"/>
      <c r="AE73" s="5"/>
      <c r="AF73" s="5">
        <v>1.44</v>
      </c>
      <c r="AG73" s="3">
        <v>5</v>
      </c>
      <c r="AH73" s="5"/>
      <c r="AI73" s="5"/>
      <c r="AJ73" s="5"/>
      <c r="AK73" s="5"/>
      <c r="AL73" s="5"/>
      <c r="AM73" s="5"/>
      <c r="AN73" s="5"/>
      <c r="AO73" s="5"/>
      <c r="AP73" s="5"/>
      <c r="AQ73" s="5">
        <v>5</v>
      </c>
      <c r="AR73" s="5">
        <v>6</v>
      </c>
      <c r="AS73" s="5"/>
      <c r="AT73" s="3">
        <v>35</v>
      </c>
      <c r="AU73" s="3">
        <v>1</v>
      </c>
      <c r="AV73" s="3">
        <v>1</v>
      </c>
      <c r="AW73" s="3">
        <v>0.1</v>
      </c>
      <c r="AX73" s="3">
        <v>1</v>
      </c>
    </row>
    <row r="74" s="1" customFormat="1" customHeight="1" spans="1:50">
      <c r="A74" s="18">
        <v>72</v>
      </c>
      <c r="B74" s="27">
        <v>44277</v>
      </c>
      <c r="C74" s="5"/>
      <c r="D74" s="23">
        <v>800</v>
      </c>
      <c r="E74" s="3">
        <v>405</v>
      </c>
      <c r="F74" s="3">
        <v>395</v>
      </c>
      <c r="G74" s="3"/>
      <c r="H74" s="3">
        <v>35</v>
      </c>
      <c r="I74" s="3"/>
      <c r="J74" s="3">
        <v>55</v>
      </c>
      <c r="K74" s="5"/>
      <c r="L74" s="3">
        <f t="shared" si="3"/>
        <v>0.50625</v>
      </c>
      <c r="M74" s="5">
        <f t="shared" si="4"/>
        <v>0.65285</v>
      </c>
      <c r="N74" s="5">
        <f t="shared" si="5"/>
        <v>522.28</v>
      </c>
      <c r="O74" s="5">
        <v>3.26</v>
      </c>
      <c r="P74" s="5">
        <f>8.45+5.93</f>
        <v>14.38</v>
      </c>
      <c r="Q74" s="5">
        <v>1.3</v>
      </c>
      <c r="R74" s="5">
        <v>116</v>
      </c>
      <c r="S74" s="5"/>
      <c r="T74" s="5">
        <f>4.58+1.26+10.8+13.9+10.7+6+6.28</f>
        <v>53.52</v>
      </c>
      <c r="U74" s="5"/>
      <c r="V74" s="5"/>
      <c r="W74" s="5">
        <v>8.79</v>
      </c>
      <c r="X74" s="3"/>
      <c r="Y74" s="5"/>
      <c r="Z74" s="5">
        <v>165</v>
      </c>
      <c r="AA74" s="5"/>
      <c r="AB74" s="5">
        <v>21</v>
      </c>
      <c r="AC74" s="5">
        <v>11.2</v>
      </c>
      <c r="AD74" s="5"/>
      <c r="AE74" s="5">
        <f>12.4+5.2+5.57</f>
        <v>23.17</v>
      </c>
      <c r="AF74" s="5">
        <v>2.7</v>
      </c>
      <c r="AG74" s="3">
        <v>5</v>
      </c>
      <c r="AH74" s="5"/>
      <c r="AI74" s="5"/>
      <c r="AJ74" s="5"/>
      <c r="AK74" s="5"/>
      <c r="AL74" s="5"/>
      <c r="AM74" s="5"/>
      <c r="AN74" s="20">
        <v>3.96</v>
      </c>
      <c r="AO74" s="5"/>
      <c r="AP74" s="5"/>
      <c r="AQ74" s="5">
        <v>9</v>
      </c>
      <c r="AR74" s="5">
        <v>84</v>
      </c>
      <c r="AS74" s="5"/>
      <c r="AT74" s="3">
        <v>35</v>
      </c>
      <c r="AU74" s="3">
        <v>1</v>
      </c>
      <c r="AV74" s="3">
        <v>1</v>
      </c>
      <c r="AW74" s="3">
        <v>0.1</v>
      </c>
      <c r="AX74" s="3">
        <v>1</v>
      </c>
    </row>
    <row r="75" s="1" customFormat="1" customHeight="1" spans="1:50">
      <c r="A75" s="18">
        <v>73</v>
      </c>
      <c r="B75" s="27">
        <v>44277</v>
      </c>
      <c r="C75" s="5"/>
      <c r="D75" s="23">
        <v>800</v>
      </c>
      <c r="E75" s="3">
        <v>410</v>
      </c>
      <c r="F75" s="3">
        <v>400</v>
      </c>
      <c r="G75" s="3"/>
      <c r="H75" s="3">
        <v>35</v>
      </c>
      <c r="I75" s="3"/>
      <c r="J75" s="3">
        <v>55</v>
      </c>
      <c r="K75" s="5"/>
      <c r="L75" s="3">
        <f t="shared" si="3"/>
        <v>0.5125</v>
      </c>
      <c r="M75" s="5">
        <f t="shared" si="4"/>
        <v>0.6932125</v>
      </c>
      <c r="N75" s="5">
        <f t="shared" si="5"/>
        <v>554.57</v>
      </c>
      <c r="O75" s="5"/>
      <c r="P75" s="5">
        <f>10.5+24.7+9.9+10.2+18.8</f>
        <v>74.1</v>
      </c>
      <c r="Q75" s="5">
        <v>2.5</v>
      </c>
      <c r="R75" s="5">
        <v>216.8</v>
      </c>
      <c r="S75" s="5">
        <v>1.4</v>
      </c>
      <c r="T75" s="5">
        <f>9+8.4+6.7+13.7+15.1</f>
        <v>52.9</v>
      </c>
      <c r="U75" s="5">
        <f>12.5+6.6</f>
        <v>19.1</v>
      </c>
      <c r="V75" s="5">
        <f>7.2+13.6+7.3</f>
        <v>28.1</v>
      </c>
      <c r="W75" s="5">
        <f>8.9+4.2+5.5</f>
        <v>18.6</v>
      </c>
      <c r="X75" s="3"/>
      <c r="Y75" s="5">
        <v>2.78</v>
      </c>
      <c r="Z75" s="5">
        <v>6.2</v>
      </c>
      <c r="AA75" s="5">
        <f>5.8+10.6</f>
        <v>16.4</v>
      </c>
      <c r="AB75" s="5">
        <v>5</v>
      </c>
      <c r="AC75" s="5">
        <f>6.3+1.2+4.4</f>
        <v>11.9</v>
      </c>
      <c r="AD75" s="5"/>
      <c r="AE75" s="5">
        <f>5.9+6.5+5.4</f>
        <v>17.8</v>
      </c>
      <c r="AF75" s="5">
        <f>0.49+3+5.5</f>
        <v>8.99</v>
      </c>
      <c r="AG75" s="3">
        <v>5</v>
      </c>
      <c r="AH75" s="5"/>
      <c r="AI75" s="5"/>
      <c r="AJ75" s="5"/>
      <c r="AK75" s="5"/>
      <c r="AL75" s="5"/>
      <c r="AM75" s="5"/>
      <c r="AN75" s="21"/>
      <c r="AO75" s="5"/>
      <c r="AP75" s="5"/>
      <c r="AQ75" s="5">
        <v>13</v>
      </c>
      <c r="AR75" s="5">
        <v>54</v>
      </c>
      <c r="AS75" s="5"/>
      <c r="AT75" s="3">
        <v>35</v>
      </c>
      <c r="AU75" s="3">
        <v>1</v>
      </c>
      <c r="AV75" s="3">
        <v>1</v>
      </c>
      <c r="AW75" s="3">
        <v>0.1</v>
      </c>
      <c r="AX75" s="3">
        <v>1</v>
      </c>
    </row>
    <row r="76" s="5" customFormat="1" customHeight="1" spans="1:50">
      <c r="A76" s="18">
        <v>74</v>
      </c>
      <c r="B76" s="27">
        <v>44279</v>
      </c>
      <c r="C76" s="3" t="s">
        <v>54</v>
      </c>
      <c r="D76" s="23">
        <v>730</v>
      </c>
      <c r="E76" s="3">
        <v>427</v>
      </c>
      <c r="F76" s="3">
        <v>415</v>
      </c>
      <c r="G76" s="5">
        <v>22</v>
      </c>
      <c r="H76" s="5">
        <v>33</v>
      </c>
      <c r="I76" s="5">
        <v>40</v>
      </c>
      <c r="J76" s="3">
        <v>41</v>
      </c>
      <c r="L76" s="3">
        <f t="shared" si="3"/>
        <v>0.584931506849315</v>
      </c>
      <c r="M76" s="5">
        <f t="shared" si="4"/>
        <v>0.0863013698630137</v>
      </c>
      <c r="N76" s="5">
        <f t="shared" si="5"/>
        <v>63</v>
      </c>
      <c r="X76" s="3"/>
      <c r="AG76" s="3">
        <v>5</v>
      </c>
      <c r="AN76" s="3"/>
      <c r="AQ76" s="5">
        <v>12</v>
      </c>
      <c r="AR76" s="5">
        <v>46</v>
      </c>
      <c r="AT76" s="3">
        <v>35</v>
      </c>
      <c r="AU76" s="3">
        <v>1</v>
      </c>
      <c r="AV76" s="3">
        <v>1</v>
      </c>
      <c r="AW76" s="3">
        <v>0.1</v>
      </c>
      <c r="AX76" s="3">
        <v>1</v>
      </c>
    </row>
    <row r="77" s="5" customFormat="1" customHeight="1" spans="1:50">
      <c r="A77" s="18">
        <v>75</v>
      </c>
      <c r="B77" s="27">
        <v>44279</v>
      </c>
      <c r="C77" s="3" t="s">
        <v>54</v>
      </c>
      <c r="D77" s="23">
        <v>700</v>
      </c>
      <c r="E77" s="3">
        <v>380</v>
      </c>
      <c r="F77" s="3">
        <v>370</v>
      </c>
      <c r="G77" s="5">
        <v>22</v>
      </c>
      <c r="H77" s="5">
        <v>33</v>
      </c>
      <c r="I77" s="5">
        <v>40</v>
      </c>
      <c r="J77" s="3">
        <v>41</v>
      </c>
      <c r="L77" s="3">
        <f t="shared" si="3"/>
        <v>0.542857142857143</v>
      </c>
      <c r="M77" s="5">
        <f t="shared" si="4"/>
        <v>0</v>
      </c>
      <c r="N77" s="5">
        <f t="shared" si="5"/>
        <v>0</v>
      </c>
      <c r="O77" s="5" t="s">
        <v>56</v>
      </c>
      <c r="X77" s="3"/>
      <c r="AT77" s="3">
        <v>36</v>
      </c>
      <c r="AU77" s="5">
        <v>1</v>
      </c>
      <c r="AV77" s="5">
        <v>1</v>
      </c>
      <c r="AW77" s="5">
        <v>0.1</v>
      </c>
      <c r="AX77" s="5">
        <v>1</v>
      </c>
    </row>
    <row r="78" s="5" customFormat="1" customHeight="1" spans="1:50">
      <c r="A78" s="18">
        <v>76</v>
      </c>
      <c r="B78" s="27">
        <v>44279</v>
      </c>
      <c r="C78" s="3" t="s">
        <v>54</v>
      </c>
      <c r="D78" s="23">
        <v>720</v>
      </c>
      <c r="E78" s="3">
        <v>405</v>
      </c>
      <c r="F78" s="3">
        <v>395</v>
      </c>
      <c r="G78" s="5">
        <v>22</v>
      </c>
      <c r="H78" s="5">
        <v>33</v>
      </c>
      <c r="I78" s="5">
        <v>40</v>
      </c>
      <c r="J78" s="3">
        <v>41</v>
      </c>
      <c r="L78" s="3">
        <f t="shared" si="3"/>
        <v>0.5625</v>
      </c>
      <c r="M78" s="5">
        <f t="shared" si="4"/>
        <v>0</v>
      </c>
      <c r="N78" s="5">
        <f t="shared" si="5"/>
        <v>0</v>
      </c>
      <c r="X78" s="3"/>
      <c r="AT78" s="3">
        <v>36</v>
      </c>
      <c r="AU78" s="5">
        <v>1</v>
      </c>
      <c r="AV78" s="5">
        <v>1</v>
      </c>
      <c r="AW78" s="5">
        <v>0.1</v>
      </c>
      <c r="AX78" s="5">
        <v>1</v>
      </c>
    </row>
    <row r="79" s="5" customFormat="1" customHeight="1" spans="1:50">
      <c r="A79" s="18">
        <v>77</v>
      </c>
      <c r="B79" s="27">
        <v>44282</v>
      </c>
      <c r="C79" s="3" t="s">
        <v>54</v>
      </c>
      <c r="D79" s="23">
        <v>670</v>
      </c>
      <c r="E79" s="3">
        <v>307</v>
      </c>
      <c r="F79" s="3">
        <v>300</v>
      </c>
      <c r="G79" s="5">
        <v>22</v>
      </c>
      <c r="H79" s="5">
        <v>33</v>
      </c>
      <c r="I79" s="5">
        <v>40</v>
      </c>
      <c r="J79" s="3">
        <v>41</v>
      </c>
      <c r="L79" s="3">
        <f t="shared" si="3"/>
        <v>0.458208955223881</v>
      </c>
      <c r="M79" s="5">
        <f t="shared" si="4"/>
        <v>0</v>
      </c>
      <c r="N79" s="5">
        <f t="shared" si="5"/>
        <v>0</v>
      </c>
      <c r="X79" s="3"/>
      <c r="AT79" s="3">
        <v>36</v>
      </c>
      <c r="AU79" s="5">
        <v>1</v>
      </c>
      <c r="AV79" s="5">
        <v>1</v>
      </c>
      <c r="AW79" s="5">
        <v>0.1</v>
      </c>
      <c r="AX79" s="5">
        <v>1</v>
      </c>
    </row>
    <row r="80" s="5" customFormat="1" customHeight="1" spans="1:50">
      <c r="A80" s="18">
        <v>78</v>
      </c>
      <c r="B80" s="27">
        <v>44282</v>
      </c>
      <c r="C80" s="3" t="s">
        <v>54</v>
      </c>
      <c r="D80" s="23">
        <v>700</v>
      </c>
      <c r="E80" s="3">
        <v>360</v>
      </c>
      <c r="F80" s="3">
        <v>350</v>
      </c>
      <c r="G80" s="5">
        <v>22</v>
      </c>
      <c r="H80" s="5">
        <v>33</v>
      </c>
      <c r="I80" s="5">
        <v>40</v>
      </c>
      <c r="J80" s="3">
        <v>41</v>
      </c>
      <c r="L80" s="3">
        <f t="shared" si="3"/>
        <v>0.514285714285714</v>
      </c>
      <c r="M80" s="5">
        <f t="shared" si="4"/>
        <v>0</v>
      </c>
      <c r="N80" s="5">
        <f t="shared" si="5"/>
        <v>0</v>
      </c>
      <c r="X80" s="3"/>
      <c r="AT80" s="3">
        <v>36</v>
      </c>
      <c r="AU80" s="5">
        <v>1</v>
      </c>
      <c r="AV80" s="5">
        <v>1</v>
      </c>
      <c r="AW80" s="5">
        <v>0.1</v>
      </c>
      <c r="AX80" s="5">
        <v>1</v>
      </c>
    </row>
    <row r="81" s="5" customFormat="1" customHeight="1" spans="1:50">
      <c r="A81" s="18">
        <v>79</v>
      </c>
      <c r="B81" s="27">
        <v>44282</v>
      </c>
      <c r="C81" s="3" t="s">
        <v>54</v>
      </c>
      <c r="D81" s="23">
        <v>730</v>
      </c>
      <c r="E81" s="3">
        <v>400</v>
      </c>
      <c r="F81" s="3">
        <v>390</v>
      </c>
      <c r="G81" s="5">
        <v>22</v>
      </c>
      <c r="H81" s="5">
        <v>33</v>
      </c>
      <c r="I81" s="5">
        <v>40</v>
      </c>
      <c r="J81" s="3">
        <v>41</v>
      </c>
      <c r="L81" s="3">
        <f t="shared" si="3"/>
        <v>0.547945205479452</v>
      </c>
      <c r="M81" s="5">
        <f t="shared" si="4"/>
        <v>0.0575342465753425</v>
      </c>
      <c r="N81" s="5">
        <f t="shared" si="5"/>
        <v>42</v>
      </c>
      <c r="R81" s="5">
        <v>42</v>
      </c>
      <c r="X81" s="3"/>
      <c r="AT81" s="3">
        <v>36</v>
      </c>
      <c r="AU81" s="5">
        <v>1</v>
      </c>
      <c r="AV81" s="5">
        <v>1</v>
      </c>
      <c r="AW81" s="5">
        <v>0.1</v>
      </c>
      <c r="AX81" s="5">
        <v>1</v>
      </c>
    </row>
    <row r="82" s="5" customFormat="1" customHeight="1" spans="1:50">
      <c r="A82" s="18">
        <v>80</v>
      </c>
      <c r="B82" s="27">
        <v>44283</v>
      </c>
      <c r="C82" s="3" t="s">
        <v>54</v>
      </c>
      <c r="D82" s="23">
        <v>670</v>
      </c>
      <c r="E82" s="3">
        <v>335</v>
      </c>
      <c r="F82" s="3">
        <v>325</v>
      </c>
      <c r="G82" s="5">
        <v>22</v>
      </c>
      <c r="H82" s="5">
        <v>33</v>
      </c>
      <c r="I82" s="5">
        <v>40</v>
      </c>
      <c r="J82" s="3">
        <v>41</v>
      </c>
      <c r="L82" s="3">
        <f t="shared" si="3"/>
        <v>0.5</v>
      </c>
      <c r="M82" s="5">
        <f t="shared" si="4"/>
        <v>0.632835820895522</v>
      </c>
      <c r="N82" s="5">
        <f t="shared" si="5"/>
        <v>424</v>
      </c>
      <c r="P82" s="5">
        <v>17.5</v>
      </c>
      <c r="R82" s="5">
        <v>104.5</v>
      </c>
      <c r="X82" s="3"/>
      <c r="AB82" s="5">
        <v>302</v>
      </c>
      <c r="AT82" s="3">
        <v>36</v>
      </c>
      <c r="AU82" s="5">
        <v>1</v>
      </c>
      <c r="AV82" s="5">
        <v>1</v>
      </c>
      <c r="AW82" s="5">
        <v>0.1</v>
      </c>
      <c r="AX82" s="5">
        <v>1</v>
      </c>
    </row>
    <row r="83" s="5" customFormat="1" customHeight="1" spans="1:50">
      <c r="A83" s="18">
        <v>81</v>
      </c>
      <c r="B83" s="27">
        <v>44283</v>
      </c>
      <c r="C83" s="3" t="s">
        <v>54</v>
      </c>
      <c r="D83" s="23">
        <v>660</v>
      </c>
      <c r="E83" s="3">
        <v>342</v>
      </c>
      <c r="F83" s="3">
        <v>332</v>
      </c>
      <c r="G83" s="5">
        <v>22</v>
      </c>
      <c r="H83" s="5">
        <v>33</v>
      </c>
      <c r="I83" s="5">
        <v>40</v>
      </c>
      <c r="J83" s="3">
        <v>41</v>
      </c>
      <c r="L83" s="3">
        <f t="shared" si="3"/>
        <v>0.518181818181818</v>
      </c>
      <c r="M83" s="5">
        <f t="shared" si="4"/>
        <v>0.559818181818182</v>
      </c>
      <c r="N83" s="5">
        <f t="shared" si="5"/>
        <v>369.48</v>
      </c>
      <c r="P83" s="5">
        <v>16.6</v>
      </c>
      <c r="R83" s="5">
        <v>68</v>
      </c>
      <c r="T83" s="5">
        <f>9.47+9.6+5.89+2.5</f>
        <v>27.46</v>
      </c>
      <c r="V83" s="5">
        <v>11.6</v>
      </c>
      <c r="W83" s="5">
        <v>9.6</v>
      </c>
      <c r="X83" s="3">
        <v>4.72</v>
      </c>
      <c r="AB83" s="5">
        <v>156.5</v>
      </c>
      <c r="AC83" s="5">
        <v>17</v>
      </c>
      <c r="AE83" s="5">
        <v>4</v>
      </c>
      <c r="AQ83" s="5">
        <v>8</v>
      </c>
      <c r="AR83" s="5">
        <v>46</v>
      </c>
      <c r="AT83" s="3">
        <v>36</v>
      </c>
      <c r="AU83" s="5">
        <v>1</v>
      </c>
      <c r="AV83" s="5">
        <v>1</v>
      </c>
      <c r="AW83" s="5">
        <v>0.1</v>
      </c>
      <c r="AX83" s="5">
        <v>1</v>
      </c>
    </row>
    <row r="84" s="5" customFormat="1" customHeight="1" spans="1:50">
      <c r="A84" s="18">
        <v>82</v>
      </c>
      <c r="B84" s="27">
        <v>44283</v>
      </c>
      <c r="C84" s="3" t="s">
        <v>54</v>
      </c>
      <c r="D84" s="23">
        <v>660</v>
      </c>
      <c r="E84" s="3">
        <v>335</v>
      </c>
      <c r="F84" s="3">
        <v>325</v>
      </c>
      <c r="G84" s="5">
        <v>22</v>
      </c>
      <c r="H84" s="5">
        <v>33</v>
      </c>
      <c r="I84" s="5">
        <v>40</v>
      </c>
      <c r="J84" s="3">
        <v>41</v>
      </c>
      <c r="L84" s="3">
        <f t="shared" si="3"/>
        <v>0.507575757575758</v>
      </c>
      <c r="M84" s="5">
        <f t="shared" si="4"/>
        <v>0.892333333333333</v>
      </c>
      <c r="N84" s="5">
        <f t="shared" si="5"/>
        <v>588.94</v>
      </c>
      <c r="P84" s="5">
        <v>7.8</v>
      </c>
      <c r="R84" s="5">
        <v>74</v>
      </c>
      <c r="T84" s="5">
        <f>11.3+9.9+8.8+9.7+4.97+12.3+8+14.3+1.8+12.4+8.2+7.4+7.7+3.27</f>
        <v>120.04</v>
      </c>
      <c r="U84" s="5">
        <f>7.3</f>
        <v>7.3</v>
      </c>
      <c r="V84" s="5">
        <f>6+5.7+12.5+7.6+7.3+7.3+0.9</f>
        <v>47.3</v>
      </c>
      <c r="W84" s="5">
        <f>8.6+5.1+4.6+5+5+5.3+4.2</f>
        <v>37.8</v>
      </c>
      <c r="X84" s="3"/>
      <c r="Y84" s="5">
        <v>5</v>
      </c>
      <c r="AB84" s="5">
        <v>234</v>
      </c>
      <c r="AC84" s="5">
        <v>23.6</v>
      </c>
      <c r="AN84" s="5">
        <v>5.1</v>
      </c>
      <c r="AQ84" s="5">
        <v>5</v>
      </c>
      <c r="AR84" s="5">
        <v>22</v>
      </c>
      <c r="AT84" s="3">
        <v>36</v>
      </c>
      <c r="AU84" s="5">
        <v>1</v>
      </c>
      <c r="AV84" s="5">
        <v>1</v>
      </c>
      <c r="AW84" s="5">
        <v>0.1</v>
      </c>
      <c r="AX84" s="5">
        <v>1</v>
      </c>
    </row>
    <row r="85" s="5" customFormat="1" customHeight="1" spans="1:50">
      <c r="A85" s="18">
        <v>83</v>
      </c>
      <c r="B85" s="27">
        <v>44283</v>
      </c>
      <c r="C85" s="3" t="s">
        <v>54</v>
      </c>
      <c r="D85" s="23">
        <v>660</v>
      </c>
      <c r="E85" s="3">
        <v>370</v>
      </c>
      <c r="F85" s="3">
        <v>360</v>
      </c>
      <c r="G85" s="5">
        <v>22</v>
      </c>
      <c r="H85" s="5">
        <v>33</v>
      </c>
      <c r="I85" s="5">
        <v>40</v>
      </c>
      <c r="J85" s="3">
        <v>41</v>
      </c>
      <c r="L85" s="3">
        <f t="shared" si="3"/>
        <v>0.560606060606061</v>
      </c>
      <c r="M85" s="5">
        <f t="shared" si="4"/>
        <v>0.632666666666667</v>
      </c>
      <c r="N85" s="5">
        <f t="shared" si="5"/>
        <v>417.56</v>
      </c>
      <c r="R85" s="5">
        <v>98.5</v>
      </c>
      <c r="U85" s="5">
        <v>5.77</v>
      </c>
      <c r="X85" s="3"/>
      <c r="AA85" s="5">
        <v>3.4</v>
      </c>
      <c r="AB85" s="5">
        <v>223</v>
      </c>
      <c r="AC85" s="5">
        <f>13+12.1+8.79</f>
        <v>33.89</v>
      </c>
      <c r="AQ85" s="5">
        <v>16</v>
      </c>
      <c r="AR85" s="5">
        <v>37</v>
      </c>
      <c r="AT85" s="3">
        <v>36</v>
      </c>
      <c r="AU85" s="5">
        <v>1</v>
      </c>
      <c r="AV85" s="5">
        <v>1</v>
      </c>
      <c r="AW85" s="5">
        <v>0.1</v>
      </c>
      <c r="AX85" s="5">
        <v>1</v>
      </c>
    </row>
    <row r="86" s="5" customFormat="1" customHeight="1" spans="1:50">
      <c r="A86" s="18">
        <v>84</v>
      </c>
      <c r="B86" s="27">
        <v>44284</v>
      </c>
      <c r="C86" s="3" t="s">
        <v>55</v>
      </c>
      <c r="D86" s="23">
        <v>850</v>
      </c>
      <c r="E86" s="3">
        <v>440.5</v>
      </c>
      <c r="F86" s="3">
        <v>432.5</v>
      </c>
      <c r="G86" s="5">
        <v>22</v>
      </c>
      <c r="H86" s="3">
        <v>53</v>
      </c>
      <c r="I86" s="5">
        <v>48</v>
      </c>
      <c r="J86" s="3">
        <v>52</v>
      </c>
      <c r="L86" s="3">
        <f t="shared" si="3"/>
        <v>0.518235294117647</v>
      </c>
      <c r="M86" s="5">
        <f t="shared" si="4"/>
        <v>0.343082352941176</v>
      </c>
      <c r="N86" s="5">
        <f t="shared" si="5"/>
        <v>291.62</v>
      </c>
      <c r="R86" s="5">
        <v>5.8</v>
      </c>
      <c r="T86" s="5">
        <f>15.5+15+9.52+14.7+15.6+16.3+9.7+17.4+8.3+15.3+6.4</f>
        <v>143.72</v>
      </c>
      <c r="V86" s="5">
        <f>12.5+12.3+8.3+7.6+13.5+11.8</f>
        <v>66</v>
      </c>
      <c r="W86" s="5">
        <f>14+9.7+4.5+17.6</f>
        <v>45.8</v>
      </c>
      <c r="X86" s="3">
        <v>7.8</v>
      </c>
      <c r="AB86" s="5">
        <v>7</v>
      </c>
      <c r="AF86" s="5">
        <v>5.5</v>
      </c>
      <c r="AR86" s="5">
        <v>10</v>
      </c>
      <c r="AT86" s="3">
        <v>100</v>
      </c>
      <c r="AU86" s="5">
        <v>0</v>
      </c>
      <c r="AV86" s="5">
        <v>1</v>
      </c>
      <c r="AW86" s="5">
        <v>0.1</v>
      </c>
      <c r="AX86" s="5">
        <v>1</v>
      </c>
    </row>
    <row r="87" s="5" customFormat="1" customHeight="1" spans="1:50">
      <c r="A87" s="18">
        <v>85</v>
      </c>
      <c r="B87" s="27">
        <v>44284</v>
      </c>
      <c r="C87" s="3" t="s">
        <v>55</v>
      </c>
      <c r="D87" s="23">
        <v>850</v>
      </c>
      <c r="E87" s="3">
        <v>412.5</v>
      </c>
      <c r="F87" s="3">
        <v>401</v>
      </c>
      <c r="G87" s="5">
        <v>22</v>
      </c>
      <c r="H87" s="3">
        <v>48</v>
      </c>
      <c r="I87" s="5">
        <v>50</v>
      </c>
      <c r="J87" s="3">
        <v>55</v>
      </c>
      <c r="L87" s="3">
        <f t="shared" si="3"/>
        <v>0.485294117647059</v>
      </c>
      <c r="M87" s="5">
        <f t="shared" si="4"/>
        <v>0.406941176470588</v>
      </c>
      <c r="N87" s="5">
        <f t="shared" si="5"/>
        <v>345.9</v>
      </c>
      <c r="P87" s="5">
        <v>6.2</v>
      </c>
      <c r="R87" s="5">
        <v>50</v>
      </c>
      <c r="V87" s="5">
        <v>14.2</v>
      </c>
      <c r="X87" s="3">
        <v>4.2</v>
      </c>
      <c r="Y87" s="5">
        <v>6</v>
      </c>
      <c r="Z87" s="5">
        <v>12.7</v>
      </c>
      <c r="AB87" s="5">
        <v>112.5</v>
      </c>
      <c r="AC87" s="5">
        <f>51+31+30</f>
        <v>112</v>
      </c>
      <c r="AF87" s="5">
        <v>4</v>
      </c>
      <c r="AN87" s="5">
        <v>4.1</v>
      </c>
      <c r="AQ87" s="5">
        <v>7</v>
      </c>
      <c r="AR87" s="5">
        <v>13</v>
      </c>
      <c r="AT87" s="3">
        <v>100</v>
      </c>
      <c r="AU87" s="5">
        <v>0</v>
      </c>
      <c r="AV87" s="5">
        <v>1</v>
      </c>
      <c r="AW87" s="5">
        <v>0.1</v>
      </c>
      <c r="AX87" s="5">
        <v>1</v>
      </c>
    </row>
    <row r="88" s="5" customFormat="1" customHeight="1" spans="1:50">
      <c r="A88" s="18">
        <v>86</v>
      </c>
      <c r="B88" s="27">
        <v>44285</v>
      </c>
      <c r="C88" s="3" t="s">
        <v>57</v>
      </c>
      <c r="D88" s="23">
        <v>400</v>
      </c>
      <c r="E88" s="3">
        <v>183</v>
      </c>
      <c r="F88" s="3">
        <v>174</v>
      </c>
      <c r="G88" s="5">
        <v>22</v>
      </c>
      <c r="H88" s="3">
        <v>12</v>
      </c>
      <c r="I88" s="5">
        <v>18</v>
      </c>
      <c r="J88" s="3">
        <v>30</v>
      </c>
      <c r="L88" s="3">
        <f t="shared" si="3"/>
        <v>0.4575</v>
      </c>
      <c r="M88" s="5">
        <f t="shared" si="4"/>
        <v>1.259</v>
      </c>
      <c r="N88" s="5">
        <f t="shared" si="5"/>
        <v>503.6</v>
      </c>
      <c r="P88" s="5">
        <f>24.5+27.5</f>
        <v>52</v>
      </c>
      <c r="R88" s="5">
        <f>13.3+13.2+17.2</f>
        <v>43.7</v>
      </c>
      <c r="T88" s="5">
        <f>9.6+13.1+6.2+5.7+13.4+14.8+13.4+9.1+8.1+6.2+8.3+6.4+9.4+8.6</f>
        <v>132.3</v>
      </c>
      <c r="U88" s="5">
        <v>8.8</v>
      </c>
      <c r="V88" s="5">
        <f>13.3+5.7+13.1+3.4+5.4+3.9+8.8+7.9+0</f>
        <v>61.5</v>
      </c>
      <c r="W88" s="5">
        <f>8.1+13.1+2.2+2.2+2.9+2.4+3.1+1.5</f>
        <v>35.5</v>
      </c>
      <c r="X88" s="3"/>
      <c r="AB88" s="5">
        <v>101</v>
      </c>
      <c r="AC88" s="5">
        <v>50</v>
      </c>
      <c r="AF88" s="5">
        <f>5.8+3.3</f>
        <v>9.1</v>
      </c>
      <c r="AN88" s="5">
        <v>2.3</v>
      </c>
      <c r="AP88" s="5">
        <v>0.4</v>
      </c>
      <c r="AQ88" s="5">
        <v>2</v>
      </c>
      <c r="AR88" s="5">
        <v>5</v>
      </c>
      <c r="AT88" s="3">
        <v>22</v>
      </c>
      <c r="AU88" s="5">
        <v>1</v>
      </c>
      <c r="AV88" s="5">
        <v>1</v>
      </c>
      <c r="AW88" s="5">
        <v>0.1</v>
      </c>
      <c r="AX88" s="5">
        <v>1</v>
      </c>
    </row>
    <row r="89" s="5" customFormat="1" customHeight="1" spans="1:50">
      <c r="A89" s="18">
        <v>87</v>
      </c>
      <c r="B89" s="27">
        <v>44285</v>
      </c>
      <c r="C89" s="3" t="s">
        <v>57</v>
      </c>
      <c r="D89" s="23">
        <v>400</v>
      </c>
      <c r="E89" s="3">
        <v>200</v>
      </c>
      <c r="F89" s="3">
        <v>192</v>
      </c>
      <c r="G89" s="5">
        <v>22</v>
      </c>
      <c r="H89" s="3">
        <v>12</v>
      </c>
      <c r="I89" s="5">
        <v>18</v>
      </c>
      <c r="J89" s="3">
        <v>30</v>
      </c>
      <c r="L89" s="3">
        <f t="shared" si="3"/>
        <v>0.5</v>
      </c>
      <c r="M89" s="5">
        <f t="shared" si="4"/>
        <v>0.60175</v>
      </c>
      <c r="N89" s="5">
        <f t="shared" si="5"/>
        <v>240.7</v>
      </c>
      <c r="R89" s="5">
        <v>5</v>
      </c>
      <c r="T89" s="5">
        <v>49.7</v>
      </c>
      <c r="X89" s="3"/>
      <c r="AB89" s="5">
        <v>186</v>
      </c>
      <c r="AT89" s="3">
        <v>23</v>
      </c>
      <c r="AU89" s="5">
        <v>1</v>
      </c>
      <c r="AV89" s="5">
        <v>1</v>
      </c>
      <c r="AW89" s="5">
        <v>0.1</v>
      </c>
      <c r="AX89" s="5">
        <v>1</v>
      </c>
    </row>
    <row r="90" s="5" customFormat="1" customHeight="1" spans="1:50">
      <c r="A90" s="18">
        <v>88</v>
      </c>
      <c r="B90" s="27">
        <v>44285</v>
      </c>
      <c r="C90" s="3" t="s">
        <v>57</v>
      </c>
      <c r="D90" s="23">
        <v>380</v>
      </c>
      <c r="E90" s="3">
        <v>188</v>
      </c>
      <c r="F90" s="3">
        <v>182</v>
      </c>
      <c r="G90" s="5">
        <v>22</v>
      </c>
      <c r="H90" s="3">
        <v>12</v>
      </c>
      <c r="I90" s="5">
        <v>18</v>
      </c>
      <c r="J90" s="3">
        <v>30</v>
      </c>
      <c r="L90" s="3">
        <f t="shared" si="3"/>
        <v>0.494736842105263</v>
      </c>
      <c r="M90" s="5">
        <f t="shared" si="4"/>
        <v>0.852236842105263</v>
      </c>
      <c r="N90" s="5">
        <f t="shared" si="5"/>
        <v>323.85</v>
      </c>
      <c r="R90" s="5">
        <v>92.5</v>
      </c>
      <c r="T90" s="5">
        <f>8+9.25+2.5+6.8+8+10.3</f>
        <v>44.85</v>
      </c>
      <c r="V90" s="5">
        <f>3.5+9.5+5.8</f>
        <v>18.8</v>
      </c>
      <c r="W90" s="5">
        <f>2.3+2.7+2.7+8.6+4.6</f>
        <v>20.9</v>
      </c>
      <c r="X90" s="3">
        <v>5.7</v>
      </c>
      <c r="Y90" s="5">
        <v>2.6</v>
      </c>
      <c r="AB90" s="5">
        <v>138.5</v>
      </c>
      <c r="AT90" s="3">
        <v>23</v>
      </c>
      <c r="AU90" s="5">
        <v>1</v>
      </c>
      <c r="AV90" s="5">
        <v>1</v>
      </c>
      <c r="AW90" s="5">
        <v>0.1</v>
      </c>
      <c r="AX90" s="5">
        <v>1</v>
      </c>
    </row>
    <row r="91" s="5" customFormat="1" customHeight="1" spans="1:50">
      <c r="A91" s="18">
        <v>89</v>
      </c>
      <c r="B91" s="27">
        <v>44285</v>
      </c>
      <c r="C91" s="3" t="s">
        <v>57</v>
      </c>
      <c r="D91" s="23">
        <v>370</v>
      </c>
      <c r="E91" s="3">
        <v>189</v>
      </c>
      <c r="F91" s="3">
        <v>183</v>
      </c>
      <c r="G91" s="5">
        <v>22</v>
      </c>
      <c r="H91" s="3">
        <v>12</v>
      </c>
      <c r="I91" s="5">
        <v>18</v>
      </c>
      <c r="J91" s="3">
        <v>30</v>
      </c>
      <c r="L91" s="3">
        <f t="shared" si="3"/>
        <v>0.510810810810811</v>
      </c>
      <c r="M91" s="5">
        <f t="shared" si="4"/>
        <v>1.09021621621622</v>
      </c>
      <c r="N91" s="5">
        <f t="shared" si="5"/>
        <v>403.38</v>
      </c>
      <c r="P91" s="5">
        <v>7.2</v>
      </c>
      <c r="R91" s="5">
        <v>99</v>
      </c>
      <c r="U91" s="5">
        <v>3</v>
      </c>
      <c r="X91" s="3">
        <v>2.38</v>
      </c>
      <c r="Y91" s="5">
        <v>3.2</v>
      </c>
      <c r="AB91" s="5">
        <v>220</v>
      </c>
      <c r="AF91" s="5">
        <v>5.3</v>
      </c>
      <c r="AP91" s="5">
        <f>5.3</f>
        <v>5.3</v>
      </c>
      <c r="AQ91" s="5">
        <v>35</v>
      </c>
      <c r="AR91" s="5">
        <v>23</v>
      </c>
      <c r="AT91" s="3">
        <v>23</v>
      </c>
      <c r="AU91" s="5">
        <v>1</v>
      </c>
      <c r="AV91" s="5">
        <v>1</v>
      </c>
      <c r="AW91" s="5">
        <v>0.1</v>
      </c>
      <c r="AX91" s="5">
        <v>1</v>
      </c>
    </row>
    <row r="92" s="5" customFormat="1" customHeight="1" spans="1:50">
      <c r="A92" s="18">
        <v>90</v>
      </c>
      <c r="B92" s="27">
        <v>44291</v>
      </c>
      <c r="C92" s="3" t="s">
        <v>54</v>
      </c>
      <c r="D92" s="23">
        <v>750</v>
      </c>
      <c r="E92" s="3">
        <f>447</f>
        <v>447</v>
      </c>
      <c r="F92" s="3">
        <v>437</v>
      </c>
      <c r="G92" s="5">
        <v>22</v>
      </c>
      <c r="H92" s="3">
        <v>30</v>
      </c>
      <c r="I92" s="5">
        <v>45</v>
      </c>
      <c r="J92" s="3">
        <v>46</v>
      </c>
      <c r="L92" s="3">
        <f t="shared" si="3"/>
        <v>0.596</v>
      </c>
      <c r="M92" s="5">
        <f t="shared" si="4"/>
        <v>0.262533333333333</v>
      </c>
      <c r="N92" s="5">
        <f t="shared" si="5"/>
        <v>196.9</v>
      </c>
      <c r="R92" s="5">
        <v>33</v>
      </c>
      <c r="X92" s="3">
        <v>98.9</v>
      </c>
      <c r="AB92" s="5">
        <v>65</v>
      </c>
      <c r="AT92" s="3">
        <v>36</v>
      </c>
      <c r="AU92" s="5">
        <v>1</v>
      </c>
      <c r="AV92" s="5">
        <v>1</v>
      </c>
      <c r="AW92" s="5">
        <v>0.1</v>
      </c>
      <c r="AX92" s="5">
        <v>1</v>
      </c>
    </row>
    <row r="93" s="5" customFormat="1" customHeight="1" spans="1:50">
      <c r="A93" s="18">
        <v>91</v>
      </c>
      <c r="B93" s="27">
        <v>44291</v>
      </c>
      <c r="C93" s="3" t="s">
        <v>54</v>
      </c>
      <c r="D93" s="23">
        <v>750</v>
      </c>
      <c r="E93" s="3">
        <v>443.5</v>
      </c>
      <c r="F93" s="3">
        <v>433</v>
      </c>
      <c r="G93" s="5">
        <v>22</v>
      </c>
      <c r="H93" s="3">
        <v>30</v>
      </c>
      <c r="I93" s="5">
        <v>45</v>
      </c>
      <c r="J93" s="3">
        <v>46</v>
      </c>
      <c r="L93" s="3">
        <f t="shared" si="3"/>
        <v>0.591333333333333</v>
      </c>
      <c r="M93" s="5">
        <f t="shared" si="4"/>
        <v>0.356106666666667</v>
      </c>
      <c r="N93" s="5">
        <f t="shared" si="5"/>
        <v>267.08</v>
      </c>
      <c r="R93" s="5">
        <v>27.5</v>
      </c>
      <c r="T93" s="5">
        <v>6.2</v>
      </c>
      <c r="U93" s="5">
        <v>5.6</v>
      </c>
      <c r="X93" s="3"/>
      <c r="Z93" s="5">
        <v>12.3</v>
      </c>
      <c r="AB93" s="5">
        <v>156</v>
      </c>
      <c r="AN93" s="5">
        <v>1.98</v>
      </c>
      <c r="AQ93" s="5">
        <v>19.5</v>
      </c>
      <c r="AR93" s="5">
        <v>38</v>
      </c>
      <c r="AT93" s="3">
        <v>36</v>
      </c>
      <c r="AU93" s="5">
        <v>1</v>
      </c>
      <c r="AV93" s="5">
        <v>1</v>
      </c>
      <c r="AW93" s="5">
        <v>0.1</v>
      </c>
      <c r="AX93" s="5">
        <v>1</v>
      </c>
    </row>
    <row r="94" s="5" customFormat="1" customHeight="1" spans="1:50">
      <c r="A94" s="18">
        <v>92</v>
      </c>
      <c r="B94" s="27">
        <v>44292</v>
      </c>
      <c r="C94" s="3" t="s">
        <v>54</v>
      </c>
      <c r="D94" s="23">
        <v>710</v>
      </c>
      <c r="E94" s="3">
        <v>440</v>
      </c>
      <c r="F94" s="3">
        <v>430</v>
      </c>
      <c r="G94" s="5">
        <v>22</v>
      </c>
      <c r="H94" s="3">
        <v>30</v>
      </c>
      <c r="I94" s="5">
        <v>40</v>
      </c>
      <c r="J94" s="3">
        <v>46</v>
      </c>
      <c r="L94" s="3">
        <f t="shared" si="3"/>
        <v>0.619718309859155</v>
      </c>
      <c r="M94" s="5">
        <f t="shared" si="4"/>
        <v>0.471830985915493</v>
      </c>
      <c r="N94" s="5">
        <f t="shared" si="5"/>
        <v>335</v>
      </c>
      <c r="P94" s="5">
        <v>3</v>
      </c>
      <c r="R94" s="5">
        <v>28</v>
      </c>
      <c r="V94" s="5">
        <v>54.5</v>
      </c>
      <c r="X94" s="3"/>
      <c r="Z94" s="5">
        <v>3</v>
      </c>
      <c r="AB94" s="5">
        <v>246.5</v>
      </c>
      <c r="AT94" s="3">
        <v>36</v>
      </c>
      <c r="AU94" s="5">
        <v>1</v>
      </c>
      <c r="AV94" s="5">
        <v>1</v>
      </c>
      <c r="AW94" s="5">
        <v>0.1</v>
      </c>
      <c r="AX94" s="5">
        <v>1</v>
      </c>
    </row>
    <row r="95" s="5" customFormat="1" customHeight="1" spans="1:50">
      <c r="A95" s="18">
        <v>93</v>
      </c>
      <c r="B95" s="27">
        <v>44292</v>
      </c>
      <c r="C95" s="3" t="s">
        <v>54</v>
      </c>
      <c r="D95" s="23">
        <v>720</v>
      </c>
      <c r="E95" s="3">
        <v>394.5</v>
      </c>
      <c r="F95" s="3">
        <v>383</v>
      </c>
      <c r="G95" s="5">
        <v>22</v>
      </c>
      <c r="H95" s="3">
        <v>30</v>
      </c>
      <c r="I95" s="5">
        <v>40</v>
      </c>
      <c r="J95" s="3">
        <v>46</v>
      </c>
      <c r="L95" s="3">
        <f t="shared" si="3"/>
        <v>0.547916666666667</v>
      </c>
      <c r="M95" s="5">
        <f t="shared" si="4"/>
        <v>0.281583333333333</v>
      </c>
      <c r="N95" s="5">
        <f t="shared" si="5"/>
        <v>202.74</v>
      </c>
      <c r="O95" s="5">
        <f>11.15+10.8</f>
        <v>21.95</v>
      </c>
      <c r="P95" s="5">
        <v>33.9</v>
      </c>
      <c r="R95" s="5">
        <v>134</v>
      </c>
      <c r="X95" s="3">
        <v>2.89</v>
      </c>
      <c r="AB95" s="5">
        <v>10</v>
      </c>
      <c r="AT95" s="3">
        <v>36</v>
      </c>
      <c r="AU95" s="5">
        <v>1</v>
      </c>
      <c r="AV95" s="5">
        <v>1</v>
      </c>
      <c r="AW95" s="5">
        <v>0.1</v>
      </c>
      <c r="AX95" s="5">
        <v>1</v>
      </c>
    </row>
    <row r="96" s="5" customFormat="1" customHeight="1" spans="1:50">
      <c r="A96" s="18">
        <v>94</v>
      </c>
      <c r="B96" s="27">
        <v>44292</v>
      </c>
      <c r="C96" s="3" t="s">
        <v>54</v>
      </c>
      <c r="D96" s="23">
        <v>720</v>
      </c>
      <c r="E96" s="3">
        <v>410</v>
      </c>
      <c r="F96" s="3">
        <v>400</v>
      </c>
      <c r="G96" s="5">
        <v>22</v>
      </c>
      <c r="H96" s="3">
        <v>30</v>
      </c>
      <c r="I96" s="5">
        <v>40</v>
      </c>
      <c r="J96" s="3">
        <v>46</v>
      </c>
      <c r="L96" s="3">
        <f t="shared" si="3"/>
        <v>0.569444444444444</v>
      </c>
      <c r="M96" s="5">
        <f t="shared" si="4"/>
        <v>0.506291666666667</v>
      </c>
      <c r="N96" s="5">
        <f t="shared" si="5"/>
        <v>364.53</v>
      </c>
      <c r="P96" s="5">
        <f>3+5.7+1.98+17.5+5+0.87+1.75</f>
        <v>35.8</v>
      </c>
      <c r="Q96" s="5">
        <f>6.9</f>
        <v>6.9</v>
      </c>
      <c r="R96" s="5">
        <v>33</v>
      </c>
      <c r="S96" s="5">
        <f>3.89+3.49+0.7</f>
        <v>8.08</v>
      </c>
      <c r="T96" s="5">
        <f>8.3+7.2+7.3+7.49</f>
        <v>30.29</v>
      </c>
      <c r="U96" s="5">
        <f>11.7+5.5+7.3+8.1+2.6</f>
        <v>35.2</v>
      </c>
      <c r="V96" s="5">
        <f>8.1+7.4+0.49</f>
        <v>15.99</v>
      </c>
      <c r="W96" s="5">
        <f>7+6.9+2.2</f>
        <v>16.1</v>
      </c>
      <c r="X96" s="3">
        <v>10.1</v>
      </c>
      <c r="Y96" s="5">
        <f>2.6+5.98</f>
        <v>8.58</v>
      </c>
      <c r="AA96" s="5">
        <f>9.7+9.7+10.1+9.6</f>
        <v>39.1</v>
      </c>
      <c r="AB96" s="5">
        <v>25</v>
      </c>
      <c r="AC96" s="5">
        <f>13.6+6.1+21.6</f>
        <v>41.3</v>
      </c>
      <c r="AE96" s="5">
        <f>10.4+7.9+4.3</f>
        <v>22.6</v>
      </c>
      <c r="AF96" s="5">
        <v>5.49</v>
      </c>
      <c r="AQ96" s="5">
        <v>7</v>
      </c>
      <c r="AR96" s="5">
        <v>24</v>
      </c>
      <c r="AT96" s="3">
        <v>36</v>
      </c>
      <c r="AU96" s="5">
        <v>1</v>
      </c>
      <c r="AV96" s="5">
        <v>1</v>
      </c>
      <c r="AW96" s="5">
        <v>0.1</v>
      </c>
      <c r="AX96" s="5">
        <v>1</v>
      </c>
    </row>
    <row r="97" s="5" customFormat="1" customHeight="1" spans="1:50">
      <c r="A97" s="18">
        <v>95</v>
      </c>
      <c r="B97" s="27">
        <v>44296</v>
      </c>
      <c r="C97" s="3" t="s">
        <v>57</v>
      </c>
      <c r="D97" s="23">
        <v>410</v>
      </c>
      <c r="E97" s="3">
        <v>250</v>
      </c>
      <c r="F97" s="3">
        <v>242</v>
      </c>
      <c r="G97" s="5">
        <v>22</v>
      </c>
      <c r="H97" s="3">
        <v>14</v>
      </c>
      <c r="I97" s="5">
        <v>19</v>
      </c>
      <c r="J97" s="3">
        <v>32</v>
      </c>
      <c r="L97" s="3">
        <f t="shared" si="3"/>
        <v>0.609756097560976</v>
      </c>
      <c r="M97" s="5">
        <f t="shared" si="4"/>
        <v>0.727560975609756</v>
      </c>
      <c r="N97" s="5">
        <f t="shared" si="5"/>
        <v>298.3</v>
      </c>
      <c r="R97" s="5">
        <v>25</v>
      </c>
      <c r="X97" s="3"/>
      <c r="Y97" s="5">
        <v>2.9</v>
      </c>
      <c r="Z97" s="5">
        <v>13.3</v>
      </c>
      <c r="AA97" s="5">
        <f>9.1+8.2+7.3+7.5</f>
        <v>32.1</v>
      </c>
      <c r="AB97" s="5">
        <v>216</v>
      </c>
      <c r="AQ97" s="5">
        <v>9</v>
      </c>
      <c r="AT97" s="3">
        <v>20</v>
      </c>
      <c r="AU97" s="5">
        <v>1</v>
      </c>
      <c r="AV97" s="5">
        <v>1</v>
      </c>
      <c r="AW97" s="5">
        <v>0.1</v>
      </c>
      <c r="AX97" s="5">
        <v>1</v>
      </c>
    </row>
    <row r="98" s="5" customFormat="1" customHeight="1" spans="1:50">
      <c r="A98" s="18">
        <v>96</v>
      </c>
      <c r="B98" s="27">
        <v>44296</v>
      </c>
      <c r="C98" s="3" t="s">
        <v>57</v>
      </c>
      <c r="D98" s="23">
        <v>410</v>
      </c>
      <c r="E98" s="3">
        <v>241</v>
      </c>
      <c r="F98" s="3">
        <v>232</v>
      </c>
      <c r="G98" s="5">
        <v>22</v>
      </c>
      <c r="H98" s="3">
        <v>14</v>
      </c>
      <c r="I98" s="5">
        <v>19</v>
      </c>
      <c r="J98" s="3">
        <v>32</v>
      </c>
      <c r="L98" s="3">
        <f t="shared" si="3"/>
        <v>0.58780487804878</v>
      </c>
      <c r="M98" s="5">
        <f t="shared" si="4"/>
        <v>1.15314634146341</v>
      </c>
      <c r="N98" s="5">
        <f t="shared" si="5"/>
        <v>472.79</v>
      </c>
      <c r="R98" s="5">
        <v>85</v>
      </c>
      <c r="T98" s="5">
        <f>7.99+14.3+9.4+7.4+14+16.4</f>
        <v>69.49</v>
      </c>
      <c r="V98" s="5">
        <f>15.3+9.5</f>
        <v>24.8</v>
      </c>
      <c r="W98" s="5">
        <f>11.2+6+7.9</f>
        <v>25.1</v>
      </c>
      <c r="X98" s="3"/>
      <c r="AA98" s="5">
        <f>5.3+5.9+11.7</f>
        <v>22.9</v>
      </c>
      <c r="AB98" s="5">
        <v>238.5</v>
      </c>
      <c r="AQ98" s="5">
        <v>7</v>
      </c>
      <c r="AT98" s="3">
        <v>20</v>
      </c>
      <c r="AU98" s="5">
        <v>1</v>
      </c>
      <c r="AV98" s="5">
        <v>1</v>
      </c>
      <c r="AW98" s="5">
        <v>0.1</v>
      </c>
      <c r="AX98" s="5">
        <v>1</v>
      </c>
    </row>
    <row r="99" s="5" customFormat="1" customHeight="1" spans="1:50">
      <c r="A99" s="18">
        <v>97</v>
      </c>
      <c r="B99" s="27">
        <v>44296</v>
      </c>
      <c r="C99" s="3" t="s">
        <v>57</v>
      </c>
      <c r="D99" s="23">
        <v>410</v>
      </c>
      <c r="E99" s="3">
        <v>222</v>
      </c>
      <c r="F99" s="3">
        <v>212</v>
      </c>
      <c r="G99" s="5">
        <v>22</v>
      </c>
      <c r="H99" s="3">
        <v>14</v>
      </c>
      <c r="I99" s="5">
        <v>19</v>
      </c>
      <c r="J99" s="3">
        <v>32</v>
      </c>
      <c r="L99" s="3">
        <f t="shared" si="3"/>
        <v>0.541463414634146</v>
      </c>
      <c r="M99" s="5">
        <f t="shared" si="4"/>
        <v>0.51790243902439</v>
      </c>
      <c r="N99" s="5">
        <f t="shared" si="5"/>
        <v>212.34</v>
      </c>
      <c r="R99" s="5">
        <v>2.5</v>
      </c>
      <c r="X99" s="3">
        <f>1.38+28</f>
        <v>29.38</v>
      </c>
      <c r="AB99" s="5">
        <v>116.5</v>
      </c>
      <c r="AF99" s="5">
        <v>5.96</v>
      </c>
      <c r="AQ99" s="5">
        <v>26</v>
      </c>
      <c r="AR99" s="5">
        <v>32</v>
      </c>
      <c r="AT99" s="3">
        <v>20</v>
      </c>
      <c r="AU99" s="5">
        <v>1</v>
      </c>
      <c r="AV99" s="5">
        <v>1</v>
      </c>
      <c r="AW99" s="5">
        <v>0.1</v>
      </c>
      <c r="AX99" s="5">
        <v>1</v>
      </c>
    </row>
    <row r="100" s="5" customFormat="1" customHeight="1" spans="1:50">
      <c r="A100" s="18">
        <v>98</v>
      </c>
      <c r="B100" s="27">
        <v>44296</v>
      </c>
      <c r="C100" s="3" t="s">
        <v>57</v>
      </c>
      <c r="D100" s="23">
        <v>420</v>
      </c>
      <c r="E100" s="3">
        <v>214</v>
      </c>
      <c r="F100" s="3">
        <v>204</v>
      </c>
      <c r="G100" s="5">
        <v>22</v>
      </c>
      <c r="H100" s="3">
        <v>14</v>
      </c>
      <c r="I100" s="5">
        <v>19</v>
      </c>
      <c r="J100" s="3">
        <v>32</v>
      </c>
      <c r="L100" s="3">
        <f t="shared" si="3"/>
        <v>0.509523809523809</v>
      </c>
      <c r="M100" s="5">
        <f t="shared" si="4"/>
        <v>0.989095238095238</v>
      </c>
      <c r="N100" s="5">
        <f t="shared" si="5"/>
        <v>415.42</v>
      </c>
      <c r="P100" s="5">
        <f>13.7+24.5+25.8</f>
        <v>64</v>
      </c>
      <c r="R100" s="5">
        <v>21.5</v>
      </c>
      <c r="U100" s="5">
        <v>4.39</v>
      </c>
      <c r="V100" s="5">
        <f>10.9+8.1+8.66+5.7+4.6+8.97</f>
        <v>46.93</v>
      </c>
      <c r="X100" s="3"/>
      <c r="AB100" s="5">
        <v>240.5</v>
      </c>
      <c r="AC100" s="5">
        <f>9+6.2+21</f>
        <v>36.2</v>
      </c>
      <c r="AG100" s="5">
        <v>1.9</v>
      </c>
      <c r="AT100" s="3">
        <v>20</v>
      </c>
      <c r="AU100" s="5">
        <v>1</v>
      </c>
      <c r="AV100" s="5">
        <v>1</v>
      </c>
      <c r="AW100" s="5">
        <v>0.1</v>
      </c>
      <c r="AX100" s="5">
        <v>1</v>
      </c>
    </row>
    <row r="101" s="5" customFormat="1" customHeight="1" spans="1:50">
      <c r="A101" s="18">
        <v>99</v>
      </c>
      <c r="B101" s="27">
        <v>44298</v>
      </c>
      <c r="C101" s="3" t="s">
        <v>57</v>
      </c>
      <c r="D101" s="23">
        <v>500</v>
      </c>
      <c r="E101" s="3">
        <v>258</v>
      </c>
      <c r="F101" s="3">
        <v>248</v>
      </c>
      <c r="G101" s="5">
        <v>22</v>
      </c>
      <c r="H101" s="3">
        <v>14</v>
      </c>
      <c r="I101" s="5">
        <v>19</v>
      </c>
      <c r="J101" s="3">
        <v>32</v>
      </c>
      <c r="L101" s="3">
        <f t="shared" si="3"/>
        <v>0.516</v>
      </c>
      <c r="M101" s="5">
        <f t="shared" si="4"/>
        <v>0.95628</v>
      </c>
      <c r="N101" s="5">
        <f t="shared" si="5"/>
        <v>478.14</v>
      </c>
      <c r="P101" s="5">
        <v>4</v>
      </c>
      <c r="R101" s="5">
        <v>100</v>
      </c>
      <c r="S101" s="5">
        <v>1.89</v>
      </c>
      <c r="T101" s="5">
        <f>9.56+6.1+9.2+6.9+8.76+10.8+6+8.08+6.9+7.57+5.9+3.4</f>
        <v>89.17</v>
      </c>
      <c r="U101" s="5">
        <v>5.8</v>
      </c>
      <c r="V101" s="5">
        <f>10.9+8.1+8.66+5.7+4.6+8.97</f>
        <v>46.93</v>
      </c>
      <c r="W101" s="5">
        <f>11.7+3+6.76</f>
        <v>21.46</v>
      </c>
      <c r="X101" s="3">
        <v>2.09</v>
      </c>
      <c r="AA101" s="5">
        <v>2.4</v>
      </c>
      <c r="AB101" s="5">
        <v>196</v>
      </c>
      <c r="AE101" s="5">
        <v>4.4</v>
      </c>
      <c r="AR101" s="5">
        <v>4</v>
      </c>
      <c r="AT101" s="3">
        <v>20</v>
      </c>
      <c r="AU101" s="5">
        <v>1</v>
      </c>
      <c r="AV101" s="5">
        <v>1</v>
      </c>
      <c r="AW101" s="5">
        <v>0.1</v>
      </c>
      <c r="AX101" s="5">
        <v>1</v>
      </c>
    </row>
    <row r="102" s="5" customFormat="1" customHeight="1" spans="1:50">
      <c r="A102" s="18">
        <v>100</v>
      </c>
      <c r="B102" s="27">
        <v>44298</v>
      </c>
      <c r="C102" s="3" t="s">
        <v>57</v>
      </c>
      <c r="D102" s="23">
        <v>500</v>
      </c>
      <c r="E102" s="3">
        <v>258</v>
      </c>
      <c r="F102" s="3">
        <v>249</v>
      </c>
      <c r="G102" s="5">
        <v>22</v>
      </c>
      <c r="H102" s="3">
        <v>14</v>
      </c>
      <c r="I102" s="5">
        <v>19</v>
      </c>
      <c r="J102" s="3">
        <v>32</v>
      </c>
      <c r="L102" s="3">
        <f t="shared" si="3"/>
        <v>0.516</v>
      </c>
      <c r="M102" s="5">
        <f t="shared" si="4"/>
        <v>0.4908</v>
      </c>
      <c r="N102" s="5">
        <f t="shared" si="5"/>
        <v>245.4</v>
      </c>
      <c r="R102" s="5">
        <v>62</v>
      </c>
      <c r="T102" s="5">
        <f>11.5+3.9+2.95</f>
        <v>18.35</v>
      </c>
      <c r="U102" s="5">
        <v>2.7</v>
      </c>
      <c r="V102" s="5">
        <v>13.9</v>
      </c>
      <c r="W102" s="5">
        <v>4.7</v>
      </c>
      <c r="X102" s="3"/>
      <c r="AB102" s="5">
        <v>128.09</v>
      </c>
      <c r="AC102" s="5">
        <v>3.5</v>
      </c>
      <c r="AF102" s="5">
        <v>8.66</v>
      </c>
      <c r="AN102" s="5">
        <v>2.47</v>
      </c>
      <c r="AP102" s="5">
        <v>1.03</v>
      </c>
      <c r="AT102" s="3">
        <v>20</v>
      </c>
      <c r="AU102" s="5">
        <v>1</v>
      </c>
      <c r="AV102" s="5">
        <v>1</v>
      </c>
      <c r="AW102" s="5">
        <v>0.1</v>
      </c>
      <c r="AX102" s="5">
        <v>1</v>
      </c>
    </row>
    <row r="103" s="5" customFormat="1" customHeight="1" spans="1:50">
      <c r="A103" s="18">
        <v>101</v>
      </c>
      <c r="B103" s="27">
        <v>44298</v>
      </c>
      <c r="C103" s="3" t="s">
        <v>57</v>
      </c>
      <c r="D103" s="23">
        <v>500</v>
      </c>
      <c r="E103" s="3">
        <v>298</v>
      </c>
      <c r="F103" s="3">
        <v>288</v>
      </c>
      <c r="G103" s="5">
        <v>22</v>
      </c>
      <c r="H103" s="3">
        <v>14</v>
      </c>
      <c r="I103" s="5">
        <v>19</v>
      </c>
      <c r="J103" s="3">
        <v>32</v>
      </c>
      <c r="L103" s="3">
        <f t="shared" si="3"/>
        <v>0.596</v>
      </c>
      <c r="M103" s="5">
        <f t="shared" si="4"/>
        <v>0.68422</v>
      </c>
      <c r="N103" s="5">
        <f t="shared" si="5"/>
        <v>342.11</v>
      </c>
      <c r="R103" s="5">
        <v>101.5</v>
      </c>
      <c r="U103" s="5">
        <f>7.4+6.7</f>
        <v>14.1</v>
      </c>
      <c r="X103" s="3">
        <v>1.16</v>
      </c>
      <c r="AB103" s="5">
        <v>205</v>
      </c>
      <c r="AF103" s="5">
        <v>1.35</v>
      </c>
      <c r="AQ103" s="5">
        <v>5</v>
      </c>
      <c r="AR103" s="5">
        <v>14</v>
      </c>
      <c r="AT103" s="3">
        <v>20</v>
      </c>
      <c r="AU103" s="5">
        <v>1</v>
      </c>
      <c r="AV103" s="5">
        <v>1</v>
      </c>
      <c r="AW103" s="5">
        <v>0.1</v>
      </c>
      <c r="AX103" s="5">
        <v>1</v>
      </c>
    </row>
    <row r="104" s="5" customFormat="1" customHeight="1" spans="1:50">
      <c r="A104" s="18">
        <v>102</v>
      </c>
      <c r="B104" s="27">
        <v>44302</v>
      </c>
      <c r="C104" s="3" t="s">
        <v>54</v>
      </c>
      <c r="D104" s="23">
        <v>800</v>
      </c>
      <c r="E104" s="3">
        <v>420</v>
      </c>
      <c r="F104" s="3">
        <v>410</v>
      </c>
      <c r="G104" s="5">
        <v>22</v>
      </c>
      <c r="H104" s="3">
        <v>35</v>
      </c>
      <c r="I104" s="5">
        <v>40</v>
      </c>
      <c r="J104" s="3">
        <v>50</v>
      </c>
      <c r="L104" s="3">
        <f t="shared" si="3"/>
        <v>0.525</v>
      </c>
      <c r="M104" s="5">
        <f t="shared" si="4"/>
        <v>0.27655</v>
      </c>
      <c r="N104" s="5">
        <f t="shared" si="5"/>
        <v>221.24</v>
      </c>
      <c r="P104" s="5">
        <v>0.55</v>
      </c>
      <c r="R104" s="5">
        <v>15</v>
      </c>
      <c r="U104" s="5">
        <v>3.8</v>
      </c>
      <c r="X104" s="3">
        <v>0.71</v>
      </c>
      <c r="AB104" s="5">
        <v>181.5</v>
      </c>
      <c r="AC104" s="5">
        <v>2.68</v>
      </c>
      <c r="AQ104" s="5">
        <v>5</v>
      </c>
      <c r="AR104" s="5">
        <v>12</v>
      </c>
      <c r="AT104" s="3">
        <v>38</v>
      </c>
      <c r="AU104" s="5">
        <v>1</v>
      </c>
      <c r="AV104" s="5">
        <v>1</v>
      </c>
      <c r="AW104" s="5">
        <v>0.1</v>
      </c>
      <c r="AX104" s="5">
        <v>1</v>
      </c>
    </row>
    <row r="105" s="5" customFormat="1" customHeight="1" spans="1:50">
      <c r="A105" s="18">
        <v>103</v>
      </c>
      <c r="B105" s="27">
        <v>44302</v>
      </c>
      <c r="C105" s="3" t="s">
        <v>54</v>
      </c>
      <c r="D105" s="23">
        <v>800</v>
      </c>
      <c r="E105" s="3">
        <v>475</v>
      </c>
      <c r="F105" s="3">
        <v>465</v>
      </c>
      <c r="G105" s="5">
        <v>22</v>
      </c>
      <c r="H105" s="3">
        <v>35</v>
      </c>
      <c r="I105" s="5">
        <v>40</v>
      </c>
      <c r="J105" s="3">
        <v>50</v>
      </c>
      <c r="L105" s="3">
        <f t="shared" si="3"/>
        <v>0.59375</v>
      </c>
      <c r="M105" s="5">
        <f t="shared" si="4"/>
        <v>0.56285</v>
      </c>
      <c r="N105" s="5">
        <f t="shared" si="5"/>
        <v>450.28</v>
      </c>
      <c r="P105" s="5">
        <f>9.9+18.8+2.51</f>
        <v>31.21</v>
      </c>
      <c r="R105" s="5">
        <v>75</v>
      </c>
      <c r="T105" s="5">
        <f>12.6+13.1+11.7+8.19+7.7+10.5</f>
        <v>63.79</v>
      </c>
      <c r="U105" s="5">
        <v>0.39</v>
      </c>
      <c r="V105" s="5">
        <f>5.79+3.2+8.2+4.1+4.5+6.4</f>
        <v>32.19</v>
      </c>
      <c r="W105" s="5">
        <f>9.5+5.9+3.8+3.5+2.89</f>
        <v>25.59</v>
      </c>
      <c r="X105" s="3">
        <f>2.27+1.67+0.31</f>
        <v>4.25</v>
      </c>
      <c r="Z105" s="5">
        <v>5</v>
      </c>
      <c r="AB105" s="5">
        <v>136</v>
      </c>
      <c r="AC105" s="5">
        <v>3.6</v>
      </c>
      <c r="AE105" s="5">
        <v>18</v>
      </c>
      <c r="AF105" s="5">
        <f>6.48+0.28</f>
        <v>6.76</v>
      </c>
      <c r="AN105" s="5">
        <v>2.3</v>
      </c>
      <c r="AP105" s="5">
        <v>7.2</v>
      </c>
      <c r="AQ105" s="5">
        <v>23</v>
      </c>
      <c r="AR105" s="5">
        <v>16</v>
      </c>
      <c r="AT105" s="3">
        <v>38</v>
      </c>
      <c r="AU105" s="5">
        <v>1</v>
      </c>
      <c r="AV105" s="5">
        <v>1</v>
      </c>
      <c r="AW105" s="5">
        <v>0.1</v>
      </c>
      <c r="AX105" s="5">
        <v>1</v>
      </c>
    </row>
    <row r="106" s="5" customFormat="1" customHeight="1" spans="1:50">
      <c r="A106" s="18">
        <v>104</v>
      </c>
      <c r="B106" s="27">
        <v>44302</v>
      </c>
      <c r="C106" s="3" t="s">
        <v>54</v>
      </c>
      <c r="D106" s="23">
        <v>800</v>
      </c>
      <c r="E106" s="3">
        <v>432</v>
      </c>
      <c r="F106" s="3">
        <v>422</v>
      </c>
      <c r="G106" s="5">
        <v>22</v>
      </c>
      <c r="H106" s="3">
        <v>35</v>
      </c>
      <c r="I106" s="5">
        <v>40</v>
      </c>
      <c r="J106" s="3">
        <v>50</v>
      </c>
      <c r="L106" s="3">
        <f t="shared" si="3"/>
        <v>0.54</v>
      </c>
      <c r="M106" s="5">
        <f t="shared" si="4"/>
        <v>0.6058625</v>
      </c>
      <c r="N106" s="5">
        <f t="shared" si="5"/>
        <v>484.69</v>
      </c>
      <c r="P106" s="5">
        <v>13</v>
      </c>
      <c r="R106" s="5">
        <v>160</v>
      </c>
      <c r="T106" s="5">
        <f>6.77+2.6+1.86</f>
        <v>11.23</v>
      </c>
      <c r="U106" s="5">
        <v>4.99</v>
      </c>
      <c r="X106" s="3">
        <v>8.6</v>
      </c>
      <c r="Z106" s="5">
        <v>9.1</v>
      </c>
      <c r="AB106" s="5">
        <v>231</v>
      </c>
      <c r="AC106" s="5">
        <v>9.4</v>
      </c>
      <c r="AE106" s="5">
        <v>3</v>
      </c>
      <c r="AF106" s="5">
        <v>6.5</v>
      </c>
      <c r="AP106" s="5">
        <v>0.87</v>
      </c>
      <c r="AQ106" s="5">
        <v>3</v>
      </c>
      <c r="AR106" s="5">
        <v>24</v>
      </c>
      <c r="AT106" s="3">
        <v>38</v>
      </c>
      <c r="AU106" s="5">
        <v>1</v>
      </c>
      <c r="AV106" s="5">
        <v>1</v>
      </c>
      <c r="AW106" s="5">
        <v>0.1</v>
      </c>
      <c r="AX106" s="5">
        <v>1</v>
      </c>
    </row>
    <row r="107" s="5" customFormat="1" customHeight="1" spans="1:50">
      <c r="A107" s="18">
        <v>105</v>
      </c>
      <c r="B107" s="27">
        <v>44304</v>
      </c>
      <c r="C107" s="3" t="s">
        <v>54</v>
      </c>
      <c r="D107" s="23">
        <v>700</v>
      </c>
      <c r="E107" s="3">
        <v>375</v>
      </c>
      <c r="F107" s="3">
        <v>365</v>
      </c>
      <c r="G107" s="5">
        <v>22</v>
      </c>
      <c r="H107" s="3">
        <v>35</v>
      </c>
      <c r="I107" s="5">
        <v>40</v>
      </c>
      <c r="J107" s="3">
        <v>45</v>
      </c>
      <c r="L107" s="3">
        <f t="shared" si="3"/>
        <v>0.535714285714286</v>
      </c>
      <c r="M107" s="5">
        <f t="shared" si="4"/>
        <v>0.655028571428572</v>
      </c>
      <c r="N107" s="5">
        <f t="shared" si="5"/>
        <v>458.52</v>
      </c>
      <c r="P107" s="5">
        <v>7.7</v>
      </c>
      <c r="R107" s="5">
        <v>68.5</v>
      </c>
      <c r="T107" s="5">
        <f>4.2+4.37+3.75</f>
        <v>12.32</v>
      </c>
      <c r="U107" s="5">
        <v>13.4</v>
      </c>
      <c r="X107" s="3"/>
      <c r="Z107" s="5">
        <v>3.5</v>
      </c>
      <c r="AB107" s="5">
        <v>316</v>
      </c>
      <c r="AC107" s="5">
        <v>6.1</v>
      </c>
      <c r="AQ107" s="5">
        <v>1</v>
      </c>
      <c r="AR107" s="5">
        <v>30</v>
      </c>
      <c r="AT107" s="3">
        <v>38</v>
      </c>
      <c r="AU107" s="5">
        <v>1</v>
      </c>
      <c r="AV107" s="5">
        <v>1</v>
      </c>
      <c r="AW107" s="5">
        <v>0.1</v>
      </c>
      <c r="AX107" s="5">
        <v>1</v>
      </c>
    </row>
    <row r="108" s="5" customFormat="1" customHeight="1" spans="1:50">
      <c r="A108" s="18">
        <v>106</v>
      </c>
      <c r="B108" s="27">
        <v>44304</v>
      </c>
      <c r="C108" s="3" t="s">
        <v>54</v>
      </c>
      <c r="D108" s="23">
        <v>700</v>
      </c>
      <c r="E108" s="3">
        <v>421</v>
      </c>
      <c r="F108" s="3">
        <v>411</v>
      </c>
      <c r="G108" s="5">
        <v>22</v>
      </c>
      <c r="H108" s="3">
        <v>35</v>
      </c>
      <c r="I108" s="5">
        <v>40</v>
      </c>
      <c r="J108" s="3">
        <v>45</v>
      </c>
      <c r="L108" s="3">
        <f t="shared" si="3"/>
        <v>0.601428571428571</v>
      </c>
      <c r="M108" s="5">
        <f t="shared" si="4"/>
        <v>0.4075</v>
      </c>
      <c r="N108" s="5">
        <f t="shared" si="5"/>
        <v>285.25</v>
      </c>
      <c r="R108" s="5">
        <v>15</v>
      </c>
      <c r="T108" s="5">
        <f>10+6.8+9.9+11.3+7.9+6.19+8.58+8</f>
        <v>68.67</v>
      </c>
      <c r="V108" s="5">
        <f>10.4+3.79+6.1+7.36+6.46</f>
        <v>34.11</v>
      </c>
      <c r="W108" s="5">
        <f>11.4+5.5+9.7</f>
        <v>26.6</v>
      </c>
      <c r="X108" s="3"/>
      <c r="AB108" s="5">
        <v>74</v>
      </c>
      <c r="AC108" s="5">
        <v>34</v>
      </c>
      <c r="AF108" s="5">
        <v>4.87</v>
      </c>
      <c r="AQ108" s="5">
        <v>10</v>
      </c>
      <c r="AR108" s="5">
        <v>18</v>
      </c>
      <c r="AT108" s="3">
        <v>38</v>
      </c>
      <c r="AU108" s="5">
        <v>1</v>
      </c>
      <c r="AV108" s="5">
        <v>1</v>
      </c>
      <c r="AW108" s="5">
        <v>0.1</v>
      </c>
      <c r="AX108" s="5">
        <v>1</v>
      </c>
    </row>
    <row r="109" s="5" customFormat="1" customHeight="1" spans="1:50">
      <c r="A109" s="18">
        <v>107</v>
      </c>
      <c r="B109" s="27">
        <v>44304</v>
      </c>
      <c r="C109" s="3" t="s">
        <v>54</v>
      </c>
      <c r="D109" s="23">
        <v>700</v>
      </c>
      <c r="E109" s="3">
        <v>404</v>
      </c>
      <c r="F109" s="3">
        <v>394</v>
      </c>
      <c r="G109" s="5">
        <v>22</v>
      </c>
      <c r="H109" s="3">
        <v>35</v>
      </c>
      <c r="I109" s="5">
        <v>40</v>
      </c>
      <c r="J109" s="3">
        <v>45</v>
      </c>
      <c r="L109" s="3">
        <f t="shared" si="3"/>
        <v>0.577142857142857</v>
      </c>
      <c r="M109" s="5">
        <f t="shared" si="4"/>
        <v>0.343271428571429</v>
      </c>
      <c r="N109" s="5">
        <f t="shared" si="5"/>
        <v>240.29</v>
      </c>
      <c r="P109" s="5">
        <v>5.6</v>
      </c>
      <c r="R109" s="5">
        <v>2.2</v>
      </c>
      <c r="T109" s="5">
        <f>8.5+9.2+13.5+10.1+7.1+10+8.8</f>
        <v>67.2</v>
      </c>
      <c r="U109" s="5">
        <v>11.1</v>
      </c>
      <c r="V109" s="5">
        <f>11.5+6.6+9.6+8.99</f>
        <v>36.69</v>
      </c>
      <c r="W109" s="5">
        <v>11.5</v>
      </c>
      <c r="X109" s="3">
        <v>3.3</v>
      </c>
      <c r="Y109" s="5">
        <v>6.4</v>
      </c>
      <c r="Z109" s="5">
        <v>1.8</v>
      </c>
      <c r="AA109" s="5">
        <v>17.6</v>
      </c>
      <c r="AC109" s="5">
        <f>25.3+32</f>
        <v>57.3</v>
      </c>
      <c r="AE109" s="5">
        <v>11.6</v>
      </c>
      <c r="AQ109" s="5">
        <v>3</v>
      </c>
      <c r="AR109" s="5">
        <v>5</v>
      </c>
      <c r="AT109" s="3">
        <v>38</v>
      </c>
      <c r="AU109" s="5">
        <v>1</v>
      </c>
      <c r="AV109" s="5">
        <v>1</v>
      </c>
      <c r="AW109" s="5">
        <v>0.1</v>
      </c>
      <c r="AX109" s="5">
        <v>1</v>
      </c>
    </row>
    <row r="110" s="5" customFormat="1" customHeight="1" spans="1:50">
      <c r="A110" s="18">
        <v>108</v>
      </c>
      <c r="B110" s="27">
        <v>44306</v>
      </c>
      <c r="C110" s="3" t="s">
        <v>57</v>
      </c>
      <c r="D110" s="23">
        <v>500</v>
      </c>
      <c r="E110" s="3">
        <v>260</v>
      </c>
      <c r="F110" s="3">
        <v>250</v>
      </c>
      <c r="G110" s="5">
        <v>22</v>
      </c>
      <c r="H110" s="3">
        <v>14</v>
      </c>
      <c r="I110" s="5">
        <v>21</v>
      </c>
      <c r="J110" s="3">
        <v>31</v>
      </c>
      <c r="L110" s="3">
        <f t="shared" si="3"/>
        <v>0.52</v>
      </c>
      <c r="M110" s="5">
        <f t="shared" si="4"/>
        <v>0.8432</v>
      </c>
      <c r="N110" s="5">
        <f t="shared" si="5"/>
        <v>421.6</v>
      </c>
      <c r="P110" s="5">
        <v>18</v>
      </c>
      <c r="R110" s="5">
        <v>14.2</v>
      </c>
      <c r="S110" s="5">
        <v>2.5</v>
      </c>
      <c r="T110" s="5">
        <f>6.4+4+2.7</f>
        <v>13.1</v>
      </c>
      <c r="U110" s="5">
        <v>12</v>
      </c>
      <c r="X110" s="3">
        <v>6.8</v>
      </c>
      <c r="AB110" s="5">
        <v>300</v>
      </c>
      <c r="AC110" s="5">
        <v>4.8</v>
      </c>
      <c r="AE110" s="5">
        <v>4.7</v>
      </c>
      <c r="AQ110" s="5">
        <v>8</v>
      </c>
      <c r="AR110" s="5">
        <v>37.5</v>
      </c>
      <c r="AT110" s="3">
        <v>20</v>
      </c>
      <c r="AU110" s="5">
        <v>1</v>
      </c>
      <c r="AV110" s="5">
        <v>1</v>
      </c>
      <c r="AW110" s="5">
        <v>0.1</v>
      </c>
      <c r="AX110" s="5">
        <v>1</v>
      </c>
    </row>
    <row r="111" s="5" customFormat="1" customHeight="1" spans="1:50">
      <c r="A111" s="18">
        <v>109</v>
      </c>
      <c r="B111" s="27">
        <v>44306</v>
      </c>
      <c r="C111" s="3" t="s">
        <v>57</v>
      </c>
      <c r="D111" s="23">
        <v>500</v>
      </c>
      <c r="E111" s="3">
        <v>263</v>
      </c>
      <c r="F111" s="3">
        <v>253</v>
      </c>
      <c r="G111" s="5">
        <v>22</v>
      </c>
      <c r="H111" s="3">
        <v>14</v>
      </c>
      <c r="I111" s="5">
        <v>21</v>
      </c>
      <c r="J111" s="3">
        <v>31</v>
      </c>
      <c r="L111" s="3">
        <f t="shared" si="3"/>
        <v>0.526</v>
      </c>
      <c r="M111" s="5">
        <f t="shared" si="4"/>
        <v>0.58478</v>
      </c>
      <c r="N111" s="5">
        <f t="shared" si="5"/>
        <v>292.39</v>
      </c>
      <c r="P111" s="5">
        <f>29.7+8.4</f>
        <v>38.1</v>
      </c>
      <c r="R111" s="5">
        <v>40</v>
      </c>
      <c r="T111" s="5">
        <v>15.5</v>
      </c>
      <c r="U111" s="5">
        <v>6.3</v>
      </c>
      <c r="W111" s="5">
        <v>7.8</v>
      </c>
      <c r="X111" s="3">
        <v>4.82</v>
      </c>
      <c r="AB111" s="5">
        <v>150</v>
      </c>
      <c r="AE111" s="5">
        <v>4.87</v>
      </c>
      <c r="AQ111" s="5">
        <v>2</v>
      </c>
      <c r="AR111" s="5">
        <v>23</v>
      </c>
      <c r="AT111" s="3">
        <v>20</v>
      </c>
      <c r="AU111" s="5">
        <v>1</v>
      </c>
      <c r="AV111" s="5">
        <v>1</v>
      </c>
      <c r="AW111" s="5">
        <v>0.1</v>
      </c>
      <c r="AX111" s="5">
        <v>1</v>
      </c>
    </row>
    <row r="112" s="5" customFormat="1" customHeight="1" spans="1:50">
      <c r="A112" s="18">
        <v>110</v>
      </c>
      <c r="B112" s="27">
        <v>44306</v>
      </c>
      <c r="C112" s="3" t="s">
        <v>57</v>
      </c>
      <c r="D112" s="23">
        <v>500</v>
      </c>
      <c r="E112" s="3">
        <v>265</v>
      </c>
      <c r="F112" s="3">
        <v>255</v>
      </c>
      <c r="G112" s="5">
        <v>22</v>
      </c>
      <c r="H112" s="3">
        <v>14</v>
      </c>
      <c r="I112" s="5">
        <v>21</v>
      </c>
      <c r="J112" s="3">
        <v>31</v>
      </c>
      <c r="L112" s="3">
        <f t="shared" si="3"/>
        <v>0.53</v>
      </c>
      <c r="M112" s="5">
        <f t="shared" si="4"/>
        <v>0.8</v>
      </c>
      <c r="N112" s="5">
        <f t="shared" si="5"/>
        <v>400</v>
      </c>
      <c r="P112" s="5">
        <v>5.87</v>
      </c>
      <c r="R112" s="5">
        <v>23.8</v>
      </c>
      <c r="T112" s="5">
        <f>30+33.7+4.93</f>
        <v>68.63</v>
      </c>
      <c r="V112" s="5">
        <f>38+6.7+6.1</f>
        <v>50.8</v>
      </c>
      <c r="W112" s="5">
        <v>40.6</v>
      </c>
      <c r="X112" s="3"/>
      <c r="AB112" s="5">
        <v>200</v>
      </c>
      <c r="AE112" s="5">
        <v>8.3</v>
      </c>
      <c r="AR112" s="5">
        <v>2</v>
      </c>
      <c r="AT112" s="3">
        <v>20</v>
      </c>
      <c r="AU112" s="5">
        <v>1</v>
      </c>
      <c r="AV112" s="5">
        <v>1</v>
      </c>
      <c r="AW112" s="5">
        <v>0.1</v>
      </c>
      <c r="AX112" s="5">
        <v>1</v>
      </c>
    </row>
    <row r="113" s="5" customFormat="1" customHeight="1" spans="1:50">
      <c r="A113" s="18">
        <v>111</v>
      </c>
      <c r="B113" s="27">
        <v>44308</v>
      </c>
      <c r="C113" s="3" t="s">
        <v>55</v>
      </c>
      <c r="D113" s="23">
        <v>900</v>
      </c>
      <c r="E113" s="3">
        <v>450</v>
      </c>
      <c r="F113" s="3">
        <v>438</v>
      </c>
      <c r="G113" s="5">
        <v>22</v>
      </c>
      <c r="H113" s="3">
        <v>35</v>
      </c>
      <c r="I113" s="5">
        <v>50</v>
      </c>
      <c r="J113" s="3">
        <v>55</v>
      </c>
      <c r="L113" s="3">
        <f t="shared" si="3"/>
        <v>0.5</v>
      </c>
      <c r="M113" s="5">
        <f t="shared" si="4"/>
        <v>0.0824444444444444</v>
      </c>
      <c r="N113" s="5">
        <f t="shared" si="5"/>
        <v>74.2</v>
      </c>
      <c r="R113" s="5">
        <v>13.5</v>
      </c>
      <c r="T113" s="5">
        <v>10.4</v>
      </c>
      <c r="V113" s="5">
        <v>10.3</v>
      </c>
      <c r="X113" s="3"/>
      <c r="AR113" s="5">
        <v>40</v>
      </c>
      <c r="AT113" s="3">
        <v>96</v>
      </c>
      <c r="AU113" s="5">
        <v>0</v>
      </c>
      <c r="AV113" s="5">
        <v>1</v>
      </c>
      <c r="AW113" s="5">
        <v>0.1</v>
      </c>
      <c r="AX113" s="5">
        <v>1</v>
      </c>
    </row>
    <row r="114" s="5" customFormat="1" customHeight="1" spans="1:50">
      <c r="A114" s="18">
        <v>112</v>
      </c>
      <c r="B114" s="27">
        <v>44308</v>
      </c>
      <c r="C114" s="3" t="s">
        <v>57</v>
      </c>
      <c r="D114" s="23">
        <v>700</v>
      </c>
      <c r="E114" s="3">
        <v>390</v>
      </c>
      <c r="F114" s="3">
        <v>380</v>
      </c>
      <c r="G114" s="5">
        <v>22</v>
      </c>
      <c r="H114" s="3">
        <v>30</v>
      </c>
      <c r="I114" s="5">
        <v>40</v>
      </c>
      <c r="J114" s="3">
        <v>43</v>
      </c>
      <c r="L114" s="3">
        <f t="shared" si="3"/>
        <v>0.557142857142857</v>
      </c>
      <c r="M114" s="5">
        <f t="shared" si="4"/>
        <v>0.0343571428571429</v>
      </c>
      <c r="N114" s="5">
        <f t="shared" si="5"/>
        <v>24.05</v>
      </c>
      <c r="R114" s="5">
        <v>4</v>
      </c>
      <c r="T114" s="5">
        <v>12.8</v>
      </c>
      <c r="X114" s="3"/>
      <c r="Z114" s="5">
        <v>7.25</v>
      </c>
      <c r="AT114" s="3">
        <v>38</v>
      </c>
      <c r="AU114" s="5">
        <v>1</v>
      </c>
      <c r="AV114" s="5">
        <v>1</v>
      </c>
      <c r="AW114" s="5">
        <v>0.1</v>
      </c>
      <c r="AX114" s="5">
        <v>1</v>
      </c>
    </row>
    <row r="115" s="5" customFormat="1" customHeight="1" spans="1:50">
      <c r="A115" s="18">
        <v>113</v>
      </c>
      <c r="B115" s="27">
        <v>44310</v>
      </c>
      <c r="C115" s="3" t="s">
        <v>54</v>
      </c>
      <c r="D115" s="23">
        <v>680</v>
      </c>
      <c r="E115" s="3">
        <v>366</v>
      </c>
      <c r="F115" s="3">
        <v>358</v>
      </c>
      <c r="G115" s="5">
        <v>22</v>
      </c>
      <c r="H115" s="3">
        <v>30</v>
      </c>
      <c r="I115" s="5">
        <v>40</v>
      </c>
      <c r="J115" s="3">
        <v>43</v>
      </c>
      <c r="L115" s="3">
        <f t="shared" si="3"/>
        <v>0.538235294117647</v>
      </c>
      <c r="M115" s="5">
        <f t="shared" si="4"/>
        <v>0.0111029411764706</v>
      </c>
      <c r="N115" s="5">
        <f t="shared" si="5"/>
        <v>7.55</v>
      </c>
      <c r="R115" s="5">
        <v>7.55</v>
      </c>
      <c r="X115" s="3"/>
      <c r="AT115" s="3">
        <v>38</v>
      </c>
      <c r="AU115" s="5">
        <v>1</v>
      </c>
      <c r="AV115" s="5">
        <v>1</v>
      </c>
      <c r="AW115" s="5">
        <v>0.1</v>
      </c>
      <c r="AX115" s="5">
        <v>1</v>
      </c>
    </row>
    <row r="116" s="5" customFormat="1" customHeight="1" spans="1:50">
      <c r="A116" s="18">
        <v>114</v>
      </c>
      <c r="B116" s="27">
        <v>44310</v>
      </c>
      <c r="C116" s="3" t="s">
        <v>54</v>
      </c>
      <c r="D116" s="23">
        <v>680</v>
      </c>
      <c r="E116" s="3">
        <v>407</v>
      </c>
      <c r="F116" s="3">
        <v>397</v>
      </c>
      <c r="G116" s="5">
        <v>22</v>
      </c>
      <c r="H116" s="3">
        <v>30</v>
      </c>
      <c r="I116" s="5">
        <v>40</v>
      </c>
      <c r="J116" s="3">
        <v>43</v>
      </c>
      <c r="L116" s="3">
        <f t="shared" si="3"/>
        <v>0.598529411764706</v>
      </c>
      <c r="M116" s="5">
        <f t="shared" si="4"/>
        <v>1.43014705882353</v>
      </c>
      <c r="N116" s="5">
        <f t="shared" si="5"/>
        <v>972.5</v>
      </c>
      <c r="P116" s="5">
        <v>120</v>
      </c>
      <c r="R116" s="5">
        <v>80</v>
      </c>
      <c r="T116" s="5">
        <v>180</v>
      </c>
      <c r="V116" s="5">
        <v>120</v>
      </c>
      <c r="W116" s="5">
        <v>120</v>
      </c>
      <c r="X116" s="3">
        <v>30</v>
      </c>
      <c r="AA116" s="5">
        <v>60</v>
      </c>
      <c r="AC116" s="5">
        <v>80</v>
      </c>
      <c r="AF116" s="5">
        <v>25</v>
      </c>
      <c r="AG116" s="5">
        <v>7.5</v>
      </c>
      <c r="AQ116" s="5">
        <v>30</v>
      </c>
      <c r="AR116" s="5">
        <v>120</v>
      </c>
      <c r="AT116" s="3">
        <v>38</v>
      </c>
      <c r="AU116" s="5">
        <v>1</v>
      </c>
      <c r="AV116" s="5">
        <v>1</v>
      </c>
      <c r="AW116" s="5">
        <v>0.1</v>
      </c>
      <c r="AX116" s="5">
        <v>1</v>
      </c>
    </row>
    <row r="117" s="5" customFormat="1" customHeight="1" spans="1:50">
      <c r="A117" s="18">
        <v>115</v>
      </c>
      <c r="B117" s="27">
        <v>44310</v>
      </c>
      <c r="C117" s="3" t="s">
        <v>54</v>
      </c>
      <c r="D117" s="23">
        <v>670</v>
      </c>
      <c r="E117" s="3">
        <v>383</v>
      </c>
      <c r="F117" s="3">
        <v>373</v>
      </c>
      <c r="G117" s="5">
        <v>22</v>
      </c>
      <c r="H117" s="3">
        <v>30</v>
      </c>
      <c r="I117" s="5">
        <v>40</v>
      </c>
      <c r="J117" s="3">
        <v>43</v>
      </c>
      <c r="L117" s="3">
        <f t="shared" si="3"/>
        <v>0.571641791044776</v>
      </c>
      <c r="M117" s="5">
        <f t="shared" si="4"/>
        <v>0.462686567164179</v>
      </c>
      <c r="N117" s="5">
        <f t="shared" si="5"/>
        <v>310</v>
      </c>
      <c r="P117" s="5">
        <v>40</v>
      </c>
      <c r="R117" s="5">
        <v>40</v>
      </c>
      <c r="X117" s="3">
        <v>30</v>
      </c>
      <c r="AQ117" s="5">
        <v>50</v>
      </c>
      <c r="AR117" s="5">
        <v>150</v>
      </c>
      <c r="AT117" s="3">
        <v>38</v>
      </c>
      <c r="AU117" s="5">
        <v>1</v>
      </c>
      <c r="AV117" s="5">
        <v>1</v>
      </c>
      <c r="AW117" s="5">
        <v>0.1</v>
      </c>
      <c r="AX117" s="5">
        <v>1</v>
      </c>
    </row>
    <row r="118" s="5" customFormat="1" customHeight="1" spans="1:50">
      <c r="A118" s="18">
        <v>116</v>
      </c>
      <c r="B118" s="27">
        <v>44310</v>
      </c>
      <c r="C118" s="3" t="s">
        <v>54</v>
      </c>
      <c r="D118" s="23">
        <v>670</v>
      </c>
      <c r="E118" s="3">
        <v>410</v>
      </c>
      <c r="F118" s="3">
        <v>400</v>
      </c>
      <c r="G118" s="5">
        <v>22</v>
      </c>
      <c r="H118" s="3">
        <v>30</v>
      </c>
      <c r="I118" s="5">
        <v>40</v>
      </c>
      <c r="J118" s="3">
        <v>43</v>
      </c>
      <c r="L118" s="3">
        <f t="shared" si="3"/>
        <v>0.611940298507463</v>
      </c>
      <c r="M118" s="5">
        <f t="shared" si="4"/>
        <v>0.103731343283582</v>
      </c>
      <c r="N118" s="5">
        <f t="shared" si="5"/>
        <v>69.5</v>
      </c>
      <c r="R118" s="5">
        <v>15</v>
      </c>
      <c r="V118" s="5">
        <v>54.5</v>
      </c>
      <c r="X118" s="3"/>
      <c r="AT118" s="3">
        <v>38</v>
      </c>
      <c r="AU118" s="5">
        <v>1</v>
      </c>
      <c r="AV118" s="5">
        <v>1</v>
      </c>
      <c r="AW118" s="5">
        <v>0.1</v>
      </c>
      <c r="AX118" s="5">
        <v>1</v>
      </c>
    </row>
    <row r="119" s="5" customFormat="1" customHeight="1" spans="1:50">
      <c r="A119" s="18">
        <v>117</v>
      </c>
      <c r="B119" s="27">
        <v>44312</v>
      </c>
      <c r="C119" s="3" t="s">
        <v>57</v>
      </c>
      <c r="D119" s="23">
        <v>680</v>
      </c>
      <c r="E119" s="3">
        <v>410</v>
      </c>
      <c r="F119" s="3">
        <v>400</v>
      </c>
      <c r="G119" s="5">
        <v>22</v>
      </c>
      <c r="H119" s="3">
        <v>30</v>
      </c>
      <c r="I119" s="5">
        <v>40</v>
      </c>
      <c r="J119" s="3">
        <v>32</v>
      </c>
      <c r="L119" s="3">
        <f t="shared" si="3"/>
        <v>0.602941176470588</v>
      </c>
      <c r="M119" s="5">
        <f t="shared" si="4"/>
        <v>0.441176470588235</v>
      </c>
      <c r="N119" s="5">
        <f t="shared" si="5"/>
        <v>300</v>
      </c>
      <c r="V119" s="5">
        <v>100</v>
      </c>
      <c r="X119" s="3">
        <v>100</v>
      </c>
      <c r="Y119" s="5">
        <v>50</v>
      </c>
      <c r="Z119" s="5">
        <v>50</v>
      </c>
      <c r="AT119" s="3">
        <v>20</v>
      </c>
      <c r="AU119" s="5">
        <v>1</v>
      </c>
      <c r="AV119" s="5">
        <v>1</v>
      </c>
      <c r="AW119" s="5">
        <v>0.1</v>
      </c>
      <c r="AX119" s="5">
        <v>1</v>
      </c>
    </row>
    <row r="120" s="5" customFormat="1" customHeight="1" spans="1:50">
      <c r="A120" s="18">
        <v>118</v>
      </c>
      <c r="B120" s="27">
        <v>44312</v>
      </c>
      <c r="C120" s="3" t="s">
        <v>57</v>
      </c>
      <c r="D120" s="23">
        <v>720</v>
      </c>
      <c r="E120" s="3">
        <v>422</v>
      </c>
      <c r="F120" s="3">
        <v>412</v>
      </c>
      <c r="G120" s="5">
        <v>22</v>
      </c>
      <c r="H120" s="3">
        <v>30</v>
      </c>
      <c r="I120" s="5">
        <v>40</v>
      </c>
      <c r="J120" s="3">
        <v>32</v>
      </c>
      <c r="L120" s="3">
        <f t="shared" si="3"/>
        <v>0.586111111111111</v>
      </c>
      <c r="M120" s="5">
        <f t="shared" si="4"/>
        <v>0</v>
      </c>
      <c r="N120" s="5">
        <f t="shared" si="5"/>
        <v>0</v>
      </c>
      <c r="X120" s="3"/>
      <c r="AT120" s="3">
        <v>20</v>
      </c>
      <c r="AU120" s="5">
        <v>1</v>
      </c>
      <c r="AV120" s="5">
        <v>1</v>
      </c>
      <c r="AW120" s="5">
        <v>0.1</v>
      </c>
      <c r="AX120" s="5">
        <v>1</v>
      </c>
    </row>
    <row r="121" s="5" customFormat="1" customHeight="1" spans="1:50">
      <c r="A121" s="18">
        <v>119</v>
      </c>
      <c r="B121" s="27">
        <v>44312</v>
      </c>
      <c r="C121" s="3" t="s">
        <v>57</v>
      </c>
      <c r="D121" s="23">
        <v>600</v>
      </c>
      <c r="E121" s="3">
        <v>322.5</v>
      </c>
      <c r="F121" s="3">
        <v>312</v>
      </c>
      <c r="G121" s="5">
        <v>22</v>
      </c>
      <c r="H121" s="3">
        <v>30</v>
      </c>
      <c r="I121" s="5">
        <v>34</v>
      </c>
      <c r="J121" s="3">
        <v>32</v>
      </c>
      <c r="L121" s="3">
        <f t="shared" si="3"/>
        <v>0.5375</v>
      </c>
      <c r="M121" s="5">
        <f t="shared" si="4"/>
        <v>0</v>
      </c>
      <c r="N121" s="5">
        <f t="shared" si="5"/>
        <v>0</v>
      </c>
      <c r="X121" s="3"/>
      <c r="AT121" s="3">
        <v>20</v>
      </c>
      <c r="AU121" s="5">
        <v>1</v>
      </c>
      <c r="AV121" s="5">
        <v>1</v>
      </c>
      <c r="AW121" s="5">
        <v>0.1</v>
      </c>
      <c r="AX121" s="5">
        <v>1</v>
      </c>
    </row>
    <row r="122" s="5" customFormat="1" customHeight="1" spans="1:50">
      <c r="A122" s="18">
        <v>120</v>
      </c>
      <c r="B122" s="27">
        <v>44313</v>
      </c>
      <c r="C122" s="3" t="s">
        <v>57</v>
      </c>
      <c r="D122" s="23">
        <v>510</v>
      </c>
      <c r="E122" s="3">
        <v>240</v>
      </c>
      <c r="F122" s="3">
        <v>232</v>
      </c>
      <c r="G122" s="5">
        <v>22</v>
      </c>
      <c r="H122" s="3">
        <v>30</v>
      </c>
      <c r="I122" s="5">
        <v>20</v>
      </c>
      <c r="J122" s="3">
        <v>32</v>
      </c>
      <c r="L122" s="3">
        <f t="shared" si="3"/>
        <v>0.470588235294118</v>
      </c>
      <c r="M122" s="5">
        <f t="shared" si="4"/>
        <v>0</v>
      </c>
      <c r="N122" s="5">
        <f t="shared" si="5"/>
        <v>0</v>
      </c>
      <c r="X122" s="3"/>
      <c r="AT122" s="3">
        <v>20</v>
      </c>
      <c r="AU122" s="5">
        <v>1</v>
      </c>
      <c r="AV122" s="5">
        <v>1</v>
      </c>
      <c r="AW122" s="5">
        <v>0.1</v>
      </c>
      <c r="AX122" s="5">
        <v>1</v>
      </c>
    </row>
    <row r="123" s="5" customFormat="1" customHeight="1" spans="1:50">
      <c r="A123" s="18">
        <v>121</v>
      </c>
      <c r="B123" s="27">
        <v>44313</v>
      </c>
      <c r="C123" s="3" t="s">
        <v>57</v>
      </c>
      <c r="D123" s="23">
        <v>500</v>
      </c>
      <c r="E123" s="3">
        <v>280</v>
      </c>
      <c r="F123" s="3">
        <v>270</v>
      </c>
      <c r="G123" s="5">
        <v>22</v>
      </c>
      <c r="H123" s="3">
        <v>30</v>
      </c>
      <c r="I123" s="5">
        <v>20</v>
      </c>
      <c r="J123" s="3">
        <v>32</v>
      </c>
      <c r="L123" s="3">
        <f t="shared" si="3"/>
        <v>0.56</v>
      </c>
      <c r="M123" s="5">
        <f t="shared" si="4"/>
        <v>0</v>
      </c>
      <c r="N123" s="5">
        <f t="shared" si="5"/>
        <v>0</v>
      </c>
      <c r="X123" s="3"/>
      <c r="AT123" s="3">
        <v>20</v>
      </c>
      <c r="AU123" s="5">
        <v>1</v>
      </c>
      <c r="AV123" s="5">
        <v>1</v>
      </c>
      <c r="AW123" s="5">
        <v>0.1</v>
      </c>
      <c r="AX123" s="5">
        <v>1</v>
      </c>
    </row>
    <row r="124" s="5" customFormat="1" customHeight="1" spans="1:50">
      <c r="A124" s="18">
        <v>122</v>
      </c>
      <c r="B124" s="27">
        <v>44313</v>
      </c>
      <c r="C124" s="3" t="s">
        <v>57</v>
      </c>
      <c r="D124" s="23">
        <v>520</v>
      </c>
      <c r="E124" s="3">
        <v>296</v>
      </c>
      <c r="F124" s="3">
        <v>286</v>
      </c>
      <c r="G124" s="5">
        <v>22</v>
      </c>
      <c r="H124" s="3">
        <v>30</v>
      </c>
      <c r="I124" s="5">
        <v>20</v>
      </c>
      <c r="J124" s="3">
        <v>32</v>
      </c>
      <c r="L124" s="3">
        <f t="shared" si="3"/>
        <v>0.569230769230769</v>
      </c>
      <c r="M124" s="5">
        <f t="shared" si="4"/>
        <v>0</v>
      </c>
      <c r="N124" s="5">
        <f t="shared" si="5"/>
        <v>0</v>
      </c>
      <c r="X124" s="3"/>
      <c r="AT124" s="3">
        <v>20</v>
      </c>
      <c r="AU124" s="5">
        <v>1</v>
      </c>
      <c r="AV124" s="5">
        <v>1</v>
      </c>
      <c r="AW124" s="5">
        <v>0.1</v>
      </c>
      <c r="AX124" s="5">
        <v>1</v>
      </c>
    </row>
    <row r="125" s="5" customFormat="1" customHeight="1" spans="1:50">
      <c r="A125" s="18">
        <v>123</v>
      </c>
      <c r="B125" s="27">
        <v>44313</v>
      </c>
      <c r="C125" s="3" t="s">
        <v>57</v>
      </c>
      <c r="D125" s="23">
        <v>520</v>
      </c>
      <c r="E125" s="3">
        <v>293</v>
      </c>
      <c r="F125" s="3">
        <v>284</v>
      </c>
      <c r="G125" s="5">
        <v>22</v>
      </c>
      <c r="H125" s="3">
        <v>30</v>
      </c>
      <c r="I125" s="5">
        <v>20</v>
      </c>
      <c r="J125" s="3">
        <v>32</v>
      </c>
      <c r="L125" s="3">
        <f t="shared" si="3"/>
        <v>0.563461538461538</v>
      </c>
      <c r="M125" s="5">
        <f t="shared" si="4"/>
        <v>0</v>
      </c>
      <c r="N125" s="5">
        <f t="shared" si="5"/>
        <v>0</v>
      </c>
      <c r="X125" s="3"/>
      <c r="AT125" s="3">
        <v>20</v>
      </c>
      <c r="AU125" s="5">
        <v>1</v>
      </c>
      <c r="AV125" s="5">
        <v>1</v>
      </c>
      <c r="AW125" s="5">
        <v>0.1</v>
      </c>
      <c r="AX125" s="5">
        <v>1</v>
      </c>
    </row>
    <row r="126" s="7" customFormat="1" customHeight="1" spans="1:50">
      <c r="A126" s="18">
        <v>124</v>
      </c>
      <c r="B126" s="34">
        <v>44320</v>
      </c>
      <c r="C126" s="35" t="s">
        <v>57</v>
      </c>
      <c r="D126" s="40">
        <f t="shared" ref="D126:D129" si="6">2350/4</f>
        <v>587.5</v>
      </c>
      <c r="E126" s="36">
        <v>315</v>
      </c>
      <c r="F126" s="35">
        <v>305</v>
      </c>
      <c r="G126" s="35">
        <v>27.5</v>
      </c>
      <c r="H126" s="35">
        <v>35</v>
      </c>
      <c r="I126" s="35">
        <v>42</v>
      </c>
      <c r="J126" s="36">
        <v>45</v>
      </c>
      <c r="K126" s="37"/>
      <c r="L126" s="20">
        <f t="shared" si="3"/>
        <v>0.536170212765957</v>
      </c>
      <c r="M126" s="5">
        <f t="shared" si="4"/>
        <v>0.264731914893617</v>
      </c>
      <c r="N126" s="35">
        <f t="shared" si="5"/>
        <v>155.53</v>
      </c>
      <c r="O126" s="35"/>
      <c r="P126" s="35">
        <f>1.28+7.25</f>
        <v>8.53</v>
      </c>
      <c r="Q126" s="35"/>
      <c r="R126" s="35">
        <f>5+27.5</f>
        <v>32.5</v>
      </c>
      <c r="S126" s="35"/>
      <c r="T126" s="35"/>
      <c r="U126" s="35">
        <v>4.8</v>
      </c>
      <c r="V126" s="35">
        <v>5.5</v>
      </c>
      <c r="W126" s="35"/>
      <c r="X126" s="36">
        <f>6+4.78</f>
        <v>10.78</v>
      </c>
      <c r="Y126" s="35"/>
      <c r="Z126" s="35">
        <f>5.4+6.9</f>
        <v>12.3</v>
      </c>
      <c r="AA126" s="35">
        <v>4.6</v>
      </c>
      <c r="AB126" s="35">
        <v>67</v>
      </c>
      <c r="AC126" s="35"/>
      <c r="AD126" s="35"/>
      <c r="AE126" s="35">
        <f>7.65+1.87</f>
        <v>9.52</v>
      </c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6">
        <v>35</v>
      </c>
      <c r="AU126" s="35">
        <v>1</v>
      </c>
      <c r="AV126" s="35">
        <v>1</v>
      </c>
      <c r="AW126" s="35">
        <v>0.1</v>
      </c>
      <c r="AX126" s="35">
        <v>1</v>
      </c>
    </row>
    <row r="127" s="7" customFormat="1" customHeight="1" spans="1:50">
      <c r="A127" s="18">
        <v>125</v>
      </c>
      <c r="B127" s="34">
        <v>44320</v>
      </c>
      <c r="C127" s="35" t="s">
        <v>57</v>
      </c>
      <c r="D127" s="40">
        <f t="shared" si="6"/>
        <v>587.5</v>
      </c>
      <c r="E127" s="36">
        <v>291</v>
      </c>
      <c r="F127" s="35">
        <v>281</v>
      </c>
      <c r="G127" s="35">
        <v>27.5</v>
      </c>
      <c r="H127" s="35">
        <v>35</v>
      </c>
      <c r="I127" s="35">
        <v>42</v>
      </c>
      <c r="J127" s="36">
        <v>45</v>
      </c>
      <c r="K127" s="37"/>
      <c r="L127" s="20">
        <f t="shared" si="3"/>
        <v>0.49531914893617</v>
      </c>
      <c r="M127" s="5">
        <f t="shared" si="4"/>
        <v>0.893889361702127</v>
      </c>
      <c r="N127" s="35">
        <f t="shared" si="5"/>
        <v>525.16</v>
      </c>
      <c r="O127" s="35"/>
      <c r="P127" s="35">
        <f>6+18.6</f>
        <v>24.6</v>
      </c>
      <c r="Q127" s="35"/>
      <c r="R127" s="35">
        <f>56+7.5+27.5</f>
        <v>91</v>
      </c>
      <c r="S127" s="35"/>
      <c r="T127" s="35">
        <f>9.5+5.3+6.2+13.5+9.69+11.8+3.39+9.1+4.6+4.26+2.6</f>
        <v>79.94</v>
      </c>
      <c r="U127" s="35"/>
      <c r="V127" s="35">
        <f>7.2+8.68+7.1+8.3+5.38+6.6</f>
        <v>43.26</v>
      </c>
      <c r="W127" s="35">
        <f>5.5+11.8+6</f>
        <v>23.3</v>
      </c>
      <c r="X127" s="36">
        <v>5</v>
      </c>
      <c r="Y127" s="35"/>
      <c r="Z127" s="35"/>
      <c r="AA127" s="35"/>
      <c r="AB127" s="35">
        <v>162.5</v>
      </c>
      <c r="AC127" s="35">
        <v>13.7</v>
      </c>
      <c r="AD127" s="35"/>
      <c r="AE127" s="35"/>
      <c r="AF127" s="35">
        <f>4.32+1.96</f>
        <v>6.28</v>
      </c>
      <c r="AG127" s="35"/>
      <c r="AH127" s="35"/>
      <c r="AI127" s="35"/>
      <c r="AJ127" s="35"/>
      <c r="AK127" s="35"/>
      <c r="AL127" s="35"/>
      <c r="AM127" s="35"/>
      <c r="AN127" s="35">
        <v>2.58</v>
      </c>
      <c r="AO127" s="35"/>
      <c r="AP127" s="35"/>
      <c r="AQ127" s="35">
        <f>6+9+2+1</f>
        <v>18</v>
      </c>
      <c r="AR127" s="35">
        <f>43+1+11</f>
        <v>55</v>
      </c>
      <c r="AS127" s="35"/>
      <c r="AT127" s="36">
        <v>35</v>
      </c>
      <c r="AU127" s="35">
        <v>1</v>
      </c>
      <c r="AV127" s="35">
        <v>1</v>
      </c>
      <c r="AW127" s="35">
        <v>0.1</v>
      </c>
      <c r="AX127" s="35">
        <v>1</v>
      </c>
    </row>
    <row r="128" s="7" customFormat="1" customHeight="1" spans="1:50">
      <c r="A128" s="18">
        <v>126</v>
      </c>
      <c r="B128" s="34">
        <v>44320</v>
      </c>
      <c r="C128" s="35" t="s">
        <v>57</v>
      </c>
      <c r="D128" s="40">
        <f t="shared" si="6"/>
        <v>587.5</v>
      </c>
      <c r="E128" s="36">
        <v>365</v>
      </c>
      <c r="F128" s="35">
        <v>355</v>
      </c>
      <c r="G128" s="35">
        <v>27.5</v>
      </c>
      <c r="H128" s="35">
        <v>35</v>
      </c>
      <c r="I128" s="35">
        <v>42</v>
      </c>
      <c r="J128" s="36">
        <v>45</v>
      </c>
      <c r="K128" s="37"/>
      <c r="L128" s="20">
        <f t="shared" si="3"/>
        <v>0.621276595744681</v>
      </c>
      <c r="M128" s="5">
        <f t="shared" si="4"/>
        <v>0.31131914893617</v>
      </c>
      <c r="N128" s="35">
        <f t="shared" si="5"/>
        <v>182.9</v>
      </c>
      <c r="O128" s="35"/>
      <c r="P128" s="35"/>
      <c r="Q128" s="35"/>
      <c r="R128" s="35">
        <v>29</v>
      </c>
      <c r="S128" s="35"/>
      <c r="T128" s="35"/>
      <c r="U128" s="35"/>
      <c r="V128" s="35">
        <v>4.73</v>
      </c>
      <c r="W128" s="35"/>
      <c r="X128" s="36">
        <f>0.4+1.65+1.12</f>
        <v>3.17</v>
      </c>
      <c r="Y128" s="35"/>
      <c r="Z128" s="35"/>
      <c r="AA128" s="35"/>
      <c r="AB128" s="35">
        <v>146</v>
      </c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6">
        <v>35</v>
      </c>
      <c r="AU128" s="35">
        <v>0</v>
      </c>
      <c r="AV128" s="35">
        <v>1</v>
      </c>
      <c r="AW128" s="35">
        <v>0.1</v>
      </c>
      <c r="AX128" s="35">
        <v>1</v>
      </c>
    </row>
    <row r="129" s="7" customFormat="1" customHeight="1" spans="1:50">
      <c r="A129" s="18">
        <v>127</v>
      </c>
      <c r="B129" s="34">
        <v>44320</v>
      </c>
      <c r="C129" s="35" t="s">
        <v>57</v>
      </c>
      <c r="D129" s="40">
        <f t="shared" si="6"/>
        <v>587.5</v>
      </c>
      <c r="E129" s="36">
        <v>394.5</v>
      </c>
      <c r="F129" s="35">
        <f t="shared" ref="F129:F133" si="7">E129-10</f>
        <v>384.5</v>
      </c>
      <c r="G129" s="35">
        <v>27.5</v>
      </c>
      <c r="H129" s="35">
        <v>35</v>
      </c>
      <c r="I129" s="35">
        <v>42</v>
      </c>
      <c r="J129" s="36">
        <v>45</v>
      </c>
      <c r="K129" s="37"/>
      <c r="L129" s="20">
        <f t="shared" si="3"/>
        <v>0.671489361702128</v>
      </c>
      <c r="M129" s="5">
        <f t="shared" si="4"/>
        <v>0.343523404255319</v>
      </c>
      <c r="N129" s="35">
        <f t="shared" si="5"/>
        <v>201.82</v>
      </c>
      <c r="O129" s="35"/>
      <c r="P129" s="35">
        <f>7.5+5.1</f>
        <v>12.6</v>
      </c>
      <c r="Q129" s="35"/>
      <c r="R129" s="35">
        <f>10+15</f>
        <v>25</v>
      </c>
      <c r="S129" s="35">
        <v>1.19</v>
      </c>
      <c r="T129" s="35">
        <f>8.2+7.92+5.89+1</f>
        <v>23.01</v>
      </c>
      <c r="U129" s="35">
        <v>4.85</v>
      </c>
      <c r="V129" s="35">
        <f>12.4</f>
        <v>12.4</v>
      </c>
      <c r="W129" s="35">
        <v>4.89</v>
      </c>
      <c r="X129" s="36">
        <v>5.9</v>
      </c>
      <c r="Y129" s="35">
        <v>5.1</v>
      </c>
      <c r="Z129" s="35"/>
      <c r="AA129" s="35"/>
      <c r="AB129" s="35">
        <v>102.5</v>
      </c>
      <c r="AC129" s="35">
        <v>2.7</v>
      </c>
      <c r="AD129" s="35"/>
      <c r="AE129" s="35"/>
      <c r="AF129" s="35">
        <v>1.68</v>
      </c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6">
        <v>35</v>
      </c>
      <c r="AU129" s="35">
        <v>1</v>
      </c>
      <c r="AV129" s="35">
        <v>1</v>
      </c>
      <c r="AW129" s="35">
        <v>0.1</v>
      </c>
      <c r="AX129" s="35">
        <v>1</v>
      </c>
    </row>
    <row r="130" s="7" customFormat="1" customHeight="1" spans="1:50">
      <c r="A130" s="18">
        <v>128</v>
      </c>
      <c r="B130" s="34">
        <v>44321</v>
      </c>
      <c r="C130" s="35" t="s">
        <v>57</v>
      </c>
      <c r="D130" s="40">
        <v>500</v>
      </c>
      <c r="E130" s="36">
        <v>334</v>
      </c>
      <c r="F130" s="35">
        <v>322</v>
      </c>
      <c r="G130" s="35">
        <v>27.5</v>
      </c>
      <c r="H130" s="35">
        <v>30</v>
      </c>
      <c r="I130" s="35">
        <v>42</v>
      </c>
      <c r="J130" s="36">
        <v>40</v>
      </c>
      <c r="K130" s="37"/>
      <c r="L130" s="20">
        <f t="shared" si="3"/>
        <v>0.668</v>
      </c>
      <c r="M130" s="5">
        <f t="shared" si="4"/>
        <v>0.77448</v>
      </c>
      <c r="N130" s="35">
        <f t="shared" si="5"/>
        <v>387.24</v>
      </c>
      <c r="O130" s="35"/>
      <c r="P130" s="35">
        <f>27+4.8+7.5</f>
        <v>39.3</v>
      </c>
      <c r="Q130" s="35"/>
      <c r="R130" s="35">
        <f>10+110</f>
        <v>120</v>
      </c>
      <c r="S130" s="35"/>
      <c r="T130" s="35">
        <f>7.19+11.6+5.98+6.2+7.8+4+11.2+4.38+4.9</f>
        <v>63.25</v>
      </c>
      <c r="U130" s="35"/>
      <c r="V130" s="35">
        <f>14.4+6.38+6.56+7.88</f>
        <v>35.22</v>
      </c>
      <c r="W130" s="35">
        <f>8.5+8.1+10.55+5.8</f>
        <v>32.95</v>
      </c>
      <c r="X130" s="36">
        <v>2.29</v>
      </c>
      <c r="Y130" s="35"/>
      <c r="Z130" s="35"/>
      <c r="AA130" s="35"/>
      <c r="AB130" s="35">
        <f>5.16+2.9+9.37+6.5</f>
        <v>23.93</v>
      </c>
      <c r="AC130" s="35">
        <v>20.7</v>
      </c>
      <c r="AD130" s="35"/>
      <c r="AE130" s="35"/>
      <c r="AF130" s="35">
        <v>5.6</v>
      </c>
      <c r="AG130" s="35"/>
      <c r="AH130" s="35"/>
      <c r="AI130" s="35"/>
      <c r="AJ130" s="35"/>
      <c r="AK130" s="35"/>
      <c r="AL130" s="35"/>
      <c r="AM130" s="35"/>
      <c r="AN130" s="35">
        <v>2</v>
      </c>
      <c r="AO130" s="35"/>
      <c r="AP130" s="35"/>
      <c r="AQ130" s="35">
        <v>16</v>
      </c>
      <c r="AR130" s="35">
        <v>26</v>
      </c>
      <c r="AS130" s="35"/>
      <c r="AT130" s="36">
        <v>20</v>
      </c>
      <c r="AU130" s="35">
        <v>1</v>
      </c>
      <c r="AV130" s="35">
        <v>1</v>
      </c>
      <c r="AW130" s="35">
        <v>0.1</v>
      </c>
      <c r="AX130" s="35">
        <v>1</v>
      </c>
    </row>
    <row r="131" s="7" customFormat="1" customHeight="1" spans="1:50">
      <c r="A131" s="18">
        <v>129</v>
      </c>
      <c r="B131" s="34">
        <v>44321</v>
      </c>
      <c r="C131" s="35" t="s">
        <v>57</v>
      </c>
      <c r="D131" s="40">
        <v>500</v>
      </c>
      <c r="E131" s="36">
        <v>272</v>
      </c>
      <c r="F131" s="35">
        <v>260</v>
      </c>
      <c r="G131" s="35">
        <v>27.5</v>
      </c>
      <c r="H131" s="35">
        <v>30</v>
      </c>
      <c r="I131" s="35">
        <v>42</v>
      </c>
      <c r="J131" s="36">
        <v>40</v>
      </c>
      <c r="K131" s="37"/>
      <c r="L131" s="20">
        <f t="shared" ref="L131:L137" si="8">E131/D131</f>
        <v>0.544</v>
      </c>
      <c r="M131" s="5">
        <f t="shared" si="4"/>
        <v>0.87526</v>
      </c>
      <c r="N131" s="35">
        <f t="shared" si="5"/>
        <v>437.63</v>
      </c>
      <c r="O131" s="35"/>
      <c r="P131" s="35">
        <f>10.78+5.1+12.3+17.3</f>
        <v>45.48</v>
      </c>
      <c r="Q131" s="35"/>
      <c r="R131" s="35">
        <f>4.59+47.5</f>
        <v>52.09</v>
      </c>
      <c r="S131" s="35"/>
      <c r="T131" s="35">
        <f>12.2+9.4+12.5+11.2+9.98+5.84+5.92+3.85+2.97</f>
        <v>73.86</v>
      </c>
      <c r="U131" s="35">
        <v>6.97</v>
      </c>
      <c r="V131" s="35">
        <f>4.73+12.3+5.44+12.9</f>
        <v>35.37</v>
      </c>
      <c r="W131" s="35">
        <f>3.9+7.9+3.32+4.9</f>
        <v>20.02</v>
      </c>
      <c r="X131" s="36">
        <f>5+5.9+2.2+3.3</f>
        <v>16.4</v>
      </c>
      <c r="Y131" s="35">
        <f>4.48+5.1</f>
        <v>9.58</v>
      </c>
      <c r="Z131" s="35"/>
      <c r="AA131" s="35"/>
      <c r="AB131" s="35">
        <v>136.5</v>
      </c>
      <c r="AC131" s="35"/>
      <c r="AD131" s="35"/>
      <c r="AE131" s="35"/>
      <c r="AF131" s="35">
        <v>4.3</v>
      </c>
      <c r="AG131" s="35"/>
      <c r="AH131" s="35"/>
      <c r="AI131" s="35"/>
      <c r="AJ131" s="35"/>
      <c r="AK131" s="35"/>
      <c r="AL131" s="35"/>
      <c r="AM131" s="35"/>
      <c r="AN131" s="35">
        <v>1.42</v>
      </c>
      <c r="AO131" s="35"/>
      <c r="AP131" s="35">
        <v>3.64</v>
      </c>
      <c r="AQ131" s="35">
        <v>13</v>
      </c>
      <c r="AR131" s="35">
        <f>14+5</f>
        <v>19</v>
      </c>
      <c r="AS131" s="35"/>
      <c r="AT131" s="36">
        <v>20</v>
      </c>
      <c r="AU131" s="35">
        <v>1</v>
      </c>
      <c r="AV131" s="35">
        <v>1</v>
      </c>
      <c r="AW131" s="35">
        <v>0.1</v>
      </c>
      <c r="AX131" s="35">
        <v>1</v>
      </c>
    </row>
    <row r="132" s="7" customFormat="1" customHeight="1" spans="1:50">
      <c r="A132" s="18">
        <v>130</v>
      </c>
      <c r="B132" s="34">
        <v>44321</v>
      </c>
      <c r="C132" s="35" t="s">
        <v>57</v>
      </c>
      <c r="D132" s="40">
        <v>500</v>
      </c>
      <c r="E132" s="36">
        <v>310</v>
      </c>
      <c r="F132" s="35">
        <f t="shared" si="7"/>
        <v>300</v>
      </c>
      <c r="G132" s="35">
        <v>27.5</v>
      </c>
      <c r="H132" s="35">
        <v>30</v>
      </c>
      <c r="I132" s="35">
        <v>42</v>
      </c>
      <c r="J132" s="36">
        <v>40</v>
      </c>
      <c r="K132" s="37"/>
      <c r="L132" s="20">
        <f t="shared" si="8"/>
        <v>0.62</v>
      </c>
      <c r="M132" s="5">
        <f t="shared" si="4"/>
        <v>0.41132</v>
      </c>
      <c r="N132" s="35">
        <f t="shared" si="5"/>
        <v>205.66</v>
      </c>
      <c r="O132" s="35"/>
      <c r="P132" s="35">
        <v>5.6</v>
      </c>
      <c r="Q132" s="35"/>
      <c r="R132" s="35">
        <v>50</v>
      </c>
      <c r="S132" s="35"/>
      <c r="T132" s="35"/>
      <c r="U132" s="35"/>
      <c r="V132" s="35"/>
      <c r="W132" s="35">
        <v>5.97</v>
      </c>
      <c r="X132" s="36">
        <f>7.5+1.59</f>
        <v>9.09</v>
      </c>
      <c r="Y132" s="35"/>
      <c r="Z132" s="35"/>
      <c r="AA132" s="35"/>
      <c r="AB132" s="35">
        <v>130</v>
      </c>
      <c r="AC132" s="35"/>
      <c r="AD132" s="35"/>
      <c r="AE132" s="35"/>
      <c r="AF132" s="35"/>
      <c r="AG132" s="35">
        <v>5</v>
      </c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6">
        <v>20</v>
      </c>
      <c r="AU132" s="35">
        <v>1</v>
      </c>
      <c r="AV132" s="35">
        <v>1</v>
      </c>
      <c r="AW132" s="35">
        <v>0.1</v>
      </c>
      <c r="AX132" s="35">
        <v>1</v>
      </c>
    </row>
    <row r="133" s="7" customFormat="1" customHeight="1" spans="1:50">
      <c r="A133" s="18">
        <v>131</v>
      </c>
      <c r="B133" s="34">
        <v>44321</v>
      </c>
      <c r="C133" s="35" t="s">
        <v>57</v>
      </c>
      <c r="D133" s="40">
        <v>500</v>
      </c>
      <c r="E133" s="36">
        <v>263</v>
      </c>
      <c r="F133" s="35">
        <f t="shared" si="7"/>
        <v>253</v>
      </c>
      <c r="G133" s="35">
        <v>27.5</v>
      </c>
      <c r="H133" s="35">
        <v>30</v>
      </c>
      <c r="I133" s="35">
        <v>42</v>
      </c>
      <c r="J133" s="36">
        <v>40</v>
      </c>
      <c r="K133" s="37"/>
      <c r="L133" s="20">
        <f t="shared" si="8"/>
        <v>0.526</v>
      </c>
      <c r="M133" s="5">
        <f t="shared" si="4"/>
        <v>0.223</v>
      </c>
      <c r="N133" s="35">
        <f t="shared" si="5"/>
        <v>111.5</v>
      </c>
      <c r="O133" s="35"/>
      <c r="P133" s="35">
        <f>0.5+2.2</f>
        <v>2.7</v>
      </c>
      <c r="Q133" s="35"/>
      <c r="R133" s="35">
        <v>5</v>
      </c>
      <c r="S133" s="35"/>
      <c r="T133" s="35"/>
      <c r="U133" s="35">
        <f>2.9</f>
        <v>2.9</v>
      </c>
      <c r="V133" s="35"/>
      <c r="W133" s="35"/>
      <c r="X133" s="36">
        <v>5</v>
      </c>
      <c r="Y133" s="35">
        <v>2.6</v>
      </c>
      <c r="Z133" s="35"/>
      <c r="AA133" s="35">
        <v>7.3</v>
      </c>
      <c r="AB133" s="35">
        <v>65</v>
      </c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>
        <v>4</v>
      </c>
      <c r="AR133" s="35">
        <v>17</v>
      </c>
      <c r="AS133" s="35"/>
      <c r="AT133" s="36">
        <v>20</v>
      </c>
      <c r="AU133" s="35">
        <v>1</v>
      </c>
      <c r="AV133" s="35">
        <v>1</v>
      </c>
      <c r="AW133" s="35">
        <v>0.1</v>
      </c>
      <c r="AX133" s="35">
        <v>1</v>
      </c>
    </row>
    <row r="134" s="7" customFormat="1" customHeight="1" spans="1:50">
      <c r="A134" s="18">
        <v>132</v>
      </c>
      <c r="B134" s="34">
        <v>44326</v>
      </c>
      <c r="C134" s="35" t="s">
        <v>57</v>
      </c>
      <c r="D134" s="40">
        <f t="shared" ref="D134:D137" si="9">2600/4</f>
        <v>650</v>
      </c>
      <c r="E134" s="36">
        <v>422</v>
      </c>
      <c r="F134" s="35">
        <v>410</v>
      </c>
      <c r="G134" s="35">
        <v>27.5</v>
      </c>
      <c r="H134" s="35">
        <v>35</v>
      </c>
      <c r="I134" s="35">
        <v>42</v>
      </c>
      <c r="J134" s="36">
        <v>50</v>
      </c>
      <c r="K134" s="37"/>
      <c r="L134" s="20">
        <f t="shared" si="8"/>
        <v>0.649230769230769</v>
      </c>
      <c r="M134" s="5">
        <f>N134/D134</f>
        <v>0.722923076923077</v>
      </c>
      <c r="N134" s="35">
        <f>SUM(O134:AR134)</f>
        <v>469.9</v>
      </c>
      <c r="O134" s="35"/>
      <c r="P134" s="35">
        <v>21</v>
      </c>
      <c r="Q134" s="35"/>
      <c r="R134" s="35">
        <v>101</v>
      </c>
      <c r="S134" s="35"/>
      <c r="T134" s="35">
        <f>6.1+7.2+9.2+9.9+8.3+4.1+5.7+2.1+7.7+4+4.1+6+4.1</f>
        <v>78.5</v>
      </c>
      <c r="U134" s="35">
        <v>4.1</v>
      </c>
      <c r="V134" s="35">
        <f>4.9+4.2+5.9+9.1</f>
        <v>24.1</v>
      </c>
      <c r="W134" s="35">
        <f>12.4+7.1</f>
        <v>19.5</v>
      </c>
      <c r="X134" s="36">
        <f>2.3+1.5</f>
        <v>3.8</v>
      </c>
      <c r="Y134" s="35"/>
      <c r="Z134" s="35"/>
      <c r="AA134" s="35"/>
      <c r="AB134" s="35">
        <v>153</v>
      </c>
      <c r="AC134" s="35">
        <v>2</v>
      </c>
      <c r="AD134" s="35"/>
      <c r="AE134" s="35"/>
      <c r="AF134" s="35">
        <v>3.9</v>
      </c>
      <c r="AG134" s="35"/>
      <c r="AH134" s="35"/>
      <c r="AI134" s="35"/>
      <c r="AJ134" s="35"/>
      <c r="AK134" s="35"/>
      <c r="AL134" s="35"/>
      <c r="AM134" s="35"/>
      <c r="AN134" s="35">
        <v>5.6</v>
      </c>
      <c r="AO134" s="35"/>
      <c r="AP134" s="35">
        <v>2.4</v>
      </c>
      <c r="AQ134" s="35">
        <f>6+11</f>
        <v>17</v>
      </c>
      <c r="AR134" s="35">
        <f>15+3+16</f>
        <v>34</v>
      </c>
      <c r="AS134" s="35"/>
      <c r="AT134" s="36">
        <v>30</v>
      </c>
      <c r="AU134" s="35">
        <v>1</v>
      </c>
      <c r="AV134" s="35">
        <v>1</v>
      </c>
      <c r="AW134" s="35">
        <v>0.1</v>
      </c>
      <c r="AX134" s="35">
        <v>1</v>
      </c>
    </row>
    <row r="135" s="7" customFormat="1" customHeight="1" spans="1:50">
      <c r="A135" s="18">
        <v>133</v>
      </c>
      <c r="B135" s="34">
        <v>44326</v>
      </c>
      <c r="C135" s="35" t="s">
        <v>57</v>
      </c>
      <c r="D135" s="40">
        <f t="shared" si="9"/>
        <v>650</v>
      </c>
      <c r="E135" s="36">
        <v>368</v>
      </c>
      <c r="F135" s="35">
        <f>E135-10</f>
        <v>358</v>
      </c>
      <c r="G135" s="35">
        <v>27.5</v>
      </c>
      <c r="H135" s="35">
        <v>35</v>
      </c>
      <c r="I135" s="35">
        <v>42</v>
      </c>
      <c r="J135" s="36">
        <v>50</v>
      </c>
      <c r="K135" s="37"/>
      <c r="L135" s="20">
        <f t="shared" si="8"/>
        <v>0.566153846153846</v>
      </c>
      <c r="M135" s="5">
        <f>N135/D135</f>
        <v>0.506615384615385</v>
      </c>
      <c r="N135" s="35">
        <f>SUM(O135:AR135)</f>
        <v>329.3</v>
      </c>
      <c r="O135" s="35"/>
      <c r="P135" s="35">
        <f>5.1+20</f>
        <v>25.1</v>
      </c>
      <c r="Q135" s="35"/>
      <c r="R135" s="35">
        <f>9.4+84+5.93</f>
        <v>99.33</v>
      </c>
      <c r="S135" s="35"/>
      <c r="T135" s="35">
        <f>3.88+4.2+6.2+7.6+6.9</f>
        <v>28.78</v>
      </c>
      <c r="U135" s="35">
        <f>1.5+5.6</f>
        <v>7.1</v>
      </c>
      <c r="V135" s="35">
        <f>7.49+9.5</f>
        <v>16.99</v>
      </c>
      <c r="W135" s="35">
        <f>5.5+5.8</f>
        <v>11.3</v>
      </c>
      <c r="X135" s="36">
        <v>1</v>
      </c>
      <c r="Y135" s="35"/>
      <c r="Z135" s="35"/>
      <c r="AA135" s="35">
        <v>5</v>
      </c>
      <c r="AB135" s="35">
        <v>53.5</v>
      </c>
      <c r="AC135" s="35">
        <v>11.2</v>
      </c>
      <c r="AD135" s="35"/>
      <c r="AE135" s="35">
        <v>5.4</v>
      </c>
      <c r="AF135" s="35">
        <v>1.7</v>
      </c>
      <c r="AG135" s="35"/>
      <c r="AH135" s="35"/>
      <c r="AI135" s="35"/>
      <c r="AJ135" s="35"/>
      <c r="AK135" s="35"/>
      <c r="AL135" s="35"/>
      <c r="AM135" s="35"/>
      <c r="AN135" s="35">
        <v>0.9</v>
      </c>
      <c r="AO135" s="35"/>
      <c r="AP135" s="35"/>
      <c r="AQ135" s="35">
        <v>14</v>
      </c>
      <c r="AR135" s="35">
        <v>48</v>
      </c>
      <c r="AS135" s="35"/>
      <c r="AT135" s="36">
        <v>30</v>
      </c>
      <c r="AU135" s="35">
        <v>0</v>
      </c>
      <c r="AV135" s="35">
        <v>1</v>
      </c>
      <c r="AW135" s="35">
        <v>0.1</v>
      </c>
      <c r="AX135" s="35">
        <v>1</v>
      </c>
    </row>
    <row r="136" s="7" customFormat="1" customHeight="1" spans="1:50">
      <c r="A136" s="18">
        <v>134</v>
      </c>
      <c r="B136" s="34">
        <v>44326</v>
      </c>
      <c r="C136" s="35" t="s">
        <v>57</v>
      </c>
      <c r="D136" s="40">
        <f t="shared" si="9"/>
        <v>650</v>
      </c>
      <c r="E136" s="36">
        <v>396</v>
      </c>
      <c r="F136" s="35">
        <f>E136-10</f>
        <v>386</v>
      </c>
      <c r="G136" s="35">
        <v>27.5</v>
      </c>
      <c r="H136" s="35">
        <v>35</v>
      </c>
      <c r="I136" s="35">
        <v>42</v>
      </c>
      <c r="J136" s="36">
        <v>50</v>
      </c>
      <c r="K136" s="37"/>
      <c r="L136" s="20">
        <f t="shared" si="8"/>
        <v>0.609230769230769</v>
      </c>
      <c r="M136" s="5">
        <f>N136/D136</f>
        <v>0.375753846153846</v>
      </c>
      <c r="N136" s="35">
        <f>SUM(O136:AR136)</f>
        <v>244.24</v>
      </c>
      <c r="O136" s="35"/>
      <c r="P136" s="35">
        <v>20</v>
      </c>
      <c r="Q136" s="35"/>
      <c r="R136" s="35">
        <v>30</v>
      </c>
      <c r="S136" s="35"/>
      <c r="T136" s="35">
        <f>10.2+6.37+5.3+10.3+6.2+3.6</f>
        <v>41.97</v>
      </c>
      <c r="U136" s="35">
        <v>2.92</v>
      </c>
      <c r="V136" s="35">
        <f>8.4+9.1+7</f>
        <v>24.5</v>
      </c>
      <c r="W136" s="35">
        <f>10.7+5</f>
        <v>15.7</v>
      </c>
      <c r="X136" s="36">
        <f>1.17+0.59</f>
        <v>1.76</v>
      </c>
      <c r="Y136" s="35"/>
      <c r="Z136" s="35"/>
      <c r="AA136" s="35"/>
      <c r="AB136" s="35">
        <v>62</v>
      </c>
      <c r="AC136" s="35">
        <v>6.8</v>
      </c>
      <c r="AD136" s="35"/>
      <c r="AE136" s="35"/>
      <c r="AF136" s="35">
        <v>3.44</v>
      </c>
      <c r="AG136" s="35"/>
      <c r="AH136" s="35"/>
      <c r="AI136" s="35"/>
      <c r="AJ136" s="35"/>
      <c r="AK136" s="35"/>
      <c r="AL136" s="35"/>
      <c r="AM136" s="35"/>
      <c r="AN136" s="35">
        <v>1.15</v>
      </c>
      <c r="AO136" s="35"/>
      <c r="AP136" s="35"/>
      <c r="AQ136" s="35">
        <v>10</v>
      </c>
      <c r="AR136" s="35">
        <v>24</v>
      </c>
      <c r="AS136" s="35"/>
      <c r="AT136" s="36">
        <v>30</v>
      </c>
      <c r="AU136" s="35">
        <v>0</v>
      </c>
      <c r="AV136" s="35">
        <v>1</v>
      </c>
      <c r="AW136" s="35">
        <v>0.1</v>
      </c>
      <c r="AX136" s="35">
        <v>1</v>
      </c>
    </row>
    <row r="137" s="7" customFormat="1" customHeight="1" spans="1:50">
      <c r="A137" s="18">
        <v>135</v>
      </c>
      <c r="B137" s="34">
        <v>44326</v>
      </c>
      <c r="C137" s="35" t="s">
        <v>57</v>
      </c>
      <c r="D137" s="40">
        <f t="shared" si="9"/>
        <v>650</v>
      </c>
      <c r="E137" s="36">
        <v>341</v>
      </c>
      <c r="F137" s="35">
        <v>330</v>
      </c>
      <c r="G137" s="35">
        <v>27.5</v>
      </c>
      <c r="H137" s="35">
        <v>35</v>
      </c>
      <c r="I137" s="35">
        <v>42</v>
      </c>
      <c r="J137" s="36">
        <v>50</v>
      </c>
      <c r="K137" s="37"/>
      <c r="L137" s="20">
        <f t="shared" si="8"/>
        <v>0.524615384615385</v>
      </c>
      <c r="M137" s="5">
        <f>N137/D137</f>
        <v>1.06669230769231</v>
      </c>
      <c r="N137" s="35">
        <f>SUM(O137:AR137)</f>
        <v>693.35</v>
      </c>
      <c r="O137" s="35"/>
      <c r="P137" s="35">
        <f>7.5+6.56</f>
        <v>14.06</v>
      </c>
      <c r="Q137" s="35"/>
      <c r="R137" s="35">
        <f>10+166</f>
        <v>176</v>
      </c>
      <c r="S137" s="35"/>
      <c r="T137" s="35">
        <v>1.5</v>
      </c>
      <c r="U137" s="35">
        <v>6.8</v>
      </c>
      <c r="V137" s="35">
        <v>6.63</v>
      </c>
      <c r="W137" s="35"/>
      <c r="X137" s="36">
        <f>6+2.4</f>
        <v>8.4</v>
      </c>
      <c r="Y137" s="35"/>
      <c r="Z137" s="35">
        <v>4.96</v>
      </c>
      <c r="AA137" s="35"/>
      <c r="AB137" s="35">
        <v>422</v>
      </c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>
        <v>6</v>
      </c>
      <c r="AR137" s="35">
        <v>47</v>
      </c>
      <c r="AS137" s="35"/>
      <c r="AT137" s="36">
        <v>30</v>
      </c>
      <c r="AU137" s="35">
        <v>1</v>
      </c>
      <c r="AV137" s="35">
        <v>1</v>
      </c>
      <c r="AW137" s="35">
        <v>0.1</v>
      </c>
      <c r="AX137" s="35">
        <v>1</v>
      </c>
    </row>
    <row r="138" s="7" customFormat="1" customHeight="1" spans="1:50">
      <c r="A138" s="18">
        <v>136</v>
      </c>
      <c r="B138" s="34">
        <v>44330</v>
      </c>
      <c r="C138" s="35" t="s">
        <v>55</v>
      </c>
      <c r="D138" s="40">
        <v>920</v>
      </c>
      <c r="E138" s="36">
        <v>539</v>
      </c>
      <c r="F138" s="35">
        <f t="shared" ref="F138:F143" si="10">E138-10</f>
        <v>529</v>
      </c>
      <c r="G138" s="35">
        <v>27.5</v>
      </c>
      <c r="H138" s="35">
        <v>50</v>
      </c>
      <c r="I138" s="35">
        <v>45</v>
      </c>
      <c r="J138" s="36">
        <v>55</v>
      </c>
      <c r="K138" s="37"/>
      <c r="L138" s="20">
        <f t="shared" ref="L138:L179" si="11">E138/D138</f>
        <v>0.585869565217391</v>
      </c>
      <c r="M138" s="5">
        <f t="shared" ref="M138:M163" si="12">N138/D138</f>
        <v>0.334152173913043</v>
      </c>
      <c r="N138" s="35">
        <f t="shared" ref="N138:N179" si="13">SUM(O138:AR138)</f>
        <v>307.42</v>
      </c>
      <c r="O138" s="35"/>
      <c r="P138" s="35">
        <f>5+12.2</f>
        <v>17.2</v>
      </c>
      <c r="Q138" s="35"/>
      <c r="R138" s="35">
        <f>12.5+90</f>
        <v>102.5</v>
      </c>
      <c r="S138" s="35"/>
      <c r="T138" s="35"/>
      <c r="U138" s="35"/>
      <c r="V138" s="35"/>
      <c r="W138" s="35">
        <v>6.36</v>
      </c>
      <c r="X138" s="36">
        <v>5.4</v>
      </c>
      <c r="Y138" s="35"/>
      <c r="Z138" s="35">
        <v>8.5</v>
      </c>
      <c r="AA138" s="35"/>
      <c r="AB138" s="35">
        <v>120</v>
      </c>
      <c r="AC138" s="35"/>
      <c r="AD138" s="35"/>
      <c r="AE138" s="35"/>
      <c r="AF138" s="35">
        <v>1.58</v>
      </c>
      <c r="AG138" s="35"/>
      <c r="AH138" s="35"/>
      <c r="AI138" s="35"/>
      <c r="AJ138" s="35"/>
      <c r="AK138" s="35"/>
      <c r="AL138" s="35"/>
      <c r="AM138" s="35"/>
      <c r="AN138" s="35">
        <v>2.28</v>
      </c>
      <c r="AO138" s="35"/>
      <c r="AP138" s="35"/>
      <c r="AQ138" s="35">
        <v>8.6</v>
      </c>
      <c r="AR138" s="35">
        <v>35</v>
      </c>
      <c r="AS138" s="35"/>
      <c r="AT138" s="36">
        <v>75</v>
      </c>
      <c r="AU138" s="35">
        <v>0</v>
      </c>
      <c r="AV138" s="35">
        <v>1</v>
      </c>
      <c r="AW138" s="35">
        <v>0.1</v>
      </c>
      <c r="AX138" s="35">
        <v>1</v>
      </c>
    </row>
    <row r="139" s="7" customFormat="1" customHeight="1" spans="1:50">
      <c r="A139" s="18">
        <v>137</v>
      </c>
      <c r="B139" s="34">
        <v>44330</v>
      </c>
      <c r="C139" s="35" t="s">
        <v>55</v>
      </c>
      <c r="D139" s="40">
        <v>780</v>
      </c>
      <c r="E139" s="36">
        <v>430</v>
      </c>
      <c r="F139" s="35">
        <f t="shared" si="10"/>
        <v>420</v>
      </c>
      <c r="G139" s="35">
        <v>27.5</v>
      </c>
      <c r="H139" s="35">
        <v>50</v>
      </c>
      <c r="I139" s="35">
        <v>45</v>
      </c>
      <c r="J139" s="36">
        <v>50</v>
      </c>
      <c r="K139" s="37"/>
      <c r="L139" s="20">
        <f t="shared" si="11"/>
        <v>0.551282051282051</v>
      </c>
      <c r="M139" s="5">
        <f t="shared" si="12"/>
        <v>0.468525641025641</v>
      </c>
      <c r="N139" s="35">
        <f t="shared" si="13"/>
        <v>365.45</v>
      </c>
      <c r="O139" s="35"/>
      <c r="P139" s="35">
        <f>1.68+4.56</f>
        <v>6.24</v>
      </c>
      <c r="Q139" s="35"/>
      <c r="R139" s="35">
        <v>138</v>
      </c>
      <c r="S139" s="35"/>
      <c r="T139" s="35"/>
      <c r="U139" s="35">
        <f>2.43+1.58</f>
        <v>4.01</v>
      </c>
      <c r="V139" s="35"/>
      <c r="W139" s="35">
        <v>1.7</v>
      </c>
      <c r="X139" s="36"/>
      <c r="Y139" s="35"/>
      <c r="Z139" s="35"/>
      <c r="AA139" s="35"/>
      <c r="AB139" s="35">
        <v>215.5</v>
      </c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6">
        <v>75</v>
      </c>
      <c r="AU139" s="35">
        <v>0</v>
      </c>
      <c r="AV139" s="35">
        <v>1</v>
      </c>
      <c r="AW139" s="35">
        <v>0.1</v>
      </c>
      <c r="AX139" s="35">
        <v>1</v>
      </c>
    </row>
    <row r="140" s="7" customFormat="1" customHeight="1" spans="1:50">
      <c r="A140" s="18">
        <v>138</v>
      </c>
      <c r="B140" s="34">
        <v>44332</v>
      </c>
      <c r="C140" s="35" t="s">
        <v>55</v>
      </c>
      <c r="D140" s="40">
        <v>750</v>
      </c>
      <c r="E140" s="36">
        <v>418</v>
      </c>
      <c r="F140" s="35">
        <f t="shared" si="10"/>
        <v>408</v>
      </c>
      <c r="G140" s="35">
        <v>27.5</v>
      </c>
      <c r="H140" s="35">
        <v>50</v>
      </c>
      <c r="I140" s="35">
        <v>45</v>
      </c>
      <c r="J140" s="36">
        <v>50</v>
      </c>
      <c r="K140" s="37"/>
      <c r="L140" s="20">
        <f t="shared" si="11"/>
        <v>0.557333333333333</v>
      </c>
      <c r="M140" s="5">
        <f t="shared" si="12"/>
        <v>0.16892</v>
      </c>
      <c r="N140" s="35">
        <f t="shared" si="13"/>
        <v>126.69</v>
      </c>
      <c r="O140" s="35"/>
      <c r="P140" s="35">
        <v>7.26</v>
      </c>
      <c r="Q140" s="35"/>
      <c r="R140" s="35">
        <f>29</f>
        <v>29</v>
      </c>
      <c r="S140" s="35"/>
      <c r="T140" s="35">
        <f>6.08+5.2+10+2.3</f>
        <v>23.58</v>
      </c>
      <c r="U140" s="35">
        <f>5.3+6.8</f>
        <v>12.1</v>
      </c>
      <c r="V140" s="35">
        <v>7.37</v>
      </c>
      <c r="W140" s="35">
        <f>3.34+4</f>
        <v>7.34</v>
      </c>
      <c r="X140" s="36">
        <f>3.3+1.66+5</f>
        <v>9.96</v>
      </c>
      <c r="Y140" s="35">
        <v>5.53</v>
      </c>
      <c r="Z140" s="35">
        <f>9+8.7</f>
        <v>17.7</v>
      </c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>
        <v>0.85</v>
      </c>
      <c r="AQ140" s="35">
        <v>2</v>
      </c>
      <c r="AR140" s="35">
        <v>4</v>
      </c>
      <c r="AS140" s="35"/>
      <c r="AT140" s="36">
        <v>75</v>
      </c>
      <c r="AU140" s="35">
        <v>0</v>
      </c>
      <c r="AV140" s="35">
        <v>1</v>
      </c>
      <c r="AW140" s="35">
        <v>0.1</v>
      </c>
      <c r="AX140" s="35">
        <v>1</v>
      </c>
    </row>
    <row r="141" s="7" customFormat="1" customHeight="1" spans="1:50">
      <c r="A141" s="18">
        <v>139</v>
      </c>
      <c r="B141" s="34">
        <v>44332</v>
      </c>
      <c r="C141" s="35" t="s">
        <v>55</v>
      </c>
      <c r="D141" s="40">
        <v>750</v>
      </c>
      <c r="E141" s="36">
        <v>440</v>
      </c>
      <c r="F141" s="35">
        <f t="shared" si="10"/>
        <v>430</v>
      </c>
      <c r="G141" s="35">
        <v>27.5</v>
      </c>
      <c r="H141" s="35">
        <v>50</v>
      </c>
      <c r="I141" s="35">
        <v>45</v>
      </c>
      <c r="J141" s="36">
        <v>50</v>
      </c>
      <c r="K141" s="37"/>
      <c r="L141" s="20">
        <f t="shared" si="11"/>
        <v>0.586666666666667</v>
      </c>
      <c r="M141" s="5">
        <f t="shared" si="12"/>
        <v>0.285706666666667</v>
      </c>
      <c r="N141" s="35">
        <f t="shared" si="13"/>
        <v>214.28</v>
      </c>
      <c r="O141" s="35"/>
      <c r="P141" s="35">
        <v>17.6</v>
      </c>
      <c r="Q141" s="35"/>
      <c r="R141" s="35"/>
      <c r="S141" s="35"/>
      <c r="T141" s="7">
        <f>4.4+8.1+7.3+12.5+8.2+8.2+2</f>
        <v>50.7</v>
      </c>
      <c r="U141" s="35">
        <v>17.7</v>
      </c>
      <c r="V141" s="35">
        <f>7.9+7.4+5.5+4+4.1+8.2+9.1</f>
        <v>46.2</v>
      </c>
      <c r="W141" s="35">
        <f>5.8+4.8+4.3+2.9+5.4+5.2</f>
        <v>28.4</v>
      </c>
      <c r="X141" s="36">
        <f>1.6+4.8</f>
        <v>6.4</v>
      </c>
      <c r="Y141" s="35"/>
      <c r="Z141" s="35"/>
      <c r="AA141" s="35"/>
      <c r="AB141" s="35">
        <v>6.2</v>
      </c>
      <c r="AC141" s="35"/>
      <c r="AD141" s="35"/>
      <c r="AE141" s="35"/>
      <c r="AF141" s="35">
        <v>8.5</v>
      </c>
      <c r="AG141" s="35"/>
      <c r="AH141" s="35"/>
      <c r="AI141" s="35"/>
      <c r="AJ141" s="35"/>
      <c r="AK141" s="35"/>
      <c r="AL141" s="35"/>
      <c r="AM141" s="35"/>
      <c r="AN141" s="35">
        <v>2.3</v>
      </c>
      <c r="AO141" s="35"/>
      <c r="AP141" s="35">
        <v>1.28</v>
      </c>
      <c r="AQ141" s="35">
        <v>20</v>
      </c>
      <c r="AR141" s="35">
        <v>9</v>
      </c>
      <c r="AS141" s="35"/>
      <c r="AT141" s="36">
        <v>75</v>
      </c>
      <c r="AU141" s="35">
        <v>0</v>
      </c>
      <c r="AV141" s="35">
        <v>1</v>
      </c>
      <c r="AW141" s="35">
        <v>0.1</v>
      </c>
      <c r="AX141" s="35">
        <v>1</v>
      </c>
    </row>
    <row r="142" s="7" customFormat="1" customHeight="1" spans="1:50">
      <c r="A142" s="18">
        <v>140</v>
      </c>
      <c r="B142" s="34">
        <v>44333</v>
      </c>
      <c r="C142" s="35" t="s">
        <v>55</v>
      </c>
      <c r="D142" s="40">
        <v>750</v>
      </c>
      <c r="E142" s="36">
        <v>453</v>
      </c>
      <c r="F142" s="35">
        <f t="shared" si="10"/>
        <v>443</v>
      </c>
      <c r="G142" s="35">
        <v>27.5</v>
      </c>
      <c r="H142" s="35">
        <v>50</v>
      </c>
      <c r="I142" s="35">
        <v>45</v>
      </c>
      <c r="J142" s="36">
        <v>50</v>
      </c>
      <c r="K142" s="37"/>
      <c r="L142" s="20">
        <f t="shared" si="11"/>
        <v>0.604</v>
      </c>
      <c r="M142" s="5">
        <f t="shared" si="12"/>
        <v>0.4822</v>
      </c>
      <c r="N142" s="35">
        <f t="shared" si="13"/>
        <v>361.65</v>
      </c>
      <c r="O142" s="35">
        <f>4.4+3.1</f>
        <v>7.5</v>
      </c>
      <c r="P142" s="35">
        <f>19.7+23.7+19.2</f>
        <v>62.6</v>
      </c>
      <c r="Q142" s="35">
        <v>1.68</v>
      </c>
      <c r="R142" s="35">
        <v>31.2</v>
      </c>
      <c r="S142" s="35">
        <v>1.6</v>
      </c>
      <c r="T142" s="35">
        <f>8.3+11.1+8.5+8+10.2+2.5</f>
        <v>48.6</v>
      </c>
      <c r="U142" s="35">
        <f>9.7+6.5</f>
        <v>16.2</v>
      </c>
      <c r="V142" s="35">
        <f>5.7+6.3+6.9+7.2</f>
        <v>26.1</v>
      </c>
      <c r="W142" s="35">
        <f>10.1+2.4+5.6+11.4</f>
        <v>29.5</v>
      </c>
      <c r="X142" s="36">
        <f>7.9+1+5.3+0.7</f>
        <v>14.9</v>
      </c>
      <c r="Y142" s="35">
        <v>5.1</v>
      </c>
      <c r="Z142" s="35"/>
      <c r="AA142" s="35">
        <f>9.2+9.2+5.9+4.7+5+7.9</f>
        <v>41.9</v>
      </c>
      <c r="AB142" s="35">
        <f>9.7+1.79+4.1</f>
        <v>15.59</v>
      </c>
      <c r="AC142" s="35"/>
      <c r="AD142" s="35">
        <v>9</v>
      </c>
      <c r="AE142" s="35"/>
      <c r="AF142" s="35">
        <v>5</v>
      </c>
      <c r="AG142" s="35"/>
      <c r="AH142" s="35"/>
      <c r="AI142" s="35"/>
      <c r="AJ142" s="35"/>
      <c r="AK142" s="35"/>
      <c r="AL142" s="35"/>
      <c r="AM142" s="35"/>
      <c r="AN142" s="35">
        <v>1.18</v>
      </c>
      <c r="AO142" s="35"/>
      <c r="AP142" s="35"/>
      <c r="AQ142" s="35">
        <v>21</v>
      </c>
      <c r="AR142" s="35">
        <v>23</v>
      </c>
      <c r="AS142" s="35"/>
      <c r="AT142" s="36">
        <v>75</v>
      </c>
      <c r="AU142" s="35">
        <v>0</v>
      </c>
      <c r="AV142" s="35">
        <v>1</v>
      </c>
      <c r="AW142" s="35">
        <v>0.1</v>
      </c>
      <c r="AX142" s="35">
        <v>1</v>
      </c>
    </row>
    <row r="143" s="7" customFormat="1" customHeight="1" spans="1:50">
      <c r="A143" s="18">
        <v>141</v>
      </c>
      <c r="B143" s="34">
        <v>44333</v>
      </c>
      <c r="C143" s="35" t="s">
        <v>55</v>
      </c>
      <c r="D143" s="40">
        <v>750</v>
      </c>
      <c r="E143" s="36">
        <v>420</v>
      </c>
      <c r="F143" s="35">
        <f t="shared" si="10"/>
        <v>410</v>
      </c>
      <c r="G143" s="35">
        <v>27.5</v>
      </c>
      <c r="H143" s="35">
        <v>50</v>
      </c>
      <c r="I143" s="35">
        <v>45</v>
      </c>
      <c r="J143" s="36">
        <v>50</v>
      </c>
      <c r="K143" s="37"/>
      <c r="L143" s="20">
        <f t="shared" si="11"/>
        <v>0.56</v>
      </c>
      <c r="M143" s="5">
        <f t="shared" si="12"/>
        <v>0.257373333333333</v>
      </c>
      <c r="N143" s="35">
        <f t="shared" si="13"/>
        <v>193.03</v>
      </c>
      <c r="O143" s="35"/>
      <c r="P143" s="35">
        <f>7.5+10.9+3.3</f>
        <v>21.7</v>
      </c>
      <c r="Q143" s="35">
        <v>3.1</v>
      </c>
      <c r="R143" s="35">
        <f>15+5.4+21</f>
        <v>41.4</v>
      </c>
      <c r="S143" s="35">
        <v>3.8</v>
      </c>
      <c r="T143" s="35">
        <f>4.6+9.7</f>
        <v>14.3</v>
      </c>
      <c r="U143" s="35">
        <v>4.9</v>
      </c>
      <c r="V143" s="35">
        <v>3.5</v>
      </c>
      <c r="W143" s="35">
        <f>6+9.2</f>
        <v>15.2</v>
      </c>
      <c r="X143" s="36">
        <v>0.6</v>
      </c>
      <c r="Y143" s="35"/>
      <c r="Z143" s="35">
        <f>4.8+5.1</f>
        <v>9.9</v>
      </c>
      <c r="AA143" s="35"/>
      <c r="AB143" s="35">
        <f>9.5+1.2+5.4+7.2</f>
        <v>23.3</v>
      </c>
      <c r="AC143" s="35">
        <v>14.23</v>
      </c>
      <c r="AD143" s="35">
        <v>6.9</v>
      </c>
      <c r="AE143" s="35">
        <v>10.8</v>
      </c>
      <c r="AF143" s="35">
        <v>1.9</v>
      </c>
      <c r="AG143" s="35"/>
      <c r="AH143" s="35"/>
      <c r="AI143" s="35"/>
      <c r="AJ143" s="35"/>
      <c r="AK143" s="35"/>
      <c r="AL143" s="35"/>
      <c r="AM143" s="35"/>
      <c r="AN143" s="35">
        <v>0.5</v>
      </c>
      <c r="AO143" s="35"/>
      <c r="AP143" s="35"/>
      <c r="AQ143" s="35">
        <v>6</v>
      </c>
      <c r="AR143" s="35">
        <v>11</v>
      </c>
      <c r="AS143" s="35"/>
      <c r="AT143" s="36">
        <v>75</v>
      </c>
      <c r="AU143" s="35">
        <v>0</v>
      </c>
      <c r="AV143" s="35">
        <v>1</v>
      </c>
      <c r="AW143" s="35">
        <v>0.1</v>
      </c>
      <c r="AX143" s="35">
        <v>1</v>
      </c>
    </row>
    <row r="144" s="7" customFormat="1" customHeight="1" spans="1:50">
      <c r="A144" s="18">
        <v>142</v>
      </c>
      <c r="B144" s="34">
        <v>44333</v>
      </c>
      <c r="C144" s="35" t="s">
        <v>57</v>
      </c>
      <c r="D144" s="40">
        <v>650</v>
      </c>
      <c r="E144" s="39">
        <v>357</v>
      </c>
      <c r="F144" s="35">
        <v>345</v>
      </c>
      <c r="G144" s="35">
        <v>27.5</v>
      </c>
      <c r="H144" s="35">
        <v>35</v>
      </c>
      <c r="I144" s="35">
        <v>45</v>
      </c>
      <c r="J144" s="36">
        <v>50</v>
      </c>
      <c r="K144" s="37"/>
      <c r="L144" s="20">
        <f t="shared" si="11"/>
        <v>0.549230769230769</v>
      </c>
      <c r="M144" s="5">
        <f t="shared" si="12"/>
        <v>0.331015384615385</v>
      </c>
      <c r="N144" s="35">
        <f t="shared" si="13"/>
        <v>215.16</v>
      </c>
      <c r="O144" s="35"/>
      <c r="P144" s="35">
        <f>6.6+3.4+6.2+7</f>
        <v>23.2</v>
      </c>
      <c r="Q144" s="35"/>
      <c r="R144" s="35">
        <f>16+15+15.5</f>
        <v>46.5</v>
      </c>
      <c r="S144" s="35">
        <f>2.6+6.8</f>
        <v>9.4</v>
      </c>
      <c r="T144" s="35">
        <f>9+8.3+9.5</f>
        <v>26.8</v>
      </c>
      <c r="U144" s="35">
        <f>6.6+8</f>
        <v>14.6</v>
      </c>
      <c r="V144" s="35"/>
      <c r="W144" s="35">
        <v>9.9</v>
      </c>
      <c r="X144" s="36">
        <f>5.23+6.63</f>
        <v>11.86</v>
      </c>
      <c r="Y144" s="35">
        <f>4.2+5</f>
        <v>9.2</v>
      </c>
      <c r="Z144" s="35">
        <v>12.3</v>
      </c>
      <c r="AA144" s="35">
        <f>10.7</f>
        <v>10.7</v>
      </c>
      <c r="AB144" s="35">
        <v>5.6</v>
      </c>
      <c r="AC144" s="35"/>
      <c r="AD144" s="35">
        <f>5+4.5+6.2</f>
        <v>15.7</v>
      </c>
      <c r="AE144" s="35">
        <f>8.1+7.6+3.7</f>
        <v>19.4</v>
      </c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6">
        <v>35</v>
      </c>
      <c r="AU144" s="35">
        <v>0</v>
      </c>
      <c r="AV144" s="35">
        <v>1</v>
      </c>
      <c r="AW144" s="35">
        <v>0.1</v>
      </c>
      <c r="AX144" s="35">
        <v>1</v>
      </c>
    </row>
    <row r="145" s="7" customFormat="1" customHeight="1" spans="1:50">
      <c r="A145" s="18">
        <v>143</v>
      </c>
      <c r="B145" s="34">
        <v>44334</v>
      </c>
      <c r="C145" s="35" t="s">
        <v>55</v>
      </c>
      <c r="D145" s="40">
        <v>675</v>
      </c>
      <c r="E145" s="36">
        <v>430</v>
      </c>
      <c r="F145" s="35">
        <f t="shared" ref="F145:F147" si="14">E145-10</f>
        <v>420</v>
      </c>
      <c r="G145" s="35">
        <v>27.5</v>
      </c>
      <c r="H145" s="35">
        <v>50</v>
      </c>
      <c r="I145" s="35">
        <v>45</v>
      </c>
      <c r="J145" s="47">
        <v>50</v>
      </c>
      <c r="K145" s="50"/>
      <c r="L145" s="20">
        <f t="shared" si="11"/>
        <v>0.637037037037037</v>
      </c>
      <c r="M145" s="5">
        <f t="shared" si="12"/>
        <v>0.0204444444444444</v>
      </c>
      <c r="N145" s="51">
        <f t="shared" si="13"/>
        <v>13.8</v>
      </c>
      <c r="O145" s="51"/>
      <c r="P145" s="51">
        <v>7.4</v>
      </c>
      <c r="Q145" s="51"/>
      <c r="R145" s="51"/>
      <c r="S145" s="51"/>
      <c r="T145" s="51"/>
      <c r="U145" s="51"/>
      <c r="V145" s="51"/>
      <c r="W145" s="51">
        <v>6.4</v>
      </c>
      <c r="X145" s="47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47">
        <v>75</v>
      </c>
      <c r="AU145" s="35">
        <v>0</v>
      </c>
      <c r="AV145" s="35">
        <v>1</v>
      </c>
      <c r="AW145" s="35">
        <v>0.1</v>
      </c>
      <c r="AX145" s="35">
        <v>1</v>
      </c>
    </row>
    <row r="146" s="7" customFormat="1" customHeight="1" spans="1:50">
      <c r="A146" s="18">
        <v>144</v>
      </c>
      <c r="B146" s="34">
        <v>44334</v>
      </c>
      <c r="C146" s="35" t="s">
        <v>55</v>
      </c>
      <c r="D146" s="40">
        <v>675</v>
      </c>
      <c r="E146" s="36">
        <v>400</v>
      </c>
      <c r="F146" s="35">
        <f t="shared" si="14"/>
        <v>390</v>
      </c>
      <c r="G146" s="35">
        <v>27.5</v>
      </c>
      <c r="H146" s="35">
        <v>50</v>
      </c>
      <c r="I146" s="35">
        <v>45</v>
      </c>
      <c r="J146" s="36">
        <v>50</v>
      </c>
      <c r="K146" s="35"/>
      <c r="L146" s="3">
        <f t="shared" si="11"/>
        <v>0.592592592592593</v>
      </c>
      <c r="M146" s="5">
        <f t="shared" si="12"/>
        <v>0.117925925925926</v>
      </c>
      <c r="N146" s="35">
        <f t="shared" si="13"/>
        <v>79.6</v>
      </c>
      <c r="O146" s="35">
        <v>19.3</v>
      </c>
      <c r="P146" s="35"/>
      <c r="Q146" s="35">
        <v>6.2</v>
      </c>
      <c r="R146" s="35"/>
      <c r="S146" s="35"/>
      <c r="T146" s="35"/>
      <c r="U146" s="35"/>
      <c r="V146" s="35"/>
      <c r="W146" s="35"/>
      <c r="X146" s="36">
        <f>11+2.5+12.5+4.5</f>
        <v>30.5</v>
      </c>
      <c r="Y146" s="35"/>
      <c r="Z146" s="35"/>
      <c r="AA146" s="35"/>
      <c r="AB146" s="35"/>
      <c r="AC146" s="35">
        <v>10.2</v>
      </c>
      <c r="AD146" s="35"/>
      <c r="AE146" s="35"/>
      <c r="AF146" s="35">
        <v>1.4</v>
      </c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>
        <v>7</v>
      </c>
      <c r="AR146" s="35">
        <v>5</v>
      </c>
      <c r="AS146" s="35"/>
      <c r="AT146" s="36">
        <v>75</v>
      </c>
      <c r="AU146" s="35">
        <v>0</v>
      </c>
      <c r="AV146" s="35">
        <v>1</v>
      </c>
      <c r="AW146" s="35">
        <v>0.1</v>
      </c>
      <c r="AX146" s="35">
        <v>1</v>
      </c>
    </row>
    <row r="147" s="7" customFormat="1" customHeight="1" spans="1:50">
      <c r="A147" s="18">
        <v>145</v>
      </c>
      <c r="B147" s="34">
        <v>44334</v>
      </c>
      <c r="C147" s="35" t="s">
        <v>57</v>
      </c>
      <c r="D147" s="40">
        <v>700</v>
      </c>
      <c r="E147" s="36">
        <v>370</v>
      </c>
      <c r="F147" s="35">
        <f t="shared" si="14"/>
        <v>360</v>
      </c>
      <c r="G147" s="35">
        <v>27.5</v>
      </c>
      <c r="H147" s="35">
        <v>35</v>
      </c>
      <c r="I147" s="35">
        <v>40</v>
      </c>
      <c r="J147" s="36">
        <v>45</v>
      </c>
      <c r="K147" s="35"/>
      <c r="L147" s="3">
        <f t="shared" si="11"/>
        <v>0.528571428571429</v>
      </c>
      <c r="M147" s="5">
        <f t="shared" si="12"/>
        <v>0.247285714285714</v>
      </c>
      <c r="N147" s="35">
        <f t="shared" si="13"/>
        <v>173.1</v>
      </c>
      <c r="O147" s="35"/>
      <c r="P147" s="35"/>
      <c r="Q147" s="35"/>
      <c r="R147" s="35">
        <f>6+7.5+9</f>
        <v>22.5</v>
      </c>
      <c r="S147" s="35"/>
      <c r="T147" s="35">
        <v>27.4</v>
      </c>
      <c r="U147" s="35"/>
      <c r="V147" s="35"/>
      <c r="W147" s="35">
        <f>4.2+5.2+5.7+5.3</f>
        <v>20.4</v>
      </c>
      <c r="X147" s="36">
        <v>5.5</v>
      </c>
      <c r="Y147" s="35">
        <f>8.1+7.4+8.8+8.9</f>
        <v>33.2</v>
      </c>
      <c r="Z147" s="35">
        <f>11.2+11.8</f>
        <v>23</v>
      </c>
      <c r="AA147" s="35">
        <f>8.6+8.1+9.3+9.1</f>
        <v>35.1</v>
      </c>
      <c r="AB147" s="35"/>
      <c r="AC147" s="35">
        <v>6</v>
      </c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6">
        <v>35</v>
      </c>
      <c r="AU147" s="35">
        <v>1</v>
      </c>
      <c r="AV147" s="35">
        <v>1</v>
      </c>
      <c r="AW147" s="35">
        <v>0.1</v>
      </c>
      <c r="AX147" s="35">
        <v>1</v>
      </c>
    </row>
    <row r="148" s="7" customFormat="1" customHeight="1" spans="1:50">
      <c r="A148" s="18">
        <v>146</v>
      </c>
      <c r="B148" s="34">
        <v>44340</v>
      </c>
      <c r="C148" s="35" t="s">
        <v>57</v>
      </c>
      <c r="D148" s="40">
        <v>800</v>
      </c>
      <c r="E148" s="36">
        <v>409.5</v>
      </c>
      <c r="F148" s="35">
        <v>399</v>
      </c>
      <c r="G148" s="35">
        <v>27.5</v>
      </c>
      <c r="H148" s="35">
        <v>35</v>
      </c>
      <c r="I148" s="35">
        <v>45</v>
      </c>
      <c r="J148" s="36">
        <v>50</v>
      </c>
      <c r="K148" s="35"/>
      <c r="L148" s="3">
        <f t="shared" si="11"/>
        <v>0.511875</v>
      </c>
      <c r="M148" s="5">
        <f t="shared" si="12"/>
        <v>0.4032375</v>
      </c>
      <c r="N148" s="35">
        <f t="shared" si="13"/>
        <v>322.59</v>
      </c>
      <c r="O148" s="35"/>
      <c r="P148" s="35"/>
      <c r="Q148" s="35"/>
      <c r="R148" s="35">
        <f>49.2+39</f>
        <v>88.2</v>
      </c>
      <c r="S148" s="35"/>
      <c r="T148" s="35">
        <f>33.3+3.8</f>
        <v>37.1</v>
      </c>
      <c r="U148" s="35">
        <f>10+10.2+13.7</f>
        <v>33.9</v>
      </c>
      <c r="V148" s="35">
        <f>9.5+14.8</f>
        <v>24.3</v>
      </c>
      <c r="W148" s="35"/>
      <c r="X148" s="36"/>
      <c r="Y148" s="35">
        <v>4.6</v>
      </c>
      <c r="Z148" s="35"/>
      <c r="AA148" s="35"/>
      <c r="AB148" s="35">
        <f>4.7+4.7+10.9</f>
        <v>20.3</v>
      </c>
      <c r="AC148" s="35">
        <f>20+23.2</f>
        <v>43.2</v>
      </c>
      <c r="AD148" s="35"/>
      <c r="AE148" s="35">
        <f>13.8+9.4+6.2+4.4</f>
        <v>33.8</v>
      </c>
      <c r="AF148" s="35">
        <f>1.6+2.1</f>
        <v>3.7</v>
      </c>
      <c r="AG148" s="35"/>
      <c r="AH148" s="35"/>
      <c r="AI148" s="35"/>
      <c r="AJ148" s="35"/>
      <c r="AK148" s="35"/>
      <c r="AL148" s="35"/>
      <c r="AM148" s="35"/>
      <c r="AN148" s="35">
        <v>1.29</v>
      </c>
      <c r="AO148" s="35"/>
      <c r="AP148" s="35">
        <v>1.2</v>
      </c>
      <c r="AQ148" s="35">
        <v>12</v>
      </c>
      <c r="AR148" s="35">
        <v>19</v>
      </c>
      <c r="AS148" s="35"/>
      <c r="AT148" s="36">
        <v>35</v>
      </c>
      <c r="AU148" s="35">
        <v>1</v>
      </c>
      <c r="AV148" s="35">
        <v>1</v>
      </c>
      <c r="AW148" s="35">
        <v>0.1</v>
      </c>
      <c r="AX148" s="35">
        <v>1</v>
      </c>
    </row>
    <row r="149" s="7" customFormat="1" customHeight="1" spans="1:50">
      <c r="A149" s="18">
        <v>147</v>
      </c>
      <c r="B149" s="34">
        <v>44340</v>
      </c>
      <c r="C149" s="35" t="s">
        <v>57</v>
      </c>
      <c r="D149" s="40">
        <v>600</v>
      </c>
      <c r="E149" s="36">
        <v>312</v>
      </c>
      <c r="F149" s="35">
        <v>300</v>
      </c>
      <c r="G149" s="35">
        <v>27.5</v>
      </c>
      <c r="H149" s="35">
        <v>35</v>
      </c>
      <c r="I149" s="35">
        <v>40</v>
      </c>
      <c r="J149" s="36">
        <v>44</v>
      </c>
      <c r="K149" s="35"/>
      <c r="L149" s="3">
        <f t="shared" si="11"/>
        <v>0.52</v>
      </c>
      <c r="M149" s="5">
        <f t="shared" si="12"/>
        <v>0.333583333333333</v>
      </c>
      <c r="N149" s="35">
        <f t="shared" si="13"/>
        <v>200.15</v>
      </c>
      <c r="O149" s="35">
        <f>5.2+5.95+5.5+5.25</f>
        <v>21.9</v>
      </c>
      <c r="P149" s="35">
        <f>12.6+8.5</f>
        <v>21.1</v>
      </c>
      <c r="Q149" s="35">
        <v>3.56</v>
      </c>
      <c r="R149" s="35">
        <v>9.6</v>
      </c>
      <c r="S149" s="35">
        <v>4</v>
      </c>
      <c r="T149" s="35">
        <f>8+8.58+10.5</f>
        <v>27.08</v>
      </c>
      <c r="U149" s="35">
        <v>10</v>
      </c>
      <c r="V149" s="35">
        <f>9.2</f>
        <v>9.2</v>
      </c>
      <c r="W149" s="35">
        <v>7.6</v>
      </c>
      <c r="X149" s="36">
        <f>0.9+4.48</f>
        <v>5.38</v>
      </c>
      <c r="Y149" s="35">
        <v>4.4</v>
      </c>
      <c r="Z149" s="35">
        <f>4.9+4.77</f>
        <v>9.67</v>
      </c>
      <c r="AA149" s="35">
        <f>7.46+7.8</f>
        <v>15.26</v>
      </c>
      <c r="AB149" s="35">
        <f>4.37+4.58</f>
        <v>8.95</v>
      </c>
      <c r="AC149" s="35">
        <v>6.19</v>
      </c>
      <c r="AD149" s="35">
        <f>5.56+5.94</f>
        <v>11.5</v>
      </c>
      <c r="AE149" s="35">
        <f>5.4+9.3</f>
        <v>14.7</v>
      </c>
      <c r="AF149" s="35"/>
      <c r="AG149" s="35"/>
      <c r="AH149" s="35"/>
      <c r="AI149" s="35"/>
      <c r="AJ149" s="35"/>
      <c r="AK149" s="35"/>
      <c r="AL149" s="35"/>
      <c r="AM149" s="35"/>
      <c r="AN149" s="35">
        <v>0.56</v>
      </c>
      <c r="AO149" s="35"/>
      <c r="AP149" s="35"/>
      <c r="AQ149" s="35"/>
      <c r="AR149" s="35">
        <v>9.5</v>
      </c>
      <c r="AS149" s="35"/>
      <c r="AT149" s="36">
        <v>35</v>
      </c>
      <c r="AU149" s="35">
        <v>0</v>
      </c>
      <c r="AV149" s="35">
        <v>1</v>
      </c>
      <c r="AW149" s="35">
        <v>0.1</v>
      </c>
      <c r="AX149" s="35">
        <v>1</v>
      </c>
    </row>
    <row r="150" s="7" customFormat="1" customHeight="1" spans="1:47">
      <c r="A150" s="18">
        <v>148</v>
      </c>
      <c r="B150" s="44">
        <v>44340</v>
      </c>
      <c r="C150" s="45" t="s">
        <v>58</v>
      </c>
      <c r="D150" s="57">
        <v>400</v>
      </c>
      <c r="E150" s="39">
        <v>228</v>
      </c>
      <c r="F150" s="7">
        <v>218</v>
      </c>
      <c r="G150" s="7">
        <v>25</v>
      </c>
      <c r="H150" s="7">
        <v>70</v>
      </c>
      <c r="I150" s="7">
        <v>40</v>
      </c>
      <c r="J150" s="46">
        <v>42</v>
      </c>
      <c r="L150" s="47">
        <f t="shared" si="11"/>
        <v>0.57</v>
      </c>
      <c r="M150" s="5">
        <f t="shared" si="12"/>
        <v>0.482</v>
      </c>
      <c r="N150" s="51">
        <f t="shared" si="13"/>
        <v>192.8</v>
      </c>
      <c r="O150" s="7">
        <v>2.56</v>
      </c>
      <c r="P150" s="7">
        <v>7.25</v>
      </c>
      <c r="Q150" s="7">
        <v>2.3</v>
      </c>
      <c r="R150" s="7">
        <v>30</v>
      </c>
      <c r="S150" s="7">
        <v>2.2</v>
      </c>
      <c r="T150" s="7">
        <f>6.7+4.56</f>
        <v>11.26</v>
      </c>
      <c r="U150" s="7">
        <v>8.3</v>
      </c>
      <c r="V150" s="7">
        <v>12</v>
      </c>
      <c r="W150" s="7">
        <v>10</v>
      </c>
      <c r="X150" s="46">
        <v>4.86</v>
      </c>
      <c r="Y150" s="7">
        <v>4.65</v>
      </c>
      <c r="AA150" s="7">
        <v>3.1</v>
      </c>
      <c r="AB150" s="7">
        <v>43</v>
      </c>
      <c r="AD150" s="7">
        <f>6.27+7</f>
        <v>13.27</v>
      </c>
      <c r="AE150" s="7">
        <f>11.9+7.9</f>
        <v>19.8</v>
      </c>
      <c r="AF150" s="7">
        <v>1.19</v>
      </c>
      <c r="AN150" s="7">
        <v>0.56</v>
      </c>
      <c r="AQ150" s="7">
        <v>3.5</v>
      </c>
      <c r="AR150" s="7">
        <v>13</v>
      </c>
      <c r="AT150" s="46">
        <v>30</v>
      </c>
      <c r="AU150" s="7">
        <v>1</v>
      </c>
    </row>
    <row r="151" s="7" customFormat="1" customHeight="1" spans="1:50">
      <c r="A151" s="18">
        <v>149</v>
      </c>
      <c r="B151" s="34">
        <v>44349</v>
      </c>
      <c r="C151" s="35" t="s">
        <v>55</v>
      </c>
      <c r="D151" s="36">
        <v>800</v>
      </c>
      <c r="E151" s="36">
        <v>438</v>
      </c>
      <c r="F151" s="35">
        <v>425</v>
      </c>
      <c r="G151" s="35">
        <v>30</v>
      </c>
      <c r="H151" s="35">
        <v>50</v>
      </c>
      <c r="I151" s="35">
        <v>50</v>
      </c>
      <c r="J151" s="36">
        <v>45</v>
      </c>
      <c r="K151" s="35"/>
      <c r="L151" s="36">
        <f t="shared" si="11"/>
        <v>0.5475</v>
      </c>
      <c r="M151" s="5">
        <f t="shared" si="12"/>
        <v>0.4034375</v>
      </c>
      <c r="N151" s="35">
        <f t="shared" si="13"/>
        <v>322.75</v>
      </c>
      <c r="O151" s="35">
        <f>5.3+6.55+3.75</f>
        <v>15.6</v>
      </c>
      <c r="P151" s="35">
        <v>18</v>
      </c>
      <c r="Q151" s="35">
        <v>2.8</v>
      </c>
      <c r="R151" s="35">
        <f>13+15.5+14+12.6+13.5</f>
        <v>68.6</v>
      </c>
      <c r="S151" s="35">
        <f>2.45+1.6</f>
        <v>4.05</v>
      </c>
      <c r="T151" s="35">
        <v>29.5</v>
      </c>
      <c r="U151" s="35">
        <f>6.7+7.5</f>
        <v>14.2</v>
      </c>
      <c r="V151" s="35">
        <v>16.4</v>
      </c>
      <c r="W151" s="35">
        <f>5.3+3.3</f>
        <v>8.6</v>
      </c>
      <c r="X151" s="36">
        <v>5</v>
      </c>
      <c r="Y151" s="35">
        <v>4.5</v>
      </c>
      <c r="Z151" s="35">
        <v>11</v>
      </c>
      <c r="AA151" s="35">
        <f>8+7.6</f>
        <v>15.6</v>
      </c>
      <c r="AB151" s="35">
        <f>5.4+4.65</f>
        <v>10.05</v>
      </c>
      <c r="AC151" s="35">
        <f>10.7+4</f>
        <v>14.7</v>
      </c>
      <c r="AD151" s="35">
        <v>18.8</v>
      </c>
      <c r="AE151" s="35">
        <v>17.8</v>
      </c>
      <c r="AF151" s="35">
        <v>0.55</v>
      </c>
      <c r="AG151" s="35"/>
      <c r="AH151" s="35"/>
      <c r="AI151" s="35"/>
      <c r="AJ151" s="35"/>
      <c r="AK151" s="35"/>
      <c r="AL151" s="35"/>
      <c r="AM151" s="35"/>
      <c r="AN151" s="35"/>
      <c r="AO151" s="35"/>
      <c r="AP151" s="35">
        <v>20</v>
      </c>
      <c r="AQ151" s="35">
        <v>12</v>
      </c>
      <c r="AR151" s="35">
        <v>15</v>
      </c>
      <c r="AS151" s="35"/>
      <c r="AT151" s="36">
        <v>75</v>
      </c>
      <c r="AU151" s="35">
        <v>0</v>
      </c>
      <c r="AV151" s="35">
        <v>1</v>
      </c>
      <c r="AW151" s="35">
        <v>0</v>
      </c>
      <c r="AX151" s="35">
        <v>1</v>
      </c>
    </row>
    <row r="152" s="7" customFormat="1" customHeight="1" spans="1:50">
      <c r="A152" s="18">
        <v>150</v>
      </c>
      <c r="B152" s="34">
        <v>44349</v>
      </c>
      <c r="C152" s="35" t="s">
        <v>59</v>
      </c>
      <c r="D152" s="36">
        <v>800</v>
      </c>
      <c r="E152" s="36">
        <v>440</v>
      </c>
      <c r="F152" s="35">
        <v>428</v>
      </c>
      <c r="G152" s="35">
        <v>30</v>
      </c>
      <c r="H152" s="35">
        <v>50</v>
      </c>
      <c r="I152" s="35">
        <v>50</v>
      </c>
      <c r="J152" s="36">
        <v>45</v>
      </c>
      <c r="K152" s="35"/>
      <c r="L152" s="36">
        <f t="shared" si="11"/>
        <v>0.55</v>
      </c>
      <c r="M152" s="5">
        <f t="shared" si="12"/>
        <v>0.3492</v>
      </c>
      <c r="N152" s="35">
        <f t="shared" si="13"/>
        <v>279.36</v>
      </c>
      <c r="O152" s="35">
        <f>6.4+5.8</f>
        <v>12.2</v>
      </c>
      <c r="P152" s="35">
        <v>16.02</v>
      </c>
      <c r="Q152" s="35">
        <v>2.95</v>
      </c>
      <c r="R152" s="35">
        <v>50.8</v>
      </c>
      <c r="S152" s="35">
        <v>4.8</v>
      </c>
      <c r="T152" s="35">
        <f>10.7+5.7+5.25</f>
        <v>21.65</v>
      </c>
      <c r="U152" s="35">
        <f>11.3+8.6</f>
        <v>19.9</v>
      </c>
      <c r="V152" s="35">
        <v>15</v>
      </c>
      <c r="W152" s="35">
        <v>12</v>
      </c>
      <c r="X152" s="36">
        <v>5.6</v>
      </c>
      <c r="Y152" s="35">
        <v>4.5</v>
      </c>
      <c r="Z152" s="35">
        <v>11</v>
      </c>
      <c r="AA152" s="35">
        <f>10.5+10.4</f>
        <v>20.9</v>
      </c>
      <c r="AB152" s="35">
        <f>5.8+5.8</f>
        <v>11.6</v>
      </c>
      <c r="AC152" s="35">
        <v>6.3</v>
      </c>
      <c r="AD152" s="35">
        <f>3.5+6.2+3.5+6.2</f>
        <v>19.4</v>
      </c>
      <c r="AE152" s="35">
        <f>5.3+7.7+3.5</f>
        <v>16.5</v>
      </c>
      <c r="AF152" s="35">
        <v>0.75</v>
      </c>
      <c r="AG152" s="35"/>
      <c r="AH152" s="35"/>
      <c r="AI152" s="35"/>
      <c r="AJ152" s="35"/>
      <c r="AK152" s="35"/>
      <c r="AL152" s="35"/>
      <c r="AM152" s="35"/>
      <c r="AN152" s="35">
        <v>0.67</v>
      </c>
      <c r="AO152" s="35"/>
      <c r="AP152" s="35">
        <v>0.82</v>
      </c>
      <c r="AQ152" s="35">
        <v>12</v>
      </c>
      <c r="AR152" s="35">
        <v>14</v>
      </c>
      <c r="AS152" s="35"/>
      <c r="AT152" s="36">
        <v>75</v>
      </c>
      <c r="AU152" s="35">
        <v>0</v>
      </c>
      <c r="AV152" s="35">
        <v>1</v>
      </c>
      <c r="AW152" s="35">
        <v>0</v>
      </c>
      <c r="AX152" s="35">
        <v>1</v>
      </c>
    </row>
    <row r="153" s="7" customFormat="1" customHeight="1" spans="1:50">
      <c r="A153" s="18">
        <v>151</v>
      </c>
      <c r="B153" s="34">
        <v>44356</v>
      </c>
      <c r="C153" s="35" t="s">
        <v>55</v>
      </c>
      <c r="D153" s="36">
        <v>950</v>
      </c>
      <c r="E153" s="36">
        <v>474.5</v>
      </c>
      <c r="F153" s="35">
        <v>464</v>
      </c>
      <c r="G153" s="35">
        <v>32</v>
      </c>
      <c r="H153" s="35">
        <v>65</v>
      </c>
      <c r="I153" s="35">
        <v>60</v>
      </c>
      <c r="J153" s="36">
        <v>52</v>
      </c>
      <c r="K153" s="35"/>
      <c r="L153" s="36">
        <f t="shared" si="11"/>
        <v>0.499473684210526</v>
      </c>
      <c r="M153" s="5">
        <f t="shared" si="12"/>
        <v>0.337989473684211</v>
      </c>
      <c r="N153" s="35">
        <f t="shared" si="13"/>
        <v>321.09</v>
      </c>
      <c r="O153" s="35">
        <v>8.6</v>
      </c>
      <c r="P153" s="35">
        <f>12.5+8.6</f>
        <v>21.1</v>
      </c>
      <c r="Q153" s="35">
        <f>1.45+1.5</f>
        <v>2.95</v>
      </c>
      <c r="R153" s="35">
        <v>60.9</v>
      </c>
      <c r="S153" s="35">
        <v>6.4</v>
      </c>
      <c r="T153" s="35">
        <v>27</v>
      </c>
      <c r="U153" s="35">
        <f>8.6+7.3</f>
        <v>15.9</v>
      </c>
      <c r="V153" s="35">
        <f>10.37+10.85</f>
        <v>21.22</v>
      </c>
      <c r="W153" s="35">
        <v>6.45</v>
      </c>
      <c r="X153" s="36">
        <v>6.8</v>
      </c>
      <c r="Y153" s="35">
        <v>6.23</v>
      </c>
      <c r="Z153" s="35">
        <v>13</v>
      </c>
      <c r="AA153" s="35">
        <f>9.25+9.2</f>
        <v>18.45</v>
      </c>
      <c r="AB153" s="35">
        <f>5.3+3.5+5</f>
        <v>13.8</v>
      </c>
      <c r="AC153" s="35">
        <f>6.5+11.7</f>
        <v>18.2</v>
      </c>
      <c r="AD153" s="35">
        <v>19.1</v>
      </c>
      <c r="AE153" s="35">
        <f>6.4+3+5.2+2</f>
        <v>16.6</v>
      </c>
      <c r="AF153" s="35">
        <f>2.45+1.09</f>
        <v>3.54</v>
      </c>
      <c r="AG153" s="35">
        <v>8</v>
      </c>
      <c r="AH153" s="35"/>
      <c r="AI153" s="35"/>
      <c r="AJ153" s="35"/>
      <c r="AK153" s="35"/>
      <c r="AL153" s="35"/>
      <c r="AM153" s="35"/>
      <c r="AN153" s="35">
        <v>1.2</v>
      </c>
      <c r="AO153" s="35"/>
      <c r="AP153" s="35">
        <v>1.15</v>
      </c>
      <c r="AQ153" s="35">
        <v>11</v>
      </c>
      <c r="AR153" s="35">
        <v>13.5</v>
      </c>
      <c r="AS153" s="35"/>
      <c r="AT153" s="36">
        <v>80</v>
      </c>
      <c r="AU153" s="35">
        <v>0</v>
      </c>
      <c r="AV153" s="35">
        <v>1</v>
      </c>
      <c r="AW153" s="35">
        <v>0</v>
      </c>
      <c r="AX153" s="35">
        <v>1</v>
      </c>
    </row>
    <row r="154" s="7" customFormat="1" customHeight="1" spans="1:50">
      <c r="A154" s="18">
        <v>152</v>
      </c>
      <c r="B154" s="34">
        <v>44366</v>
      </c>
      <c r="C154" s="35" t="s">
        <v>55</v>
      </c>
      <c r="D154" s="36">
        <v>750</v>
      </c>
      <c r="E154" s="36">
        <v>408</v>
      </c>
      <c r="F154" s="35">
        <v>395</v>
      </c>
      <c r="G154" s="35">
        <v>30</v>
      </c>
      <c r="H154" s="35">
        <v>60</v>
      </c>
      <c r="I154" s="35"/>
      <c r="J154" s="36">
        <v>50</v>
      </c>
      <c r="K154" s="35"/>
      <c r="L154" s="36">
        <f t="shared" si="11"/>
        <v>0.544</v>
      </c>
      <c r="M154" s="5">
        <f t="shared" si="12"/>
        <v>0.331893333333333</v>
      </c>
      <c r="N154" s="35">
        <f t="shared" si="13"/>
        <v>248.92</v>
      </c>
      <c r="O154" s="35">
        <f>5.45+5.3</f>
        <v>10.75</v>
      </c>
      <c r="P154" s="35">
        <f>12.5+3.2</f>
        <v>15.7</v>
      </c>
      <c r="Q154" s="35">
        <v>2.7</v>
      </c>
      <c r="R154" s="35">
        <f>13.9+15.2+6+20</f>
        <v>55.1</v>
      </c>
      <c r="S154" s="35">
        <f>1.35+1.3</f>
        <v>2.65</v>
      </c>
      <c r="T154" s="35">
        <f>6.6+7.6</f>
        <v>14.2</v>
      </c>
      <c r="U154" s="35">
        <f>6.25+8.7</f>
        <v>14.95</v>
      </c>
      <c r="V154" s="35">
        <v>19.2</v>
      </c>
      <c r="W154" s="35">
        <v>9.57</v>
      </c>
      <c r="X154" s="36">
        <v>5.3</v>
      </c>
      <c r="Y154" s="35">
        <v>4.85</v>
      </c>
      <c r="Z154" s="35">
        <f>2.5+3.35+6</f>
        <v>11.85</v>
      </c>
      <c r="AA154" s="35">
        <f>9.6+9.7</f>
        <v>19.3</v>
      </c>
      <c r="AB154" s="35">
        <f>3.3+2.8+3.5</f>
        <v>9.6</v>
      </c>
      <c r="AC154" s="35">
        <v>5.9</v>
      </c>
      <c r="AD154" s="35">
        <f>7.4+2.9+4.9</f>
        <v>15.2</v>
      </c>
      <c r="AE154" s="35">
        <v>11.8</v>
      </c>
      <c r="AF154" s="35">
        <v>1</v>
      </c>
      <c r="AG154" s="35"/>
      <c r="AH154" s="35"/>
      <c r="AI154" s="35"/>
      <c r="AJ154" s="35"/>
      <c r="AK154" s="35"/>
      <c r="AL154" s="35"/>
      <c r="AM154" s="35"/>
      <c r="AN154" s="35">
        <v>0.5</v>
      </c>
      <c r="AO154" s="35"/>
      <c r="AP154" s="35">
        <v>0.8</v>
      </c>
      <c r="AQ154" s="35">
        <v>7</v>
      </c>
      <c r="AR154" s="35">
        <v>11</v>
      </c>
      <c r="AS154" s="35"/>
      <c r="AT154" s="36">
        <v>70</v>
      </c>
      <c r="AU154" s="35">
        <v>0</v>
      </c>
      <c r="AV154" s="35">
        <v>1</v>
      </c>
      <c r="AW154" s="35">
        <v>0</v>
      </c>
      <c r="AX154" s="35">
        <v>1</v>
      </c>
    </row>
    <row r="155" s="7" customFormat="1" customHeight="1" spans="1:50">
      <c r="A155" s="18">
        <v>153</v>
      </c>
      <c r="B155" s="34">
        <v>44398</v>
      </c>
      <c r="C155" s="35" t="s">
        <v>60</v>
      </c>
      <c r="D155" s="36">
        <v>450</v>
      </c>
      <c r="E155" s="36">
        <v>210</v>
      </c>
      <c r="F155" s="35">
        <v>200</v>
      </c>
      <c r="G155" s="35">
        <v>30</v>
      </c>
      <c r="H155" s="35">
        <v>25</v>
      </c>
      <c r="I155" s="35">
        <v>32</v>
      </c>
      <c r="J155" s="36">
        <v>35</v>
      </c>
      <c r="K155" s="35"/>
      <c r="L155" s="36">
        <f t="shared" si="11"/>
        <v>0.466666666666667</v>
      </c>
      <c r="M155" s="5">
        <f t="shared" si="12"/>
        <v>0.327711111111111</v>
      </c>
      <c r="N155" s="35">
        <f t="shared" si="13"/>
        <v>147.47</v>
      </c>
      <c r="O155" s="35">
        <v>9.6</v>
      </c>
      <c r="P155" s="35">
        <f>9.3+1.2</f>
        <v>10.5</v>
      </c>
      <c r="Q155" s="35">
        <v>1.9</v>
      </c>
      <c r="R155" s="35">
        <f>11.6+12</f>
        <v>23.6</v>
      </c>
      <c r="S155" s="35">
        <v>3</v>
      </c>
      <c r="T155" s="35">
        <f>2.29+4.2</f>
        <v>6.49</v>
      </c>
      <c r="U155" s="35"/>
      <c r="V155" s="35">
        <v>7.8</v>
      </c>
      <c r="W155" s="35">
        <v>9.5</v>
      </c>
      <c r="X155" s="36">
        <v>3.2</v>
      </c>
      <c r="Y155" s="35">
        <v>2.7</v>
      </c>
      <c r="Z155" s="35">
        <v>8</v>
      </c>
      <c r="AA155" s="35">
        <v>11.1</v>
      </c>
      <c r="AB155" s="35">
        <v>8.5</v>
      </c>
      <c r="AC155" s="35">
        <v>15.8</v>
      </c>
      <c r="AD155" s="35">
        <v>6.7</v>
      </c>
      <c r="AE155" s="35">
        <v>6.5</v>
      </c>
      <c r="AF155" s="35">
        <v>0.8</v>
      </c>
      <c r="AG155" s="35">
        <v>2</v>
      </c>
      <c r="AH155" s="35"/>
      <c r="AI155" s="35"/>
      <c r="AJ155" s="35"/>
      <c r="AK155" s="35"/>
      <c r="AL155" s="35"/>
      <c r="AM155" s="35"/>
      <c r="AN155" s="35">
        <v>1.28</v>
      </c>
      <c r="AO155" s="35"/>
      <c r="AP155" s="35">
        <v>0.5</v>
      </c>
      <c r="AQ155" s="35">
        <v>1</v>
      </c>
      <c r="AR155" s="35">
        <f>7</f>
        <v>7</v>
      </c>
      <c r="AS155" s="35"/>
      <c r="AT155" s="36">
        <v>20</v>
      </c>
      <c r="AU155" s="35">
        <v>0</v>
      </c>
      <c r="AV155" s="35">
        <v>1</v>
      </c>
      <c r="AW155" s="35">
        <v>0</v>
      </c>
      <c r="AX155" s="35">
        <v>1</v>
      </c>
    </row>
    <row r="156" s="7" customFormat="1" customHeight="1" spans="1:50">
      <c r="A156" s="18">
        <v>154</v>
      </c>
      <c r="B156" s="34">
        <v>44398</v>
      </c>
      <c r="C156" s="35" t="s">
        <v>61</v>
      </c>
      <c r="D156" s="36">
        <v>650</v>
      </c>
      <c r="E156" s="36">
        <v>319.5</v>
      </c>
      <c r="F156" s="35">
        <v>310</v>
      </c>
      <c r="G156" s="35">
        <v>38</v>
      </c>
      <c r="H156" s="35">
        <v>25</v>
      </c>
      <c r="I156" s="35">
        <v>41</v>
      </c>
      <c r="J156" s="36">
        <v>41</v>
      </c>
      <c r="K156" s="35"/>
      <c r="L156" s="36">
        <f t="shared" si="11"/>
        <v>0.491538461538462</v>
      </c>
      <c r="M156" s="5">
        <f t="shared" si="12"/>
        <v>0.307615384615385</v>
      </c>
      <c r="N156" s="35">
        <f t="shared" si="13"/>
        <v>199.95</v>
      </c>
      <c r="O156" s="35">
        <v>9.2</v>
      </c>
      <c r="P156" s="35">
        <f>7.5+8</f>
        <v>15.5</v>
      </c>
      <c r="Q156" s="35">
        <v>2.4</v>
      </c>
      <c r="R156" s="35">
        <v>29.5</v>
      </c>
      <c r="S156" s="35">
        <v>3.5</v>
      </c>
      <c r="T156" s="35">
        <v>7.3</v>
      </c>
      <c r="U156" s="35">
        <v>8</v>
      </c>
      <c r="V156" s="35"/>
      <c r="W156" s="35">
        <v>12.8</v>
      </c>
      <c r="X156" s="36">
        <v>5.75</v>
      </c>
      <c r="Y156" s="35">
        <v>3.3</v>
      </c>
      <c r="Z156" s="35">
        <v>9.1</v>
      </c>
      <c r="AA156" s="35">
        <v>12.8</v>
      </c>
      <c r="AB156" s="35">
        <v>8</v>
      </c>
      <c r="AC156" s="35">
        <f>10.9+6.5</f>
        <v>17.4</v>
      </c>
      <c r="AD156" s="35">
        <f>7.1+2.7</f>
        <v>9.8</v>
      </c>
      <c r="AE156" s="35">
        <v>19.3</v>
      </c>
      <c r="AF156" s="35">
        <v>1.8</v>
      </c>
      <c r="AG156" s="35">
        <v>3</v>
      </c>
      <c r="AH156" s="35"/>
      <c r="AI156" s="35"/>
      <c r="AJ156" s="35"/>
      <c r="AK156" s="35"/>
      <c r="AL156" s="35"/>
      <c r="AM156" s="35"/>
      <c r="AN156" s="35">
        <v>1.4</v>
      </c>
      <c r="AO156" s="35"/>
      <c r="AP156" s="35"/>
      <c r="AQ156" s="35">
        <v>2</v>
      </c>
      <c r="AR156" s="35">
        <f>4.6+2.5+11</f>
        <v>18.1</v>
      </c>
      <c r="AS156" s="35"/>
      <c r="AT156" s="36">
        <v>60</v>
      </c>
      <c r="AU156" s="35">
        <v>0</v>
      </c>
      <c r="AV156" s="35">
        <v>1</v>
      </c>
      <c r="AW156" s="35">
        <v>0</v>
      </c>
      <c r="AX156" s="35">
        <v>1</v>
      </c>
    </row>
    <row r="157" s="7" customFormat="1" customHeight="1" spans="1:50">
      <c r="A157" s="18">
        <v>155</v>
      </c>
      <c r="B157" s="34">
        <v>44411</v>
      </c>
      <c r="C157" s="35" t="s">
        <v>61</v>
      </c>
      <c r="D157" s="36">
        <v>750</v>
      </c>
      <c r="E157" s="36">
        <f>348.5</f>
        <v>348.5</v>
      </c>
      <c r="F157" s="35">
        <v>339</v>
      </c>
      <c r="G157" s="35">
        <v>30</v>
      </c>
      <c r="H157" s="35">
        <v>58</v>
      </c>
      <c r="I157" s="35">
        <v>48</v>
      </c>
      <c r="J157" s="36"/>
      <c r="K157" s="35"/>
      <c r="L157" s="36">
        <f t="shared" si="11"/>
        <v>0.464666666666667</v>
      </c>
      <c r="M157" s="5">
        <f t="shared" si="12"/>
        <v>0.203453333333333</v>
      </c>
      <c r="N157" s="35">
        <f t="shared" si="13"/>
        <v>152.59</v>
      </c>
      <c r="O157" s="35">
        <v>4.6</v>
      </c>
      <c r="P157" s="35">
        <v>7.6</v>
      </c>
      <c r="Q157" s="35"/>
      <c r="R157" s="35">
        <f>2+13+1.5+15</f>
        <v>31.5</v>
      </c>
      <c r="S157" s="35">
        <v>3.45</v>
      </c>
      <c r="T157" s="35">
        <f>3.4+4.09</f>
        <v>7.49</v>
      </c>
      <c r="U157" s="35"/>
      <c r="V157" s="35">
        <v>4</v>
      </c>
      <c r="W157" s="35">
        <v>2.8</v>
      </c>
      <c r="X157" s="36">
        <v>1.7</v>
      </c>
      <c r="Y157" s="35"/>
      <c r="Z157" s="35">
        <f>8.1+4.8</f>
        <v>12.9</v>
      </c>
      <c r="AA157" s="35">
        <f>6.4+8.1</f>
        <v>14.5</v>
      </c>
      <c r="AB157" s="35">
        <f>1.6+4.8</f>
        <v>6.4</v>
      </c>
      <c r="AC157" s="35">
        <f>7.8+21</f>
        <v>28.8</v>
      </c>
      <c r="AD157" s="35">
        <f>5.15+1.8</f>
        <v>6.95</v>
      </c>
      <c r="AE157" s="35">
        <v>4.9</v>
      </c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>
        <v>1</v>
      </c>
      <c r="AR157" s="35">
        <v>14</v>
      </c>
      <c r="AS157" s="35"/>
      <c r="AT157" s="36">
        <v>60</v>
      </c>
      <c r="AU157" s="35">
        <v>0</v>
      </c>
      <c r="AV157" s="35">
        <v>1</v>
      </c>
      <c r="AW157" s="35">
        <v>0</v>
      </c>
      <c r="AX157" s="35">
        <v>1</v>
      </c>
    </row>
    <row r="158" s="7" customFormat="1" customHeight="1" spans="1:50">
      <c r="A158" s="18">
        <v>156</v>
      </c>
      <c r="B158" s="34">
        <v>44411</v>
      </c>
      <c r="C158" s="35" t="s">
        <v>62</v>
      </c>
      <c r="D158" s="36">
        <v>550</v>
      </c>
      <c r="E158" s="36">
        <v>279.5</v>
      </c>
      <c r="F158" s="35">
        <v>270</v>
      </c>
      <c r="G158" s="35">
        <v>25</v>
      </c>
      <c r="H158" s="35">
        <v>25</v>
      </c>
      <c r="I158" s="35">
        <v>40</v>
      </c>
      <c r="J158" s="36">
        <v>89</v>
      </c>
      <c r="K158" s="35"/>
      <c r="L158" s="36">
        <f t="shared" si="11"/>
        <v>0.508181818181818</v>
      </c>
      <c r="M158" s="5">
        <f t="shared" si="12"/>
        <v>0.399836363636364</v>
      </c>
      <c r="N158" s="35">
        <f t="shared" si="13"/>
        <v>219.91</v>
      </c>
      <c r="O158" s="35">
        <f>3.78+4.3</f>
        <v>8.08</v>
      </c>
      <c r="P158" s="35">
        <f>4.85+4.3+5.68</f>
        <v>14.83</v>
      </c>
      <c r="Q158" s="35">
        <v>2.4</v>
      </c>
      <c r="R158" s="35">
        <f>14+15.8+8.6</f>
        <v>38.4</v>
      </c>
      <c r="S158" s="35">
        <v>4.4</v>
      </c>
      <c r="T158" s="35">
        <f>8.78+8.98</f>
        <v>17.76</v>
      </c>
      <c r="U158" s="35">
        <v>12.7</v>
      </c>
      <c r="V158" s="35">
        <f>7.1+6.35</f>
        <v>13.45</v>
      </c>
      <c r="W158" s="35">
        <v>7.35</v>
      </c>
      <c r="X158" s="36">
        <f>4.87+1.25</f>
        <v>6.12</v>
      </c>
      <c r="Y158" s="35">
        <v>4.25</v>
      </c>
      <c r="Z158" s="35">
        <f>5.58+5.44</f>
        <v>11.02</v>
      </c>
      <c r="AA158" s="35">
        <f>8.29+7.5</f>
        <v>15.79</v>
      </c>
      <c r="AB158" s="35">
        <f>4.5+4.6</f>
        <v>9.1</v>
      </c>
      <c r="AC158" s="35">
        <f>7.4+7.8+9.2</f>
        <v>24.4</v>
      </c>
      <c r="AD158" s="35">
        <f>6.35+4.7+2.4</f>
        <v>13.45</v>
      </c>
      <c r="AE158" s="35">
        <f>4.76+10.15</f>
        <v>14.91</v>
      </c>
      <c r="AF158" s="35">
        <v>1.5</v>
      </c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6">
        <v>35</v>
      </c>
      <c r="AU158" s="35">
        <v>0</v>
      </c>
      <c r="AV158" s="35">
        <v>1</v>
      </c>
      <c r="AW158" s="35">
        <v>0</v>
      </c>
      <c r="AX158" s="35">
        <v>1</v>
      </c>
    </row>
    <row r="159" s="7" customFormat="1" customHeight="1" spans="1:50">
      <c r="A159" s="18">
        <v>157</v>
      </c>
      <c r="B159" s="34">
        <v>44411</v>
      </c>
      <c r="C159" s="35" t="s">
        <v>62</v>
      </c>
      <c r="D159" s="36">
        <v>550</v>
      </c>
      <c r="E159" s="36">
        <v>276</v>
      </c>
      <c r="F159" s="35">
        <v>266</v>
      </c>
      <c r="G159" s="35">
        <v>25</v>
      </c>
      <c r="H159" s="35">
        <v>25</v>
      </c>
      <c r="I159" s="35">
        <v>40</v>
      </c>
      <c r="J159" s="36">
        <v>136</v>
      </c>
      <c r="K159" s="35"/>
      <c r="L159" s="36">
        <f t="shared" si="11"/>
        <v>0.501818181818182</v>
      </c>
      <c r="M159" s="5">
        <f t="shared" si="12"/>
        <v>0.497109090909091</v>
      </c>
      <c r="N159" s="35">
        <f t="shared" si="13"/>
        <v>273.41</v>
      </c>
      <c r="O159" s="35">
        <v>8.45</v>
      </c>
      <c r="P159" s="35">
        <f>3.7+7.9+1.8</f>
        <v>13.4</v>
      </c>
      <c r="Q159" s="35">
        <v>2.48</v>
      </c>
      <c r="R159" s="35">
        <f>16.5+13.8+12.4+8.6</f>
        <v>51.3</v>
      </c>
      <c r="S159" s="35">
        <v>3.4</v>
      </c>
      <c r="T159" s="35">
        <v>18.53</v>
      </c>
      <c r="U159" s="35">
        <f>4.4+7.48</f>
        <v>11.88</v>
      </c>
      <c r="V159" s="35">
        <f>3.8+2.39+9.4</f>
        <v>15.59</v>
      </c>
      <c r="W159" s="35">
        <f>3.6+6.9</f>
        <v>10.5</v>
      </c>
      <c r="X159" s="36">
        <v>4.85</v>
      </c>
      <c r="Y159" s="35">
        <v>4</v>
      </c>
      <c r="Z159" s="35">
        <f>10.65</f>
        <v>10.65</v>
      </c>
      <c r="AA159" s="35">
        <f>8.2+8.15+6</f>
        <v>22.35</v>
      </c>
      <c r="AB159" s="35">
        <v>9.5</v>
      </c>
      <c r="AC159" s="35">
        <v>24.8</v>
      </c>
      <c r="AD159" s="35">
        <v>5.8</v>
      </c>
      <c r="AE159" s="35">
        <f>8.1+6.35+5.2</f>
        <v>19.65</v>
      </c>
      <c r="AF159" s="35">
        <v>1.28</v>
      </c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>
        <v>9</v>
      </c>
      <c r="AR159" s="35">
        <v>26</v>
      </c>
      <c r="AS159" s="35"/>
      <c r="AT159" s="36">
        <v>35</v>
      </c>
      <c r="AU159" s="35">
        <v>0</v>
      </c>
      <c r="AV159" s="35">
        <v>1</v>
      </c>
      <c r="AW159" s="35">
        <v>0</v>
      </c>
      <c r="AX159" s="35">
        <v>1</v>
      </c>
    </row>
    <row r="160" s="7" customFormat="1" customHeight="1" spans="1:50">
      <c r="A160" s="18">
        <v>158</v>
      </c>
      <c r="B160" s="34">
        <v>44411</v>
      </c>
      <c r="C160" s="35" t="s">
        <v>63</v>
      </c>
      <c r="D160" s="36">
        <v>250</v>
      </c>
      <c r="E160" s="36">
        <v>135</v>
      </c>
      <c r="F160" s="35">
        <v>125</v>
      </c>
      <c r="G160" s="35">
        <v>20</v>
      </c>
      <c r="H160" s="35">
        <v>15</v>
      </c>
      <c r="I160" s="35">
        <v>35</v>
      </c>
      <c r="J160" s="36"/>
      <c r="K160" s="35"/>
      <c r="L160" s="36">
        <f t="shared" si="11"/>
        <v>0.54</v>
      </c>
      <c r="M160" s="5">
        <f t="shared" si="12"/>
        <v>0.20352</v>
      </c>
      <c r="N160" s="35">
        <f t="shared" si="13"/>
        <v>50.88</v>
      </c>
      <c r="O160" s="35"/>
      <c r="P160" s="35">
        <v>16.7</v>
      </c>
      <c r="Q160" s="35">
        <v>2.86</v>
      </c>
      <c r="R160" s="35">
        <v>10.5</v>
      </c>
      <c r="S160" s="35"/>
      <c r="T160" s="35"/>
      <c r="U160" s="35"/>
      <c r="V160" s="35"/>
      <c r="W160" s="35"/>
      <c r="X160" s="36">
        <v>6</v>
      </c>
      <c r="Y160" s="35">
        <v>2.27</v>
      </c>
      <c r="Z160" s="35">
        <v>4.85</v>
      </c>
      <c r="AA160" s="35"/>
      <c r="AB160" s="35"/>
      <c r="AC160" s="35"/>
      <c r="AD160" s="35"/>
      <c r="AE160" s="35"/>
      <c r="AF160" s="35">
        <v>2.65</v>
      </c>
      <c r="AG160" s="35"/>
      <c r="AH160" s="35"/>
      <c r="AI160" s="35"/>
      <c r="AJ160" s="35"/>
      <c r="AK160" s="35"/>
      <c r="AL160" s="35"/>
      <c r="AM160" s="35"/>
      <c r="AN160" s="35">
        <v>1.45</v>
      </c>
      <c r="AO160" s="35"/>
      <c r="AP160" s="35"/>
      <c r="AQ160" s="35"/>
      <c r="AR160" s="35">
        <v>3.6</v>
      </c>
      <c r="AS160" s="35"/>
      <c r="AT160" s="36">
        <v>21</v>
      </c>
      <c r="AU160" s="35">
        <v>0</v>
      </c>
      <c r="AV160" s="35">
        <v>1</v>
      </c>
      <c r="AW160" s="35">
        <v>0</v>
      </c>
      <c r="AX160" s="35">
        <v>1</v>
      </c>
    </row>
    <row r="161" s="7" customFormat="1" customHeight="1" spans="1:50">
      <c r="A161" s="18">
        <v>159</v>
      </c>
      <c r="B161" s="34">
        <v>44411</v>
      </c>
      <c r="C161" s="35" t="s">
        <v>63</v>
      </c>
      <c r="D161" s="36">
        <v>250</v>
      </c>
      <c r="E161" s="36">
        <v>138</v>
      </c>
      <c r="F161" s="35">
        <v>128</v>
      </c>
      <c r="G161" s="35">
        <v>20</v>
      </c>
      <c r="H161" s="35">
        <v>15</v>
      </c>
      <c r="I161" s="35">
        <v>35</v>
      </c>
      <c r="J161" s="36"/>
      <c r="K161" s="35"/>
      <c r="L161" s="36">
        <f t="shared" si="11"/>
        <v>0.552</v>
      </c>
      <c r="M161" s="5">
        <f t="shared" si="12"/>
        <v>0.5016</v>
      </c>
      <c r="N161" s="35">
        <f t="shared" si="13"/>
        <v>125.4</v>
      </c>
      <c r="O161" s="35"/>
      <c r="P161" s="35">
        <v>17.2</v>
      </c>
      <c r="Q161" s="35"/>
      <c r="R161" s="35">
        <v>17</v>
      </c>
      <c r="S161" s="35"/>
      <c r="T161" s="35"/>
      <c r="U161" s="35"/>
      <c r="V161" s="35">
        <v>13.9</v>
      </c>
      <c r="W161" s="35"/>
      <c r="X161" s="36">
        <v>9</v>
      </c>
      <c r="Y161" s="35">
        <v>4.3</v>
      </c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>
        <v>60</v>
      </c>
      <c r="AQ161" s="35"/>
      <c r="AR161" s="35">
        <v>4</v>
      </c>
      <c r="AS161" s="35"/>
      <c r="AT161" s="36">
        <v>20</v>
      </c>
      <c r="AU161" s="35">
        <v>0</v>
      </c>
      <c r="AV161" s="35">
        <v>1</v>
      </c>
      <c r="AW161" s="35">
        <v>0</v>
      </c>
      <c r="AX161" s="35">
        <v>0</v>
      </c>
    </row>
    <row r="162" s="7" customFormat="1" customHeight="1" spans="1:50">
      <c r="A162" s="18">
        <v>160</v>
      </c>
      <c r="B162" s="34">
        <v>44427</v>
      </c>
      <c r="C162" s="35" t="s">
        <v>64</v>
      </c>
      <c r="D162" s="36">
        <v>500</v>
      </c>
      <c r="E162" s="36">
        <v>279.5</v>
      </c>
      <c r="F162" s="35">
        <v>270</v>
      </c>
      <c r="G162" s="35">
        <v>19</v>
      </c>
      <c r="H162" s="35">
        <v>25</v>
      </c>
      <c r="I162" s="35">
        <v>40</v>
      </c>
      <c r="J162" s="36">
        <v>115</v>
      </c>
      <c r="K162" s="35"/>
      <c r="L162" s="36">
        <f t="shared" si="11"/>
        <v>0.559</v>
      </c>
      <c r="M162" s="5">
        <f t="shared" si="12"/>
        <v>0.45772</v>
      </c>
      <c r="N162" s="35">
        <f t="shared" si="13"/>
        <v>228.86</v>
      </c>
      <c r="O162" s="35">
        <f>4.8+4.5</f>
        <v>9.3</v>
      </c>
      <c r="P162" s="35">
        <f>2.5+10</f>
        <v>12.5</v>
      </c>
      <c r="Q162" s="35">
        <v>2.8</v>
      </c>
      <c r="R162" s="35">
        <v>24.6</v>
      </c>
      <c r="S162" s="35"/>
      <c r="T162" s="35">
        <v>26.2</v>
      </c>
      <c r="U162" s="35">
        <v>9.2</v>
      </c>
      <c r="V162" s="35">
        <v>10.79</v>
      </c>
      <c r="W162" s="35">
        <v>4</v>
      </c>
      <c r="X162" s="36">
        <v>6.15</v>
      </c>
      <c r="Y162" s="35">
        <v>5.15</v>
      </c>
      <c r="Z162" s="35">
        <v>11.3</v>
      </c>
      <c r="AA162" s="35">
        <f>7.7+6.2+8+7.9</f>
        <v>29.8</v>
      </c>
      <c r="AB162" s="35">
        <v>8.7</v>
      </c>
      <c r="AC162" s="35">
        <v>26.8</v>
      </c>
      <c r="AD162" s="35">
        <f>8.47+3.4</f>
        <v>11.87</v>
      </c>
      <c r="AE162" s="35">
        <v>3.2</v>
      </c>
      <c r="AF162" s="35">
        <v>3.5</v>
      </c>
      <c r="AG162" s="35">
        <v>2</v>
      </c>
      <c r="AH162" s="35"/>
      <c r="AI162" s="35"/>
      <c r="AJ162" s="35"/>
      <c r="AK162" s="35"/>
      <c r="AL162" s="35"/>
      <c r="AM162" s="35"/>
      <c r="AN162" s="35"/>
      <c r="AO162" s="35"/>
      <c r="AP162" s="35"/>
      <c r="AQ162" s="35">
        <v>8</v>
      </c>
      <c r="AR162" s="35">
        <v>13</v>
      </c>
      <c r="AS162" s="35"/>
      <c r="AT162" s="36">
        <v>70</v>
      </c>
      <c r="AU162" s="35">
        <v>1</v>
      </c>
      <c r="AV162" s="35">
        <v>1</v>
      </c>
      <c r="AW162" s="35">
        <v>0</v>
      </c>
      <c r="AX162" s="35">
        <v>1</v>
      </c>
    </row>
    <row r="163" s="7" customFormat="1" customHeight="1" spans="1:50">
      <c r="A163" s="18">
        <v>161</v>
      </c>
      <c r="B163" s="34">
        <v>44427</v>
      </c>
      <c r="C163" s="35" t="s">
        <v>64</v>
      </c>
      <c r="D163" s="36">
        <v>550</v>
      </c>
      <c r="E163" s="36">
        <v>277</v>
      </c>
      <c r="F163" s="35">
        <v>267</v>
      </c>
      <c r="G163" s="35">
        <v>24</v>
      </c>
      <c r="H163" s="35">
        <v>25</v>
      </c>
      <c r="I163" s="35">
        <v>38</v>
      </c>
      <c r="J163" s="36"/>
      <c r="K163" s="35"/>
      <c r="L163" s="36">
        <f t="shared" si="11"/>
        <v>0.503636363636364</v>
      </c>
      <c r="M163" s="5">
        <f t="shared" si="12"/>
        <v>0.302418181818182</v>
      </c>
      <c r="N163" s="35">
        <f t="shared" si="13"/>
        <v>166.33</v>
      </c>
      <c r="O163" s="35">
        <v>9</v>
      </c>
      <c r="P163" s="35">
        <v>15.2</v>
      </c>
      <c r="Q163" s="35">
        <v>3.9</v>
      </c>
      <c r="R163" s="35">
        <f>15+6.95</f>
        <v>21.95</v>
      </c>
      <c r="S163" s="35">
        <v>3.3</v>
      </c>
      <c r="T163" s="35">
        <f>6.18+7.5+11.3</f>
        <v>24.98</v>
      </c>
      <c r="U163" s="35">
        <f>3.8+8.8</f>
        <v>12.6</v>
      </c>
      <c r="V163" s="35"/>
      <c r="W163" s="35">
        <v>5</v>
      </c>
      <c r="X163" s="36"/>
      <c r="Y163" s="35"/>
      <c r="Z163" s="35"/>
      <c r="AA163" s="35">
        <v>8.6</v>
      </c>
      <c r="AB163" s="35">
        <v>10.2</v>
      </c>
      <c r="AC163" s="35">
        <f>13.6+3.3</f>
        <v>16.9</v>
      </c>
      <c r="AD163" s="35">
        <v>12.95</v>
      </c>
      <c r="AE163" s="35">
        <v>16</v>
      </c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>
        <v>5.75</v>
      </c>
      <c r="AS163" s="35"/>
      <c r="AT163" s="36"/>
      <c r="AU163" s="35">
        <v>1</v>
      </c>
      <c r="AV163" s="35">
        <v>1</v>
      </c>
      <c r="AW163" s="35">
        <v>0</v>
      </c>
      <c r="AX163" s="35">
        <v>1</v>
      </c>
    </row>
    <row r="164" s="8" customFormat="1" customHeight="1" spans="1:50">
      <c r="A164" s="58">
        <v>162</v>
      </c>
      <c r="B164" s="41">
        <v>44429</v>
      </c>
      <c r="C164" s="42" t="s">
        <v>65</v>
      </c>
      <c r="D164" s="43">
        <v>650</v>
      </c>
      <c r="E164" s="43">
        <v>336</v>
      </c>
      <c r="F164" s="42">
        <v>326</v>
      </c>
      <c r="G164" s="42">
        <v>30</v>
      </c>
      <c r="H164" s="42">
        <v>24</v>
      </c>
      <c r="I164" s="42">
        <v>37</v>
      </c>
      <c r="J164" s="43">
        <v>42</v>
      </c>
      <c r="K164" s="42"/>
      <c r="L164" s="43">
        <f t="shared" si="11"/>
        <v>0.516923076923077</v>
      </c>
      <c r="M164" s="5">
        <f t="shared" ref="M164:M173" si="15">N164/D164</f>
        <v>0.351876923076923</v>
      </c>
      <c r="N164" s="42">
        <f t="shared" si="13"/>
        <v>228.72</v>
      </c>
      <c r="O164" s="42">
        <f>4.8+9.2</f>
        <v>14</v>
      </c>
      <c r="P164" s="42">
        <f>10.35+1.75+1.3+15.2</f>
        <v>28.6</v>
      </c>
      <c r="Q164" s="42">
        <v>1.5</v>
      </c>
      <c r="R164" s="42">
        <f>6.95+13</f>
        <v>19.95</v>
      </c>
      <c r="S164" s="42">
        <v>3.8</v>
      </c>
      <c r="T164" s="42">
        <v>12.3</v>
      </c>
      <c r="U164" s="42">
        <v>3.4</v>
      </c>
      <c r="V164" s="42">
        <v>8</v>
      </c>
      <c r="W164" s="42">
        <v>4.6</v>
      </c>
      <c r="X164" s="43">
        <v>3.75</v>
      </c>
      <c r="Y164" s="42">
        <f>5.15+3.78</f>
        <v>8.93</v>
      </c>
      <c r="Z164" s="42">
        <f>5.5+4.85+11.3</f>
        <v>21.65</v>
      </c>
      <c r="AA164" s="42">
        <f>5.97+7.1</f>
        <v>13.07</v>
      </c>
      <c r="AB164" s="42">
        <v>9.1</v>
      </c>
      <c r="AC164" s="42">
        <v>9</v>
      </c>
      <c r="AD164" s="42">
        <f>4.4+5.98+12.95</f>
        <v>23.33</v>
      </c>
      <c r="AE164" s="42">
        <f>2.95+12.5</f>
        <v>15.45</v>
      </c>
      <c r="AF164" s="42">
        <v>1.39</v>
      </c>
      <c r="AG164" s="42">
        <v>2.5</v>
      </c>
      <c r="AH164" s="42"/>
      <c r="AI164" s="42"/>
      <c r="AJ164" s="42"/>
      <c r="AK164" s="42"/>
      <c r="AL164" s="42"/>
      <c r="AM164" s="42"/>
      <c r="AN164" s="42">
        <v>2.65</v>
      </c>
      <c r="AO164" s="42"/>
      <c r="AP164" s="42"/>
      <c r="AQ164" s="42">
        <v>8.75</v>
      </c>
      <c r="AR164" s="42">
        <v>13</v>
      </c>
      <c r="AS164" s="42"/>
      <c r="AT164" s="43">
        <v>50</v>
      </c>
      <c r="AU164" s="42">
        <v>0</v>
      </c>
      <c r="AV164" s="42">
        <v>1</v>
      </c>
      <c r="AW164" s="42">
        <v>0</v>
      </c>
      <c r="AX164" s="42">
        <v>1</v>
      </c>
    </row>
    <row r="165" s="7" customFormat="1" customHeight="1" spans="1:51">
      <c r="A165" s="18">
        <v>163</v>
      </c>
      <c r="B165" s="34">
        <v>44440</v>
      </c>
      <c r="C165" s="42" t="s">
        <v>65</v>
      </c>
      <c r="D165" s="36">
        <v>700</v>
      </c>
      <c r="E165" s="36">
        <v>415</v>
      </c>
      <c r="F165" s="35">
        <v>405</v>
      </c>
      <c r="G165" s="35">
        <v>30</v>
      </c>
      <c r="H165" s="35">
        <v>45</v>
      </c>
      <c r="I165" s="35">
        <v>40</v>
      </c>
      <c r="J165" s="36">
        <v>48</v>
      </c>
      <c r="K165" s="35"/>
      <c r="L165" s="36">
        <f t="shared" si="11"/>
        <v>0.592857142857143</v>
      </c>
      <c r="M165" s="5">
        <f t="shared" si="15"/>
        <v>0.522914285714286</v>
      </c>
      <c r="N165" s="35">
        <f t="shared" si="13"/>
        <v>366.04</v>
      </c>
      <c r="O165" s="35">
        <f>10.85+5.8+4.9</f>
        <v>21.55</v>
      </c>
      <c r="P165" s="35">
        <v>18.2</v>
      </c>
      <c r="Q165" s="35">
        <v>4.9</v>
      </c>
      <c r="R165" s="35">
        <f>15+14+15.4+25.5</f>
        <v>69.9</v>
      </c>
      <c r="S165" s="35">
        <f>4.1+3.8</f>
        <v>7.9</v>
      </c>
      <c r="T165" s="35">
        <f>9.28+11.4+6.8+12.9</f>
        <v>40.38</v>
      </c>
      <c r="U165" s="35">
        <f>5.5+11.2+2.8</f>
        <v>19.5</v>
      </c>
      <c r="V165" s="35">
        <f>6.4+6.7+8</f>
        <v>21.1</v>
      </c>
      <c r="W165" s="35">
        <v>8.5</v>
      </c>
      <c r="X165" s="36">
        <f>10.35+1.74</f>
        <v>12.09</v>
      </c>
      <c r="Y165" s="35">
        <v>5.3</v>
      </c>
      <c r="Z165" s="35">
        <v>12.3</v>
      </c>
      <c r="AA165" s="35">
        <f>6.25+6.8+8.6+8.4</f>
        <v>30.05</v>
      </c>
      <c r="AB165" s="35">
        <v>8.85</v>
      </c>
      <c r="AC165" s="35">
        <f>13.7+5.1+4.5+3.8</f>
        <v>27.1</v>
      </c>
      <c r="AD165" s="35">
        <v>10.24</v>
      </c>
      <c r="AE165" s="35">
        <f>5.5+6.6+6.3</f>
        <v>18.4</v>
      </c>
      <c r="AF165" s="35">
        <v>1</v>
      </c>
      <c r="AG165" s="35">
        <v>5</v>
      </c>
      <c r="AH165" s="35"/>
      <c r="AI165" s="35"/>
      <c r="AJ165" s="35"/>
      <c r="AK165" s="35"/>
      <c r="AL165" s="35"/>
      <c r="AM165" s="35"/>
      <c r="AN165" s="35">
        <v>1.78</v>
      </c>
      <c r="AO165" s="35"/>
      <c r="AP165" s="35"/>
      <c r="AQ165" s="35">
        <v>6</v>
      </c>
      <c r="AR165" s="35">
        <v>16</v>
      </c>
      <c r="AS165" s="35"/>
      <c r="AT165" s="36">
        <v>50</v>
      </c>
      <c r="AU165" s="35">
        <v>1</v>
      </c>
      <c r="AV165" s="35">
        <v>1</v>
      </c>
      <c r="AW165" s="35">
        <v>0</v>
      </c>
      <c r="AX165" s="35">
        <v>1</v>
      </c>
      <c r="AY165" s="7" t="s">
        <v>66</v>
      </c>
    </row>
    <row r="166" s="7" customFormat="1" customHeight="1" spans="1:50">
      <c r="A166" s="18">
        <v>164</v>
      </c>
      <c r="B166" s="34">
        <v>44440</v>
      </c>
      <c r="C166" s="42" t="s">
        <v>65</v>
      </c>
      <c r="D166" s="36">
        <v>500</v>
      </c>
      <c r="E166" s="36">
        <v>298</v>
      </c>
      <c r="F166" s="35">
        <v>290</v>
      </c>
      <c r="G166" s="35">
        <v>30</v>
      </c>
      <c r="H166" s="35">
        <v>32</v>
      </c>
      <c r="I166" s="35">
        <v>38</v>
      </c>
      <c r="J166" s="36">
        <v>42</v>
      </c>
      <c r="K166" s="35"/>
      <c r="L166" s="36">
        <f t="shared" si="11"/>
        <v>0.596</v>
      </c>
      <c r="M166" s="5">
        <f t="shared" si="15"/>
        <v>0.2137</v>
      </c>
      <c r="N166" s="35">
        <f t="shared" si="13"/>
        <v>106.85</v>
      </c>
      <c r="O166" s="35"/>
      <c r="P166" s="35">
        <v>15.9</v>
      </c>
      <c r="Q166" s="35"/>
      <c r="R166" s="35">
        <v>7.2</v>
      </c>
      <c r="S166" s="35"/>
      <c r="T166" s="35"/>
      <c r="U166" s="35"/>
      <c r="V166" s="35">
        <v>7.95</v>
      </c>
      <c r="W166" s="35"/>
      <c r="X166" s="36"/>
      <c r="Y166" s="35">
        <v>3.9</v>
      </c>
      <c r="Z166" s="35">
        <v>9.9</v>
      </c>
      <c r="AA166" s="35"/>
      <c r="AB166" s="35">
        <v>12</v>
      </c>
      <c r="AC166" s="35"/>
      <c r="AD166" s="35">
        <v>14</v>
      </c>
      <c r="AE166" s="35">
        <v>20</v>
      </c>
      <c r="AF166" s="35"/>
      <c r="AG166" s="35">
        <v>3</v>
      </c>
      <c r="AH166" s="35"/>
      <c r="AI166" s="35"/>
      <c r="AJ166" s="35"/>
      <c r="AK166" s="35"/>
      <c r="AL166" s="35"/>
      <c r="AM166" s="35"/>
      <c r="AN166" s="35"/>
      <c r="AO166" s="35"/>
      <c r="AP166" s="35"/>
      <c r="AQ166" s="35">
        <v>3</v>
      </c>
      <c r="AR166" s="35">
        <v>10</v>
      </c>
      <c r="AS166" s="35"/>
      <c r="AT166" s="36">
        <v>50</v>
      </c>
      <c r="AU166" s="35">
        <v>1</v>
      </c>
      <c r="AV166" s="35">
        <v>1</v>
      </c>
      <c r="AW166" s="35">
        <v>0</v>
      </c>
      <c r="AX166" s="35">
        <v>1</v>
      </c>
    </row>
    <row r="167" s="56" customFormat="1" customHeight="1" spans="1:50">
      <c r="A167" s="59">
        <v>165</v>
      </c>
      <c r="B167" s="60">
        <v>44465</v>
      </c>
      <c r="C167" s="61" t="s">
        <v>60</v>
      </c>
      <c r="D167" s="62">
        <v>530</v>
      </c>
      <c r="E167" s="62">
        <v>265</v>
      </c>
      <c r="F167" s="61">
        <v>256</v>
      </c>
      <c r="G167" s="61">
        <v>20</v>
      </c>
      <c r="H167" s="61">
        <v>50</v>
      </c>
      <c r="I167" s="61">
        <v>40</v>
      </c>
      <c r="J167" s="62">
        <v>127</v>
      </c>
      <c r="K167" s="61"/>
      <c r="L167" s="62">
        <f t="shared" si="11"/>
        <v>0.5</v>
      </c>
      <c r="M167" s="5">
        <f t="shared" si="15"/>
        <v>0.283018867924528</v>
      </c>
      <c r="N167" s="61">
        <f t="shared" si="13"/>
        <v>150</v>
      </c>
      <c r="O167" s="61">
        <f>8.5+4.3</f>
        <v>12.8</v>
      </c>
      <c r="P167" s="61">
        <v>13.9</v>
      </c>
      <c r="Q167" s="61">
        <v>2.85</v>
      </c>
      <c r="R167" s="61">
        <f>14+15.5</f>
        <v>29.5</v>
      </c>
      <c r="S167" s="61">
        <v>3.9</v>
      </c>
      <c r="T167" s="61"/>
      <c r="U167" s="61">
        <v>4.2</v>
      </c>
      <c r="V167" s="61">
        <v>5.3</v>
      </c>
      <c r="W167" s="61">
        <v>12.6</v>
      </c>
      <c r="X167" s="62">
        <v>8.3</v>
      </c>
      <c r="Y167" s="61">
        <v>3.3</v>
      </c>
      <c r="Z167" s="61">
        <v>9.6</v>
      </c>
      <c r="AA167" s="61"/>
      <c r="AB167" s="61">
        <f>1.8+4.4+4.6</f>
        <v>10.8</v>
      </c>
      <c r="AC167" s="61">
        <v>7.2</v>
      </c>
      <c r="AD167" s="61">
        <f>4.6+4.5</f>
        <v>9.1</v>
      </c>
      <c r="AE167" s="61"/>
      <c r="AF167" s="61">
        <v>0.65</v>
      </c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>
        <v>3</v>
      </c>
      <c r="AR167" s="61">
        <v>13</v>
      </c>
      <c r="AS167" s="61"/>
      <c r="AT167" s="62">
        <v>70</v>
      </c>
      <c r="AU167" s="61">
        <v>1</v>
      </c>
      <c r="AV167" s="61">
        <v>1</v>
      </c>
      <c r="AW167" s="61">
        <v>0</v>
      </c>
      <c r="AX167" s="61">
        <v>1</v>
      </c>
    </row>
    <row r="168" s="56" customFormat="1" customHeight="1" spans="1:50">
      <c r="A168" s="59">
        <v>166</v>
      </c>
      <c r="B168" s="60">
        <v>44465</v>
      </c>
      <c r="C168" s="61" t="s">
        <v>60</v>
      </c>
      <c r="D168" s="62">
        <v>500</v>
      </c>
      <c r="E168" s="62">
        <v>244</v>
      </c>
      <c r="F168" s="61">
        <v>234</v>
      </c>
      <c r="G168" s="61">
        <v>20</v>
      </c>
      <c r="H168" s="61"/>
      <c r="I168" s="61">
        <v>42</v>
      </c>
      <c r="J168" s="62"/>
      <c r="K168" s="61"/>
      <c r="L168" s="62">
        <f t="shared" si="11"/>
        <v>0.488</v>
      </c>
      <c r="M168" s="5">
        <f t="shared" si="15"/>
        <v>0.69808</v>
      </c>
      <c r="N168" s="61">
        <f t="shared" si="13"/>
        <v>349.04</v>
      </c>
      <c r="O168" s="61">
        <v>9.6</v>
      </c>
      <c r="P168" s="61">
        <v>18.28</v>
      </c>
      <c r="Q168" s="61">
        <v>2.14</v>
      </c>
      <c r="R168" s="61">
        <v>52.47</v>
      </c>
      <c r="S168" s="61">
        <v>3.74</v>
      </c>
      <c r="T168" s="61">
        <v>32.57</v>
      </c>
      <c r="U168" s="61">
        <v>13.87</v>
      </c>
      <c r="V168" s="61">
        <v>12.02</v>
      </c>
      <c r="W168" s="61">
        <v>13.08</v>
      </c>
      <c r="X168" s="62">
        <v>3.32</v>
      </c>
      <c r="Y168" s="61">
        <v>5.53</v>
      </c>
      <c r="Z168" s="61">
        <v>14.72</v>
      </c>
      <c r="AA168" s="61">
        <v>39.28</v>
      </c>
      <c r="AB168" s="61">
        <v>13.77</v>
      </c>
      <c r="AC168" s="61">
        <v>26.86</v>
      </c>
      <c r="AD168" s="61">
        <v>14.87</v>
      </c>
      <c r="AE168" s="61">
        <v>35.78</v>
      </c>
      <c r="AF168" s="61">
        <v>4.34</v>
      </c>
      <c r="AG168" s="61"/>
      <c r="AH168" s="61"/>
      <c r="AI168" s="61"/>
      <c r="AJ168" s="61"/>
      <c r="AK168" s="61"/>
      <c r="AL168" s="61"/>
      <c r="AM168" s="61"/>
      <c r="AN168" s="61">
        <v>1.4</v>
      </c>
      <c r="AO168" s="61"/>
      <c r="AP168" s="61"/>
      <c r="AQ168" s="61">
        <v>10.4</v>
      </c>
      <c r="AR168" s="61">
        <v>21</v>
      </c>
      <c r="AS168" s="61"/>
      <c r="AT168" s="62">
        <v>30</v>
      </c>
      <c r="AU168" s="61">
        <v>1</v>
      </c>
      <c r="AV168" s="61">
        <v>1</v>
      </c>
      <c r="AW168" s="61">
        <v>0</v>
      </c>
      <c r="AX168" s="61">
        <v>1</v>
      </c>
    </row>
    <row r="169" s="56" customFormat="1" customHeight="1" spans="1:50">
      <c r="A169" s="59">
        <v>167</v>
      </c>
      <c r="B169" s="60">
        <v>44465</v>
      </c>
      <c r="C169" s="61" t="s">
        <v>60</v>
      </c>
      <c r="D169" s="62">
        <v>520</v>
      </c>
      <c r="E169" s="62">
        <v>253.5</v>
      </c>
      <c r="F169" s="61">
        <v>243</v>
      </c>
      <c r="G169" s="61">
        <v>20</v>
      </c>
      <c r="H169" s="61"/>
      <c r="I169" s="61">
        <v>41</v>
      </c>
      <c r="J169" s="62"/>
      <c r="K169" s="61"/>
      <c r="L169" s="62">
        <f t="shared" si="11"/>
        <v>0.4875</v>
      </c>
      <c r="M169" s="5">
        <f t="shared" si="15"/>
        <v>0.00769230769230769</v>
      </c>
      <c r="N169" s="61">
        <f t="shared" si="13"/>
        <v>4</v>
      </c>
      <c r="O169" s="61"/>
      <c r="P169" s="61"/>
      <c r="Q169" s="61"/>
      <c r="R169" s="61">
        <v>4</v>
      </c>
      <c r="S169" s="61"/>
      <c r="T169" s="61"/>
      <c r="U169" s="61"/>
      <c r="V169" s="61"/>
      <c r="W169" s="61"/>
      <c r="X169" s="62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2"/>
      <c r="AU169" s="61">
        <v>1</v>
      </c>
      <c r="AV169" s="61">
        <v>1</v>
      </c>
      <c r="AW169" s="61">
        <v>0</v>
      </c>
      <c r="AX169" s="61">
        <v>1</v>
      </c>
    </row>
    <row r="170" s="56" customFormat="1" customHeight="1" spans="1:50">
      <c r="A170" s="59">
        <v>168</v>
      </c>
      <c r="B170" s="60">
        <v>44481</v>
      </c>
      <c r="C170" s="61" t="s">
        <v>63</v>
      </c>
      <c r="D170" s="62">
        <v>400</v>
      </c>
      <c r="E170" s="62">
        <v>220</v>
      </c>
      <c r="F170" s="61">
        <v>212</v>
      </c>
      <c r="G170" s="61">
        <f t="shared" ref="G170:G173" si="16">12.5+5</f>
        <v>17.5</v>
      </c>
      <c r="H170" s="61">
        <v>12</v>
      </c>
      <c r="I170" s="61">
        <v>34</v>
      </c>
      <c r="J170" s="62">
        <v>35</v>
      </c>
      <c r="K170" s="61"/>
      <c r="L170" s="61">
        <f t="shared" si="11"/>
        <v>0.55</v>
      </c>
      <c r="M170" s="5">
        <f t="shared" si="15"/>
        <v>0.433025</v>
      </c>
      <c r="N170" s="61">
        <f t="shared" si="13"/>
        <v>173.21</v>
      </c>
      <c r="O170" s="61">
        <v>9.5</v>
      </c>
      <c r="P170" s="61">
        <f>7.5+5.26</f>
        <v>12.76</v>
      </c>
      <c r="Q170" s="61"/>
      <c r="R170" s="61">
        <f>10.49+11.38+2.5</f>
        <v>24.37</v>
      </c>
      <c r="S170" s="61">
        <f>3.3+0.82</f>
        <v>4.12</v>
      </c>
      <c r="T170" s="61">
        <v>13.8</v>
      </c>
      <c r="U170" s="61">
        <v>9.69</v>
      </c>
      <c r="V170" s="61">
        <v>3.83</v>
      </c>
      <c r="W170" s="61">
        <v>11.2</v>
      </c>
      <c r="X170" s="62">
        <f>4.2+0.77</f>
        <v>4.97</v>
      </c>
      <c r="Y170" s="61">
        <v>3.46</v>
      </c>
      <c r="Z170" s="61">
        <v>9.1</v>
      </c>
      <c r="AA170" s="61">
        <v>13.8</v>
      </c>
      <c r="AB170" s="61">
        <f>3.92+4.25</f>
        <v>8.17</v>
      </c>
      <c r="AC170" s="61">
        <v>7.29</v>
      </c>
      <c r="AD170" s="61">
        <f>5.3+5.3</f>
        <v>10.6</v>
      </c>
      <c r="AE170" s="61">
        <v>10.51</v>
      </c>
      <c r="AF170" s="61">
        <v>1.34</v>
      </c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>
        <v>4.7</v>
      </c>
      <c r="AR170" s="61">
        <v>10</v>
      </c>
      <c r="AS170" s="61"/>
      <c r="AT170" s="62">
        <v>30</v>
      </c>
      <c r="AU170" s="61">
        <v>1</v>
      </c>
      <c r="AV170" s="61">
        <v>1</v>
      </c>
      <c r="AW170" s="61">
        <v>0</v>
      </c>
      <c r="AX170" s="61">
        <v>1</v>
      </c>
    </row>
    <row r="171" s="56" customFormat="1" customHeight="1" spans="1:50">
      <c r="A171" s="59">
        <v>169</v>
      </c>
      <c r="B171" s="60">
        <v>44481</v>
      </c>
      <c r="C171" s="61" t="s">
        <v>63</v>
      </c>
      <c r="D171" s="62">
        <v>400</v>
      </c>
      <c r="E171" s="62">
        <v>220</v>
      </c>
      <c r="F171" s="61">
        <v>210</v>
      </c>
      <c r="G171" s="61">
        <f t="shared" si="16"/>
        <v>17.5</v>
      </c>
      <c r="H171" s="61">
        <v>12</v>
      </c>
      <c r="I171" s="61">
        <v>34</v>
      </c>
      <c r="J171" s="62">
        <v>33</v>
      </c>
      <c r="K171" s="61"/>
      <c r="L171" s="61">
        <f t="shared" si="11"/>
        <v>0.55</v>
      </c>
      <c r="M171" s="5">
        <f t="shared" si="15"/>
        <v>0.613975</v>
      </c>
      <c r="N171" s="61">
        <f t="shared" si="13"/>
        <v>245.59</v>
      </c>
      <c r="O171" s="61">
        <f>3.3+4.5+5</f>
        <v>12.8</v>
      </c>
      <c r="P171" s="61">
        <v>12.36</v>
      </c>
      <c r="Q171" s="61">
        <f>1.6+2.8</f>
        <v>4.4</v>
      </c>
      <c r="R171" s="61">
        <f>13.2+12.2+13.1+8.5</f>
        <v>47</v>
      </c>
      <c r="S171" s="61">
        <f>4.8+1.2</f>
        <v>6</v>
      </c>
      <c r="T171" s="61">
        <f>6.65+3.9+2+4.2+5.9</f>
        <v>22.65</v>
      </c>
      <c r="U171" s="61">
        <f>9+4+4.1</f>
        <v>17.1</v>
      </c>
      <c r="V171" s="61">
        <f>4.1+12.2</f>
        <v>16.3</v>
      </c>
      <c r="W171" s="61">
        <f>2.82+2.5</f>
        <v>5.32</v>
      </c>
      <c r="X171" s="62">
        <v>5.64</v>
      </c>
      <c r="Y171" s="61">
        <v>5.27</v>
      </c>
      <c r="Z171" s="61">
        <f>5.9+6</f>
        <v>11.9</v>
      </c>
      <c r="AA171" s="61">
        <f>5.5+4.8+4.35+3.7</f>
        <v>18.35</v>
      </c>
      <c r="AB171" s="61">
        <f>2.5+2.5+3</f>
        <v>8</v>
      </c>
      <c r="AC171" s="61">
        <f>1.9+3.5+1.2</f>
        <v>6.6</v>
      </c>
      <c r="AD171" s="61">
        <f>3.5+3.2+3.1+3.1</f>
        <v>12.9</v>
      </c>
      <c r="AE171" s="61">
        <f>6.5+4.8+4.8</f>
        <v>16.1</v>
      </c>
      <c r="AF171" s="61">
        <v>1.9</v>
      </c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>
        <v>2</v>
      </c>
      <c r="AR171" s="61">
        <v>13</v>
      </c>
      <c r="AS171" s="61"/>
      <c r="AT171" s="62"/>
      <c r="AU171" s="61">
        <v>1</v>
      </c>
      <c r="AV171" s="61">
        <v>1</v>
      </c>
      <c r="AW171" s="61">
        <v>0</v>
      </c>
      <c r="AX171" s="61">
        <v>1</v>
      </c>
    </row>
    <row r="172" s="56" customFormat="1" customHeight="1" spans="1:50">
      <c r="A172" s="59">
        <v>170</v>
      </c>
      <c r="B172" s="60">
        <v>44481</v>
      </c>
      <c r="C172" s="61" t="s">
        <v>63</v>
      </c>
      <c r="D172" s="62">
        <v>400</v>
      </c>
      <c r="E172" s="62">
        <v>220</v>
      </c>
      <c r="F172" s="61">
        <v>213</v>
      </c>
      <c r="G172" s="61">
        <f t="shared" si="16"/>
        <v>17.5</v>
      </c>
      <c r="H172" s="61">
        <v>12</v>
      </c>
      <c r="I172" s="61">
        <v>34</v>
      </c>
      <c r="J172" s="62">
        <v>57</v>
      </c>
      <c r="K172" s="61"/>
      <c r="L172" s="61">
        <f t="shared" si="11"/>
        <v>0.55</v>
      </c>
      <c r="M172" s="5">
        <f t="shared" si="15"/>
        <v>0.6157</v>
      </c>
      <c r="N172" s="61">
        <f t="shared" si="13"/>
        <v>246.28</v>
      </c>
      <c r="O172" s="61">
        <f>2.5+2.6+2.7+3.5</f>
        <v>11.3</v>
      </c>
      <c r="P172" s="61">
        <f>1.8+2.7+1.3+1.39</f>
        <v>7.19</v>
      </c>
      <c r="Q172" s="61">
        <f>2.7</f>
        <v>2.7</v>
      </c>
      <c r="R172" s="61">
        <f>13.5+14.4+14.5</f>
        <v>42.4</v>
      </c>
      <c r="S172" s="61">
        <f>3.9</f>
        <v>3.9</v>
      </c>
      <c r="T172" s="61">
        <f>5.7+7.5+7.7</f>
        <v>20.9</v>
      </c>
      <c r="U172" s="61">
        <f>3.9+6+3.6</f>
        <v>13.5</v>
      </c>
      <c r="V172" s="61">
        <f>4.3+3.6+3.6</f>
        <v>11.5</v>
      </c>
      <c r="W172" s="61"/>
      <c r="X172" s="62">
        <f>3.3+0.89</f>
        <v>4.19</v>
      </c>
      <c r="Y172" s="61">
        <f>2.6</f>
        <v>2.6</v>
      </c>
      <c r="Z172" s="61">
        <f>13.2</f>
        <v>13.2</v>
      </c>
      <c r="AA172" s="61">
        <f>4.8+4.9+5.6+5.8</f>
        <v>21.1</v>
      </c>
      <c r="AB172" s="61">
        <f>2.6+2.6+2.8+2.7</f>
        <v>10.7</v>
      </c>
      <c r="AC172" s="61">
        <f>2.6+20+5.3</f>
        <v>27.9</v>
      </c>
      <c r="AD172" s="61">
        <f>3.3+3.4+3.6+3.8</f>
        <v>14.1</v>
      </c>
      <c r="AE172" s="61">
        <f>8.2+3.4+2.8</f>
        <v>14.4</v>
      </c>
      <c r="AF172" s="61">
        <v>3.8</v>
      </c>
      <c r="AG172" s="61"/>
      <c r="AH172" s="61"/>
      <c r="AI172" s="61"/>
      <c r="AJ172" s="61"/>
      <c r="AK172" s="61"/>
      <c r="AL172" s="61"/>
      <c r="AM172" s="61"/>
      <c r="AN172" s="61">
        <v>0.9</v>
      </c>
      <c r="AO172" s="61"/>
      <c r="AP172" s="61"/>
      <c r="AQ172" s="61">
        <v>6</v>
      </c>
      <c r="AR172" s="61">
        <v>14</v>
      </c>
      <c r="AS172" s="61"/>
      <c r="AT172" s="62">
        <v>30</v>
      </c>
      <c r="AU172" s="61">
        <v>1</v>
      </c>
      <c r="AV172" s="61">
        <v>1</v>
      </c>
      <c r="AW172" s="61">
        <v>0</v>
      </c>
      <c r="AX172" s="61">
        <v>1</v>
      </c>
    </row>
    <row r="173" s="56" customFormat="1" customHeight="1" spans="1:50">
      <c r="A173" s="59">
        <v>171</v>
      </c>
      <c r="B173" s="60">
        <v>44481</v>
      </c>
      <c r="C173" s="61" t="s">
        <v>63</v>
      </c>
      <c r="D173" s="62">
        <v>400</v>
      </c>
      <c r="E173" s="62">
        <v>220</v>
      </c>
      <c r="F173" s="61">
        <v>215</v>
      </c>
      <c r="G173" s="61">
        <f t="shared" si="16"/>
        <v>17.5</v>
      </c>
      <c r="H173" s="61">
        <v>12</v>
      </c>
      <c r="I173" s="61">
        <v>34</v>
      </c>
      <c r="J173" s="62"/>
      <c r="K173" s="61"/>
      <c r="L173" s="61">
        <f t="shared" si="11"/>
        <v>0.55</v>
      </c>
      <c r="M173" s="5">
        <f t="shared" si="15"/>
        <v>0</v>
      </c>
      <c r="N173" s="61">
        <f t="shared" si="13"/>
        <v>0</v>
      </c>
      <c r="O173" s="61"/>
      <c r="P173" s="61"/>
      <c r="Q173" s="61"/>
      <c r="R173" s="61"/>
      <c r="S173" s="61"/>
      <c r="T173" s="61"/>
      <c r="U173" s="61"/>
      <c r="V173" s="61"/>
      <c r="W173" s="61"/>
      <c r="X173" s="62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2"/>
      <c r="AU173" s="61">
        <v>1</v>
      </c>
      <c r="AV173" s="61">
        <v>1</v>
      </c>
      <c r="AW173" s="61">
        <v>0</v>
      </c>
      <c r="AX173" s="61">
        <v>1</v>
      </c>
    </row>
    <row r="174" s="8" customFormat="1" customHeight="1" spans="1:50">
      <c r="A174" s="58">
        <v>172</v>
      </c>
      <c r="B174" s="41">
        <v>44494</v>
      </c>
      <c r="C174" s="42" t="s">
        <v>67</v>
      </c>
      <c r="D174" s="43">
        <v>550</v>
      </c>
      <c r="E174" s="43">
        <v>285</v>
      </c>
      <c r="F174" s="42">
        <v>275</v>
      </c>
      <c r="G174" s="42">
        <f>15+8</f>
        <v>23</v>
      </c>
      <c r="H174" s="42">
        <v>27</v>
      </c>
      <c r="I174" s="42">
        <v>31</v>
      </c>
      <c r="J174" s="43">
        <v>42</v>
      </c>
      <c r="K174" s="42"/>
      <c r="L174" s="42">
        <f t="shared" si="11"/>
        <v>0.518181818181818</v>
      </c>
      <c r="M174" s="5">
        <f t="shared" ref="M174:M192" si="17">N174/D174</f>
        <v>0.0136363636363636</v>
      </c>
      <c r="N174" s="42">
        <f t="shared" si="13"/>
        <v>7.5</v>
      </c>
      <c r="O174" s="42"/>
      <c r="P174" s="42">
        <v>7.5</v>
      </c>
      <c r="Q174" s="42"/>
      <c r="R174" s="42"/>
      <c r="S174" s="42"/>
      <c r="T174" s="42"/>
      <c r="U174" s="42"/>
      <c r="V174" s="42"/>
      <c r="W174" s="42"/>
      <c r="X174" s="43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3"/>
      <c r="AU174" s="42"/>
      <c r="AV174" s="42">
        <v>1</v>
      </c>
      <c r="AW174" s="42"/>
      <c r="AX174" s="42">
        <v>1</v>
      </c>
    </row>
    <row r="175" s="8" customFormat="1" customHeight="1" spans="1:50">
      <c r="A175" s="58">
        <v>173</v>
      </c>
      <c r="B175" s="41">
        <v>44494</v>
      </c>
      <c r="C175" s="42" t="s">
        <v>67</v>
      </c>
      <c r="D175" s="43">
        <v>550</v>
      </c>
      <c r="E175" s="43">
        <v>295</v>
      </c>
      <c r="F175" s="42">
        <v>285</v>
      </c>
      <c r="G175" s="42">
        <v>22</v>
      </c>
      <c r="H175" s="42">
        <v>30</v>
      </c>
      <c r="I175" s="42">
        <v>40</v>
      </c>
      <c r="J175" s="43">
        <v>43</v>
      </c>
      <c r="K175" s="42"/>
      <c r="L175" s="42">
        <f t="shared" si="11"/>
        <v>0.536363636363636</v>
      </c>
      <c r="M175" s="5">
        <f t="shared" si="17"/>
        <v>0.464290909090909</v>
      </c>
      <c r="N175" s="42">
        <f t="shared" si="13"/>
        <v>255.36</v>
      </c>
      <c r="O175" s="42">
        <v>4.5</v>
      </c>
      <c r="P175" s="42">
        <v>36.1</v>
      </c>
      <c r="Q175" s="42"/>
      <c r="R175" s="42">
        <v>55.96</v>
      </c>
      <c r="S175" s="42">
        <v>1.74</v>
      </c>
      <c r="T175" s="42">
        <v>48.16</v>
      </c>
      <c r="U175" s="42">
        <v>23</v>
      </c>
      <c r="V175" s="42">
        <v>6</v>
      </c>
      <c r="W175" s="42">
        <v>25.5</v>
      </c>
      <c r="X175" s="43">
        <v>13.14</v>
      </c>
      <c r="Y175" s="42">
        <v>5.86</v>
      </c>
      <c r="Z175" s="42">
        <v>5.1</v>
      </c>
      <c r="AA175" s="42"/>
      <c r="AB175" s="42"/>
      <c r="AC175" s="42">
        <v>19.3</v>
      </c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>
        <v>4</v>
      </c>
      <c r="AR175" s="42">
        <v>7</v>
      </c>
      <c r="AS175" s="42"/>
      <c r="AT175" s="43">
        <v>30.86</v>
      </c>
      <c r="AU175" s="42">
        <v>1</v>
      </c>
      <c r="AV175" s="42">
        <v>1</v>
      </c>
      <c r="AW175" s="42">
        <v>0.1</v>
      </c>
      <c r="AX175" s="42">
        <v>1</v>
      </c>
    </row>
    <row r="176" s="8" customFormat="1" customHeight="1" spans="1:50">
      <c r="A176" s="58">
        <v>174</v>
      </c>
      <c r="B176" s="41">
        <v>44494</v>
      </c>
      <c r="C176" s="42" t="s">
        <v>68</v>
      </c>
      <c r="D176" s="43">
        <v>520</v>
      </c>
      <c r="E176" s="43">
        <v>310</v>
      </c>
      <c r="F176" s="42">
        <v>305</v>
      </c>
      <c r="G176" s="42">
        <v>23</v>
      </c>
      <c r="H176" s="42">
        <v>25</v>
      </c>
      <c r="I176" s="42">
        <v>35</v>
      </c>
      <c r="J176" s="43">
        <v>40</v>
      </c>
      <c r="K176" s="42"/>
      <c r="L176" s="42">
        <f t="shared" si="11"/>
        <v>0.596153846153846</v>
      </c>
      <c r="M176" s="5">
        <f t="shared" si="17"/>
        <v>0.634442307692308</v>
      </c>
      <c r="N176" s="42">
        <f t="shared" si="13"/>
        <v>329.91</v>
      </c>
      <c r="O176" s="42">
        <v>20.9</v>
      </c>
      <c r="P176" s="42">
        <v>10</v>
      </c>
      <c r="Q176" s="42">
        <v>10.6</v>
      </c>
      <c r="R176" s="42">
        <v>25.2</v>
      </c>
      <c r="S176" s="42">
        <v>13.86</v>
      </c>
      <c r="T176" s="42">
        <v>12.6</v>
      </c>
      <c r="U176" s="42">
        <v>17.37</v>
      </c>
      <c r="V176" s="42">
        <v>2.5</v>
      </c>
      <c r="W176" s="42">
        <v>17.42</v>
      </c>
      <c r="X176" s="43">
        <v>7.9</v>
      </c>
      <c r="Y176" s="42">
        <v>6.1</v>
      </c>
      <c r="Z176" s="42">
        <v>19.2</v>
      </c>
      <c r="AA176" s="42">
        <v>33.26</v>
      </c>
      <c r="AB176" s="42">
        <v>21.9</v>
      </c>
      <c r="AC176" s="42">
        <v>1.7</v>
      </c>
      <c r="AD176" s="42">
        <v>31.2</v>
      </c>
      <c r="AE176" s="42">
        <f>7.8+5.1+10+9.2+10.9+3</f>
        <v>46</v>
      </c>
      <c r="AF176" s="42">
        <v>0.6</v>
      </c>
      <c r="AG176" s="42"/>
      <c r="AH176" s="42"/>
      <c r="AI176" s="42"/>
      <c r="AJ176" s="42"/>
      <c r="AK176" s="42"/>
      <c r="AL176" s="42"/>
      <c r="AM176" s="42"/>
      <c r="AN176" s="42">
        <v>3.6</v>
      </c>
      <c r="AO176" s="42"/>
      <c r="AP176" s="42"/>
      <c r="AQ176" s="42">
        <v>6</v>
      </c>
      <c r="AR176" s="42">
        <v>22</v>
      </c>
      <c r="AS176" s="42"/>
      <c r="AT176" s="43">
        <v>82</v>
      </c>
      <c r="AU176" s="42">
        <v>1</v>
      </c>
      <c r="AV176" s="42">
        <v>1</v>
      </c>
      <c r="AW176" s="42">
        <v>0.1</v>
      </c>
      <c r="AX176" s="42">
        <v>1</v>
      </c>
    </row>
    <row r="177" s="8" customFormat="1" customHeight="1" spans="1:50">
      <c r="A177" s="58">
        <v>175</v>
      </c>
      <c r="B177" s="41">
        <v>44494</v>
      </c>
      <c r="C177" s="42" t="s">
        <v>68</v>
      </c>
      <c r="D177" s="43">
        <v>530</v>
      </c>
      <c r="E177" s="43">
        <v>315</v>
      </c>
      <c r="F177" s="42">
        <v>305</v>
      </c>
      <c r="G177" s="42">
        <v>25</v>
      </c>
      <c r="H177" s="42">
        <v>30</v>
      </c>
      <c r="I177" s="42">
        <v>32</v>
      </c>
      <c r="J177" s="43">
        <v>42</v>
      </c>
      <c r="K177" s="42"/>
      <c r="L177" s="42">
        <f t="shared" si="11"/>
        <v>0.594339622641509</v>
      </c>
      <c r="M177" s="5">
        <f t="shared" si="17"/>
        <v>0.460924528301887</v>
      </c>
      <c r="N177" s="42">
        <f t="shared" si="13"/>
        <v>244.29</v>
      </c>
      <c r="O177" s="42">
        <f>7.2+6.16</f>
        <v>13.36</v>
      </c>
      <c r="P177" s="42">
        <v>3.8</v>
      </c>
      <c r="Q177" s="42">
        <v>2.6</v>
      </c>
      <c r="R177" s="42">
        <f>11.3+14+10.78+11.77</f>
        <v>47.85</v>
      </c>
      <c r="S177" s="42">
        <v>2.93</v>
      </c>
      <c r="T177" s="42">
        <v>1</v>
      </c>
      <c r="U177" s="42">
        <v>10.66</v>
      </c>
      <c r="V177" s="42"/>
      <c r="W177" s="42"/>
      <c r="X177" s="43">
        <v>0.7</v>
      </c>
      <c r="Y177" s="42">
        <f>2.26+2.56</f>
        <v>4.82</v>
      </c>
      <c r="Z177" s="42">
        <f>5.4+4.96+7.9</f>
        <v>18.26</v>
      </c>
      <c r="AA177" s="42">
        <f>7.7+8.5+6.15+6.37</f>
        <v>28.72</v>
      </c>
      <c r="AB177" s="42">
        <f>5+4.05+4.6+6.88+3.19</f>
        <v>23.72</v>
      </c>
      <c r="AC177" s="42">
        <f>7.09+14.2+5.45</f>
        <v>26.74</v>
      </c>
      <c r="AD177" s="42">
        <f>6.3+2.56+4+3.98+4.4+2.9+4.4</f>
        <v>28.54</v>
      </c>
      <c r="AE177" s="42"/>
      <c r="AF177" s="42">
        <v>2.59</v>
      </c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>
        <v>8</v>
      </c>
      <c r="AR177" s="42">
        <v>20</v>
      </c>
      <c r="AS177" s="42"/>
      <c r="AT177" s="43">
        <f>6.8+2.87+40</f>
        <v>49.67</v>
      </c>
      <c r="AU177" s="42">
        <v>1</v>
      </c>
      <c r="AV177" s="42">
        <v>1</v>
      </c>
      <c r="AW177" s="42">
        <v>0.1</v>
      </c>
      <c r="AX177" s="42">
        <v>1</v>
      </c>
    </row>
    <row r="178" s="8" customFormat="1" customHeight="1" spans="1:50">
      <c r="A178" s="58">
        <v>176</v>
      </c>
      <c r="B178" s="41">
        <v>44496</v>
      </c>
      <c r="C178" s="42" t="s">
        <v>69</v>
      </c>
      <c r="D178" s="43">
        <v>470</v>
      </c>
      <c r="E178" s="43">
        <v>194.5</v>
      </c>
      <c r="F178" s="42">
        <v>185</v>
      </c>
      <c r="G178" s="42">
        <v>23</v>
      </c>
      <c r="H178" s="42">
        <v>24</v>
      </c>
      <c r="I178" s="42">
        <v>31</v>
      </c>
      <c r="J178" s="43">
        <v>35</v>
      </c>
      <c r="K178" s="42"/>
      <c r="L178" s="42">
        <f t="shared" si="11"/>
        <v>0.413829787234043</v>
      </c>
      <c r="M178" s="5">
        <f t="shared" si="17"/>
        <v>0.535851063829787</v>
      </c>
      <c r="N178" s="42">
        <f t="shared" si="13"/>
        <v>251.85</v>
      </c>
      <c r="O178" s="42"/>
      <c r="P178" s="42">
        <f>2+6.95+7.5</f>
        <v>16.45</v>
      </c>
      <c r="Q178" s="42"/>
      <c r="R178" s="42">
        <f>9.25+9.3</f>
        <v>18.55</v>
      </c>
      <c r="S178" s="42"/>
      <c r="T178" s="42">
        <v>100</v>
      </c>
      <c r="U178" s="42">
        <v>7.5</v>
      </c>
      <c r="V178" s="42"/>
      <c r="W178" s="42"/>
      <c r="X178" s="43">
        <f>2+2.1</f>
        <v>4.1</v>
      </c>
      <c r="Y178" s="42"/>
      <c r="Z178" s="42">
        <f>4.49+4.49+7.66</f>
        <v>16.64</v>
      </c>
      <c r="AA178" s="42">
        <f>7.3+7.6</f>
        <v>14.9</v>
      </c>
      <c r="AB178" s="42">
        <f>8.3+2.9</f>
        <v>11.2</v>
      </c>
      <c r="AC178" s="42">
        <v>20.5</v>
      </c>
      <c r="AD178" s="42">
        <v>9.7</v>
      </c>
      <c r="AE178" s="42">
        <v>8.9</v>
      </c>
      <c r="AF178" s="42">
        <f>4.14+1.7+0.3</f>
        <v>6.14</v>
      </c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>
        <v>7.27</v>
      </c>
      <c r="AR178" s="42">
        <v>10</v>
      </c>
      <c r="AS178" s="42"/>
      <c r="AT178" s="43">
        <v>28</v>
      </c>
      <c r="AU178" s="42">
        <v>0</v>
      </c>
      <c r="AV178" s="42">
        <v>1</v>
      </c>
      <c r="AW178" s="42">
        <v>0.1</v>
      </c>
      <c r="AX178" s="42">
        <v>1</v>
      </c>
    </row>
    <row r="179" s="8" customFormat="1" customHeight="1" spans="1:50">
      <c r="A179" s="58">
        <v>177</v>
      </c>
      <c r="B179" s="41">
        <v>44496</v>
      </c>
      <c r="C179" s="42" t="s">
        <v>69</v>
      </c>
      <c r="D179" s="43">
        <v>480</v>
      </c>
      <c r="E179" s="43">
        <v>240</v>
      </c>
      <c r="F179" s="42">
        <v>230</v>
      </c>
      <c r="G179" s="42">
        <v>20</v>
      </c>
      <c r="H179" s="42">
        <v>24</v>
      </c>
      <c r="I179" s="42">
        <v>35</v>
      </c>
      <c r="J179" s="43">
        <v>35</v>
      </c>
      <c r="K179" s="42"/>
      <c r="L179" s="42">
        <f t="shared" si="11"/>
        <v>0.5</v>
      </c>
      <c r="M179" s="5">
        <f t="shared" si="17"/>
        <v>0.0625</v>
      </c>
      <c r="N179" s="42">
        <f t="shared" si="13"/>
        <v>30</v>
      </c>
      <c r="O179" s="42"/>
      <c r="P179" s="42"/>
      <c r="Q179" s="42"/>
      <c r="R179" s="42">
        <v>20</v>
      </c>
      <c r="S179" s="42"/>
      <c r="T179" s="42"/>
      <c r="U179" s="42"/>
      <c r="V179" s="42"/>
      <c r="W179" s="42"/>
      <c r="X179" s="43"/>
      <c r="Y179" s="42"/>
      <c r="Z179" s="42"/>
      <c r="AA179" s="42">
        <v>10</v>
      </c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3">
        <v>18</v>
      </c>
      <c r="AU179" s="42">
        <v>0</v>
      </c>
      <c r="AV179" s="42">
        <v>1</v>
      </c>
      <c r="AW179" s="42">
        <v>0.1</v>
      </c>
      <c r="AX179" s="42">
        <v>1</v>
      </c>
    </row>
    <row r="180" s="7" customFormat="1" customHeight="1" spans="1:50">
      <c r="A180" s="18">
        <v>178</v>
      </c>
      <c r="B180" s="34">
        <v>44512</v>
      </c>
      <c r="C180" s="35" t="s">
        <v>70</v>
      </c>
      <c r="D180" s="36">
        <v>250</v>
      </c>
      <c r="E180" s="36">
        <v>130</v>
      </c>
      <c r="F180" s="35">
        <v>120</v>
      </c>
      <c r="G180" s="35">
        <v>20</v>
      </c>
      <c r="H180" s="35">
        <v>32</v>
      </c>
      <c r="I180" s="35">
        <v>35</v>
      </c>
      <c r="J180" s="36">
        <v>42</v>
      </c>
      <c r="K180" s="35"/>
      <c r="L180" s="35">
        <v>0.52</v>
      </c>
      <c r="M180" s="5">
        <f t="shared" si="17"/>
        <v>0.6454</v>
      </c>
      <c r="N180" s="35">
        <v>161.35</v>
      </c>
      <c r="O180" s="35">
        <v>8.25</v>
      </c>
      <c r="P180" s="35">
        <v>12.83</v>
      </c>
      <c r="Q180" s="35">
        <v>2.19</v>
      </c>
      <c r="R180" s="35">
        <v>21.52</v>
      </c>
      <c r="S180" s="35">
        <v>3</v>
      </c>
      <c r="T180" s="35">
        <v>12.13</v>
      </c>
      <c r="U180" s="35">
        <v>5.59</v>
      </c>
      <c r="V180" s="35"/>
      <c r="W180" s="35">
        <v>14.41</v>
      </c>
      <c r="X180" s="36"/>
      <c r="Y180" s="35">
        <v>3.35</v>
      </c>
      <c r="Z180" s="35">
        <v>10.1</v>
      </c>
      <c r="AA180" s="35">
        <v>12.88</v>
      </c>
      <c r="AB180" s="35">
        <v>7.66</v>
      </c>
      <c r="AC180" s="35">
        <v>10.6</v>
      </c>
      <c r="AD180" s="35">
        <v>8.91</v>
      </c>
      <c r="AE180" s="35">
        <v>11</v>
      </c>
      <c r="AF180" s="35">
        <v>1.24</v>
      </c>
      <c r="AG180" s="35"/>
      <c r="AH180" s="35"/>
      <c r="AI180" s="35"/>
      <c r="AJ180" s="35"/>
      <c r="AK180" s="35"/>
      <c r="AL180" s="35"/>
      <c r="AM180" s="35"/>
      <c r="AN180" s="35">
        <v>0.69</v>
      </c>
      <c r="AO180" s="35"/>
      <c r="AP180" s="35"/>
      <c r="AQ180" s="35">
        <v>3</v>
      </c>
      <c r="AR180" s="35">
        <v>12</v>
      </c>
      <c r="AS180" s="35"/>
      <c r="AT180" s="36">
        <v>32</v>
      </c>
      <c r="AU180" s="35">
        <v>1</v>
      </c>
      <c r="AV180" s="35">
        <v>1</v>
      </c>
      <c r="AW180" s="35"/>
      <c r="AX180" s="35">
        <v>1</v>
      </c>
    </row>
    <row r="181" s="9" customFormat="1" customHeight="1" spans="1:50">
      <c r="A181" s="52">
        <v>179</v>
      </c>
      <c r="B181" s="53">
        <v>44523</v>
      </c>
      <c r="C181" s="54" t="s">
        <v>64</v>
      </c>
      <c r="D181" s="55">
        <v>450</v>
      </c>
      <c r="E181" s="55">
        <v>230</v>
      </c>
      <c r="F181" s="54">
        <v>220</v>
      </c>
      <c r="G181" s="54">
        <v>8</v>
      </c>
      <c r="H181" s="54">
        <v>15</v>
      </c>
      <c r="I181" s="54">
        <v>36</v>
      </c>
      <c r="J181" s="55">
        <v>46</v>
      </c>
      <c r="K181" s="54"/>
      <c r="L181" s="54">
        <v>0.511111111111111</v>
      </c>
      <c r="M181" s="5">
        <f t="shared" si="17"/>
        <v>0.380933333333333</v>
      </c>
      <c r="N181" s="54">
        <v>171.42</v>
      </c>
      <c r="O181" s="54">
        <v>8.87</v>
      </c>
      <c r="P181" s="54">
        <v>7.98</v>
      </c>
      <c r="Q181" s="54">
        <v>2.57</v>
      </c>
      <c r="R181" s="54">
        <v>33.9</v>
      </c>
      <c r="S181" s="54">
        <v>2.66</v>
      </c>
      <c r="T181" s="54">
        <v>14.16</v>
      </c>
      <c r="U181" s="54">
        <v>8.08</v>
      </c>
      <c r="V181" s="54">
        <v>8.3</v>
      </c>
      <c r="W181" s="54">
        <v>4</v>
      </c>
      <c r="X181" s="55">
        <v>2.87</v>
      </c>
      <c r="Y181" s="54">
        <v>1.96</v>
      </c>
      <c r="Z181" s="54">
        <v>9.74</v>
      </c>
      <c r="AA181" s="54">
        <v>14.34</v>
      </c>
      <c r="AB181" s="54">
        <v>21.29</v>
      </c>
      <c r="AC181" s="54">
        <v>6.6</v>
      </c>
      <c r="AD181" s="54">
        <v>9.92</v>
      </c>
      <c r="AE181" s="54">
        <v>6.15</v>
      </c>
      <c r="AF181" s="54">
        <v>1.1</v>
      </c>
      <c r="AG181" s="54"/>
      <c r="AH181" s="54"/>
      <c r="AI181" s="54"/>
      <c r="AJ181" s="54"/>
      <c r="AK181" s="54"/>
      <c r="AL181" s="54"/>
      <c r="AM181" s="54"/>
      <c r="AN181" s="54">
        <v>0.93</v>
      </c>
      <c r="AO181" s="54"/>
      <c r="AP181" s="54"/>
      <c r="AQ181" s="54"/>
      <c r="AR181" s="54">
        <v>6</v>
      </c>
      <c r="AS181" s="54"/>
      <c r="AT181" s="55">
        <v>27</v>
      </c>
      <c r="AU181" s="54">
        <v>1</v>
      </c>
      <c r="AV181" s="54">
        <v>1</v>
      </c>
      <c r="AW181" s="54"/>
      <c r="AX181" s="54">
        <v>1</v>
      </c>
    </row>
    <row r="182" s="9" customFormat="1" customHeight="1" spans="1:50">
      <c r="A182" s="52">
        <v>180</v>
      </c>
      <c r="B182" s="53">
        <v>44524</v>
      </c>
      <c r="C182" s="54" t="s">
        <v>64</v>
      </c>
      <c r="D182" s="55">
        <v>450</v>
      </c>
      <c r="E182" s="55">
        <v>235</v>
      </c>
      <c r="F182" s="54">
        <v>225</v>
      </c>
      <c r="G182" s="54">
        <v>6</v>
      </c>
      <c r="H182" s="54">
        <v>13</v>
      </c>
      <c r="I182" s="54">
        <v>32</v>
      </c>
      <c r="J182" s="55">
        <v>46</v>
      </c>
      <c r="K182" s="54"/>
      <c r="L182" s="54">
        <v>0.522222222222222</v>
      </c>
      <c r="M182" s="5">
        <f t="shared" si="17"/>
        <v>0.2696</v>
      </c>
      <c r="N182" s="54">
        <v>121.32</v>
      </c>
      <c r="O182" s="54">
        <v>3.23</v>
      </c>
      <c r="P182" s="54">
        <v>12.5</v>
      </c>
      <c r="Q182" s="54">
        <v>1.54</v>
      </c>
      <c r="R182" s="54">
        <v>16</v>
      </c>
      <c r="S182" s="54">
        <v>1.77</v>
      </c>
      <c r="T182" s="54">
        <v>5</v>
      </c>
      <c r="U182" s="54">
        <v>5.32</v>
      </c>
      <c r="V182" s="54"/>
      <c r="W182" s="54">
        <v>5.87</v>
      </c>
      <c r="X182" s="55"/>
      <c r="Y182" s="54">
        <v>1.39</v>
      </c>
      <c r="Z182" s="54">
        <v>7.48</v>
      </c>
      <c r="AA182" s="54">
        <v>7.9</v>
      </c>
      <c r="AB182" s="54">
        <v>14.32</v>
      </c>
      <c r="AC182" s="54"/>
      <c r="AD182" s="54">
        <v>13.68</v>
      </c>
      <c r="AE182" s="54">
        <v>6.39</v>
      </c>
      <c r="AF182" s="54">
        <v>0.29</v>
      </c>
      <c r="AG182" s="54"/>
      <c r="AH182" s="54"/>
      <c r="AI182" s="54"/>
      <c r="AJ182" s="54"/>
      <c r="AK182" s="54"/>
      <c r="AL182" s="54"/>
      <c r="AM182" s="54"/>
      <c r="AN182" s="54">
        <v>0.44</v>
      </c>
      <c r="AO182" s="54"/>
      <c r="AP182" s="54"/>
      <c r="AQ182" s="54">
        <v>5.2</v>
      </c>
      <c r="AR182" s="54">
        <v>13</v>
      </c>
      <c r="AS182" s="54"/>
      <c r="AT182" s="55">
        <v>13.5</v>
      </c>
      <c r="AU182" s="54">
        <v>1</v>
      </c>
      <c r="AV182" s="54">
        <v>1</v>
      </c>
      <c r="AW182" s="54"/>
      <c r="AX182" s="54">
        <v>1</v>
      </c>
    </row>
    <row r="183" s="9" customFormat="1" customHeight="1" spans="1:50">
      <c r="A183" s="52">
        <v>181</v>
      </c>
      <c r="B183" s="53">
        <v>44544</v>
      </c>
      <c r="C183" s="54" t="s">
        <v>55</v>
      </c>
      <c r="D183" s="55">
        <v>725</v>
      </c>
      <c r="E183" s="55">
        <v>347</v>
      </c>
      <c r="F183" s="54">
        <v>337</v>
      </c>
      <c r="G183" s="54">
        <v>30</v>
      </c>
      <c r="H183" s="54">
        <v>50</v>
      </c>
      <c r="I183" s="54">
        <v>50</v>
      </c>
      <c r="J183" s="55">
        <v>50</v>
      </c>
      <c r="K183" s="54"/>
      <c r="L183" s="54">
        <v>0.478620689655172</v>
      </c>
      <c r="M183" s="5">
        <f t="shared" si="17"/>
        <v>0.326675862068966</v>
      </c>
      <c r="N183" s="54">
        <v>236.84</v>
      </c>
      <c r="O183" s="54">
        <v>14.83</v>
      </c>
      <c r="P183" s="54">
        <v>23.23</v>
      </c>
      <c r="Q183" s="54">
        <v>5.9</v>
      </c>
      <c r="R183" s="54">
        <v>37.95</v>
      </c>
      <c r="S183" s="54">
        <v>5.6</v>
      </c>
      <c r="T183" s="54">
        <v>1.3</v>
      </c>
      <c r="U183" s="54"/>
      <c r="V183" s="54">
        <v>3.09</v>
      </c>
      <c r="W183" s="54">
        <v>12.6</v>
      </c>
      <c r="X183" s="55">
        <v>9.32</v>
      </c>
      <c r="Y183" s="54">
        <v>5.08</v>
      </c>
      <c r="Z183" s="54">
        <v>16.74</v>
      </c>
      <c r="AA183" s="54">
        <v>26.54</v>
      </c>
      <c r="AB183" s="54">
        <v>18.3</v>
      </c>
      <c r="AC183" s="54">
        <v>10</v>
      </c>
      <c r="AD183" s="54">
        <v>20.36</v>
      </c>
      <c r="AE183" s="54">
        <v>20</v>
      </c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>
        <v>1</v>
      </c>
      <c r="AR183" s="54">
        <v>5</v>
      </c>
      <c r="AS183" s="54"/>
      <c r="AT183" s="55">
        <v>52.6</v>
      </c>
      <c r="AU183" s="54">
        <v>0</v>
      </c>
      <c r="AV183" s="54">
        <v>1</v>
      </c>
      <c r="AW183" s="54">
        <v>0.1</v>
      </c>
      <c r="AX183" s="54">
        <v>1</v>
      </c>
    </row>
    <row r="184" s="9" customFormat="1" customHeight="1" spans="1:50">
      <c r="A184" s="52">
        <v>182</v>
      </c>
      <c r="B184" s="53">
        <v>44544</v>
      </c>
      <c r="C184" s="54" t="s">
        <v>55</v>
      </c>
      <c r="D184" s="55">
        <v>725</v>
      </c>
      <c r="E184" s="55">
        <v>362</v>
      </c>
      <c r="F184" s="54">
        <v>352</v>
      </c>
      <c r="G184" s="54">
        <v>32</v>
      </c>
      <c r="H184" s="54">
        <v>47</v>
      </c>
      <c r="I184" s="54">
        <v>50</v>
      </c>
      <c r="J184" s="55">
        <v>48</v>
      </c>
      <c r="K184" s="54"/>
      <c r="L184" s="54">
        <v>0.499310344827586</v>
      </c>
      <c r="M184" s="5">
        <f t="shared" si="17"/>
        <v>0.346124137931034</v>
      </c>
      <c r="N184" s="54">
        <v>250.94</v>
      </c>
      <c r="O184" s="54">
        <v>3.89</v>
      </c>
      <c r="P184" s="54">
        <v>1.95</v>
      </c>
      <c r="Q184" s="54">
        <v>1.42</v>
      </c>
      <c r="R184" s="54">
        <v>29.31</v>
      </c>
      <c r="S184" s="54">
        <v>2.12</v>
      </c>
      <c r="T184" s="54">
        <v>33.3</v>
      </c>
      <c r="U184" s="54">
        <v>28.86</v>
      </c>
      <c r="V184" s="54">
        <v>29.4</v>
      </c>
      <c r="W184" s="54">
        <v>1.3</v>
      </c>
      <c r="X184" s="55"/>
      <c r="Y184" s="54"/>
      <c r="Z184" s="54">
        <v>15.3</v>
      </c>
      <c r="AA184" s="54">
        <v>7.72</v>
      </c>
      <c r="AB184" s="54">
        <v>15</v>
      </c>
      <c r="AC184" s="54">
        <v>40</v>
      </c>
      <c r="AD184" s="54">
        <v>6.79</v>
      </c>
      <c r="AE184" s="54">
        <v>20.4</v>
      </c>
      <c r="AF184" s="54">
        <v>1</v>
      </c>
      <c r="AG184" s="54"/>
      <c r="AH184" s="54"/>
      <c r="AI184" s="54"/>
      <c r="AJ184" s="54"/>
      <c r="AK184" s="54"/>
      <c r="AL184" s="54"/>
      <c r="AM184" s="54"/>
      <c r="AN184" s="54">
        <v>1.18</v>
      </c>
      <c r="AO184" s="54"/>
      <c r="AP184" s="54"/>
      <c r="AQ184" s="54">
        <v>4</v>
      </c>
      <c r="AR184" s="54">
        <v>8</v>
      </c>
      <c r="AS184" s="54"/>
      <c r="AT184" s="55">
        <v>39.7</v>
      </c>
      <c r="AU184" s="54">
        <v>0</v>
      </c>
      <c r="AV184" s="54">
        <v>1</v>
      </c>
      <c r="AW184" s="54">
        <v>0.1</v>
      </c>
      <c r="AX184" s="54">
        <v>1</v>
      </c>
    </row>
    <row r="185" s="9" customFormat="1" customHeight="1" spans="1:50">
      <c r="A185" s="52">
        <v>183</v>
      </c>
      <c r="B185" s="53">
        <v>44546</v>
      </c>
      <c r="C185" s="54" t="s">
        <v>63</v>
      </c>
      <c r="D185" s="55">
        <v>325</v>
      </c>
      <c r="E185" s="55">
        <v>140</v>
      </c>
      <c r="F185" s="54">
        <v>130</v>
      </c>
      <c r="G185" s="54">
        <v>23.8</v>
      </c>
      <c r="H185" s="54">
        <v>11</v>
      </c>
      <c r="I185" s="54">
        <v>20</v>
      </c>
      <c r="J185" s="55">
        <v>30</v>
      </c>
      <c r="K185" s="54"/>
      <c r="L185" s="54">
        <v>0.430769230769231</v>
      </c>
      <c r="M185" s="5">
        <f t="shared" si="17"/>
        <v>0.868738461538461</v>
      </c>
      <c r="N185" s="54">
        <v>282.34</v>
      </c>
      <c r="O185" s="54">
        <v>19.85</v>
      </c>
      <c r="P185" s="54">
        <v>24.56</v>
      </c>
      <c r="Q185" s="54">
        <v>5.17</v>
      </c>
      <c r="R185" s="54">
        <v>60</v>
      </c>
      <c r="S185" s="54">
        <v>6.75</v>
      </c>
      <c r="T185" s="54">
        <v>16.11</v>
      </c>
      <c r="U185" s="54">
        <v>20.53</v>
      </c>
      <c r="V185" s="54">
        <v>10.34</v>
      </c>
      <c r="W185" s="54">
        <v>10.96</v>
      </c>
      <c r="X185" s="55">
        <v>10.09</v>
      </c>
      <c r="Y185" s="54">
        <v>6.96</v>
      </c>
      <c r="Z185" s="54">
        <v>14.78</v>
      </c>
      <c r="AA185" s="54">
        <v>23.3</v>
      </c>
      <c r="AB185" s="54">
        <v>25.48</v>
      </c>
      <c r="AC185" s="54"/>
      <c r="AD185" s="54">
        <v>18.46</v>
      </c>
      <c r="AE185" s="54">
        <v>9</v>
      </c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5">
        <v>25</v>
      </c>
      <c r="AU185" s="54">
        <v>0</v>
      </c>
      <c r="AV185" s="54">
        <v>1</v>
      </c>
      <c r="AW185" s="54">
        <v>0.1</v>
      </c>
      <c r="AX185" s="54">
        <v>1</v>
      </c>
    </row>
    <row r="186" s="9" customFormat="1" customHeight="1" spans="1:50">
      <c r="A186" s="52">
        <v>184</v>
      </c>
      <c r="B186" s="53">
        <v>44546</v>
      </c>
      <c r="C186" s="54" t="s">
        <v>63</v>
      </c>
      <c r="D186" s="55">
        <v>325</v>
      </c>
      <c r="E186" s="55">
        <v>148</v>
      </c>
      <c r="F186" s="54">
        <v>140</v>
      </c>
      <c r="G186" s="54">
        <v>20</v>
      </c>
      <c r="H186" s="54">
        <v>12</v>
      </c>
      <c r="I186" s="54">
        <v>20</v>
      </c>
      <c r="J186" s="55">
        <v>28</v>
      </c>
      <c r="K186" s="54"/>
      <c r="L186" s="54">
        <v>0.455384615384615</v>
      </c>
      <c r="M186" s="5">
        <f t="shared" si="17"/>
        <v>0.614307692307692</v>
      </c>
      <c r="N186" s="54">
        <v>199.65</v>
      </c>
      <c r="O186" s="54">
        <v>6.27</v>
      </c>
      <c r="P186" s="54">
        <v>15.79</v>
      </c>
      <c r="Q186" s="54">
        <v>2.92</v>
      </c>
      <c r="R186" s="54">
        <v>8.88</v>
      </c>
      <c r="S186" s="54">
        <v>4.91</v>
      </c>
      <c r="T186" s="54">
        <v>23.43</v>
      </c>
      <c r="U186" s="54"/>
      <c r="V186" s="54">
        <v>8.9</v>
      </c>
      <c r="W186" s="54"/>
      <c r="X186" s="55">
        <v>5.34</v>
      </c>
      <c r="Y186" s="54">
        <v>5.82</v>
      </c>
      <c r="Z186" s="54">
        <v>14.86</v>
      </c>
      <c r="AA186" s="54">
        <v>24.18</v>
      </c>
      <c r="AB186" s="54">
        <v>24.66</v>
      </c>
      <c r="AC186" s="54"/>
      <c r="AD186" s="54">
        <v>19.14</v>
      </c>
      <c r="AE186" s="54">
        <v>1.9</v>
      </c>
      <c r="AF186" s="54"/>
      <c r="AG186" s="54"/>
      <c r="AH186" s="54"/>
      <c r="AI186" s="54"/>
      <c r="AJ186" s="54"/>
      <c r="AK186" s="54"/>
      <c r="AL186" s="54"/>
      <c r="AM186" s="54"/>
      <c r="AN186" s="54">
        <v>0.65</v>
      </c>
      <c r="AO186" s="54"/>
      <c r="AP186" s="54"/>
      <c r="AQ186" s="54">
        <v>7</v>
      </c>
      <c r="AR186" s="54">
        <v>25</v>
      </c>
      <c r="AS186" s="54"/>
      <c r="AT186" s="55">
        <v>48</v>
      </c>
      <c r="AU186" s="54">
        <v>0</v>
      </c>
      <c r="AV186" s="54">
        <v>1</v>
      </c>
      <c r="AW186" s="54">
        <v>0.1</v>
      </c>
      <c r="AX186" s="54">
        <v>1</v>
      </c>
    </row>
    <row r="187" s="9" customFormat="1" customHeight="1" spans="1:50">
      <c r="A187" s="52">
        <v>185</v>
      </c>
      <c r="B187" s="53">
        <v>44546</v>
      </c>
      <c r="C187" s="54" t="s">
        <v>63</v>
      </c>
      <c r="D187" s="55">
        <v>325</v>
      </c>
      <c r="E187" s="55">
        <v>170</v>
      </c>
      <c r="F187" s="54">
        <v>160</v>
      </c>
      <c r="G187" s="54">
        <v>21</v>
      </c>
      <c r="H187" s="54">
        <v>14</v>
      </c>
      <c r="I187" s="54">
        <v>22</v>
      </c>
      <c r="J187" s="55">
        <v>31</v>
      </c>
      <c r="K187" s="54"/>
      <c r="L187" s="54">
        <v>0.523076923076923</v>
      </c>
      <c r="M187" s="5">
        <f t="shared" si="17"/>
        <v>0.504369230769231</v>
      </c>
      <c r="N187" s="54">
        <v>163.92</v>
      </c>
      <c r="O187" s="54"/>
      <c r="P187" s="54">
        <v>4.2</v>
      </c>
      <c r="Q187" s="54"/>
      <c r="R187" s="54"/>
      <c r="S187" s="54"/>
      <c r="T187" s="54">
        <v>127.66</v>
      </c>
      <c r="U187" s="54"/>
      <c r="V187" s="54"/>
      <c r="W187" s="54"/>
      <c r="X187" s="55">
        <v>4.5</v>
      </c>
      <c r="Y187" s="54">
        <v>1.95</v>
      </c>
      <c r="Z187" s="54"/>
      <c r="AA187" s="54"/>
      <c r="AB187" s="54">
        <v>6.07</v>
      </c>
      <c r="AC187" s="54"/>
      <c r="AD187" s="54"/>
      <c r="AE187" s="54">
        <v>10.67</v>
      </c>
      <c r="AF187" s="54"/>
      <c r="AG187" s="54"/>
      <c r="AH187" s="54"/>
      <c r="AI187" s="54"/>
      <c r="AJ187" s="54"/>
      <c r="AK187" s="54"/>
      <c r="AL187" s="54"/>
      <c r="AM187" s="54"/>
      <c r="AN187" s="54">
        <v>1.47</v>
      </c>
      <c r="AO187" s="54"/>
      <c r="AP187" s="54"/>
      <c r="AQ187" s="54">
        <v>4.5</v>
      </c>
      <c r="AR187" s="54">
        <v>2.9</v>
      </c>
      <c r="AS187" s="54"/>
      <c r="AT187" s="55">
        <v>10.69</v>
      </c>
      <c r="AU187" s="54">
        <v>0</v>
      </c>
      <c r="AV187" s="54">
        <v>1</v>
      </c>
      <c r="AW187" s="54">
        <v>0.1</v>
      </c>
      <c r="AX187" s="54">
        <v>1</v>
      </c>
    </row>
    <row r="188" s="9" customFormat="1" customHeight="1" spans="1:50">
      <c r="A188" s="52">
        <v>186</v>
      </c>
      <c r="B188" s="53">
        <v>44546</v>
      </c>
      <c r="C188" s="54" t="s">
        <v>63</v>
      </c>
      <c r="D188" s="55">
        <v>325</v>
      </c>
      <c r="E188" s="55">
        <v>161</v>
      </c>
      <c r="F188" s="54">
        <v>152</v>
      </c>
      <c r="G188" s="54">
        <v>18</v>
      </c>
      <c r="H188" s="54">
        <v>12</v>
      </c>
      <c r="I188" s="54">
        <v>25</v>
      </c>
      <c r="J188" s="55">
        <v>32</v>
      </c>
      <c r="K188" s="54"/>
      <c r="L188" s="54">
        <v>0.495384615384615</v>
      </c>
      <c r="M188" s="5">
        <f t="shared" si="17"/>
        <v>0.229753846153846</v>
      </c>
      <c r="N188" s="54">
        <v>74.67</v>
      </c>
      <c r="O188" s="54">
        <v>17.1</v>
      </c>
      <c r="P188" s="54">
        <v>11.27</v>
      </c>
      <c r="Q188" s="54">
        <v>5.49</v>
      </c>
      <c r="R188" s="54"/>
      <c r="S188" s="54">
        <v>11.72</v>
      </c>
      <c r="T188" s="54"/>
      <c r="U188" s="54"/>
      <c r="V188" s="54">
        <v>4</v>
      </c>
      <c r="W188" s="54"/>
      <c r="X188" s="55">
        <v>5.4</v>
      </c>
      <c r="Y188" s="54"/>
      <c r="Z188" s="54"/>
      <c r="AA188" s="54"/>
      <c r="AB188" s="54">
        <v>6.42</v>
      </c>
      <c r="AC188" s="54"/>
      <c r="AD188" s="54"/>
      <c r="AE188" s="54">
        <v>5.27</v>
      </c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>
        <v>8</v>
      </c>
      <c r="AS188" s="54"/>
      <c r="AT188" s="55"/>
      <c r="AU188" s="54">
        <v>0</v>
      </c>
      <c r="AV188" s="54">
        <v>1</v>
      </c>
      <c r="AW188" s="54">
        <v>0.1</v>
      </c>
      <c r="AX188" s="54">
        <v>1</v>
      </c>
    </row>
    <row r="189" s="9" customFormat="1" customHeight="1" spans="1:50">
      <c r="A189" s="52">
        <v>187</v>
      </c>
      <c r="B189" s="53">
        <v>44548</v>
      </c>
      <c r="C189" s="54" t="s">
        <v>68</v>
      </c>
      <c r="D189" s="55">
        <v>480</v>
      </c>
      <c r="E189" s="55">
        <v>270</v>
      </c>
      <c r="F189" s="54">
        <v>260</v>
      </c>
      <c r="G189" s="63">
        <v>98.4</v>
      </c>
      <c r="H189" s="63">
        <v>20</v>
      </c>
      <c r="I189" s="63">
        <v>104</v>
      </c>
      <c r="J189" s="63">
        <v>126</v>
      </c>
      <c r="K189" s="54"/>
      <c r="L189" s="54"/>
      <c r="M189" s="5">
        <f t="shared" si="17"/>
        <v>0.571458333333333</v>
      </c>
      <c r="N189" s="54">
        <v>274.3</v>
      </c>
      <c r="O189" s="54"/>
      <c r="P189" s="54">
        <v>15</v>
      </c>
      <c r="Q189" s="54"/>
      <c r="R189" s="54">
        <v>80</v>
      </c>
      <c r="S189" s="54"/>
      <c r="T189" s="54"/>
      <c r="U189" s="54"/>
      <c r="V189" s="54"/>
      <c r="W189" s="54"/>
      <c r="X189" s="55"/>
      <c r="Y189" s="54">
        <v>4.5</v>
      </c>
      <c r="Z189" s="54">
        <v>8</v>
      </c>
      <c r="AA189" s="54">
        <v>46</v>
      </c>
      <c r="AB189" s="54">
        <v>46.8</v>
      </c>
      <c r="AC189" s="54"/>
      <c r="AD189" s="54">
        <v>45</v>
      </c>
      <c r="AE189" s="54">
        <v>12</v>
      </c>
      <c r="AF189" s="54">
        <v>2</v>
      </c>
      <c r="AG189" s="54">
        <v>15</v>
      </c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63">
        <v>75</v>
      </c>
      <c r="AU189" s="54">
        <v>1</v>
      </c>
      <c r="AV189" s="54">
        <v>1</v>
      </c>
      <c r="AW189" s="54">
        <v>0.1</v>
      </c>
      <c r="AX189" s="54">
        <v>1</v>
      </c>
    </row>
    <row r="190" s="9" customFormat="1" customHeight="1" spans="1:50">
      <c r="A190" s="52">
        <v>188</v>
      </c>
      <c r="B190" s="53">
        <v>44548</v>
      </c>
      <c r="C190" s="54" t="s">
        <v>68</v>
      </c>
      <c r="D190" s="55">
        <v>520</v>
      </c>
      <c r="E190" s="55">
        <v>299.5</v>
      </c>
      <c r="F190" s="54">
        <v>290</v>
      </c>
      <c r="G190" s="64"/>
      <c r="H190" s="64"/>
      <c r="I190" s="64"/>
      <c r="J190" s="64"/>
      <c r="K190" s="54"/>
      <c r="L190" s="54"/>
      <c r="M190" s="5">
        <f t="shared" si="17"/>
        <v>0</v>
      </c>
      <c r="N190" s="54">
        <v>0</v>
      </c>
      <c r="O190" s="54"/>
      <c r="P190" s="54"/>
      <c r="Q190" s="54"/>
      <c r="R190" s="54"/>
      <c r="S190" s="54"/>
      <c r="T190" s="54"/>
      <c r="U190" s="54"/>
      <c r="V190" s="54"/>
      <c r="W190" s="54"/>
      <c r="X190" s="55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64"/>
      <c r="AU190" s="54">
        <v>1</v>
      </c>
      <c r="AV190" s="54">
        <v>1</v>
      </c>
      <c r="AW190" s="54">
        <v>0.1</v>
      </c>
      <c r="AX190" s="54">
        <v>1</v>
      </c>
    </row>
    <row r="191" s="9" customFormat="1" customHeight="1" spans="1:50">
      <c r="A191" s="52">
        <v>189</v>
      </c>
      <c r="B191" s="53">
        <v>44548</v>
      </c>
      <c r="C191" s="54" t="s">
        <v>63</v>
      </c>
      <c r="D191" s="55">
        <v>325</v>
      </c>
      <c r="E191" s="55">
        <v>131.5</v>
      </c>
      <c r="F191" s="54">
        <v>121</v>
      </c>
      <c r="G191" s="64"/>
      <c r="H191" s="64"/>
      <c r="I191" s="64"/>
      <c r="J191" s="64"/>
      <c r="K191" s="54"/>
      <c r="L191" s="54"/>
      <c r="M191" s="5">
        <f t="shared" si="17"/>
        <v>0</v>
      </c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5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64"/>
      <c r="AU191" s="54">
        <v>0</v>
      </c>
      <c r="AV191" s="54">
        <v>1</v>
      </c>
      <c r="AW191" s="54">
        <v>0.1</v>
      </c>
      <c r="AX191" s="54">
        <v>1</v>
      </c>
    </row>
    <row r="192" s="9" customFormat="1" customHeight="1" spans="1:50">
      <c r="A192" s="52">
        <v>190</v>
      </c>
      <c r="B192" s="53">
        <v>44548</v>
      </c>
      <c r="C192" s="54" t="s">
        <v>63</v>
      </c>
      <c r="D192" s="55">
        <v>325</v>
      </c>
      <c r="E192" s="55">
        <v>161</v>
      </c>
      <c r="F192" s="54">
        <v>153</v>
      </c>
      <c r="G192" s="65"/>
      <c r="H192" s="65"/>
      <c r="I192" s="65"/>
      <c r="J192" s="65"/>
      <c r="K192" s="54"/>
      <c r="L192" s="54"/>
      <c r="M192" s="5">
        <f t="shared" si="17"/>
        <v>0</v>
      </c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5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65"/>
      <c r="AU192" s="54">
        <v>0</v>
      </c>
      <c r="AV192" s="54">
        <v>1</v>
      </c>
      <c r="AW192" s="54">
        <v>0.1</v>
      </c>
      <c r="AX192" s="54">
        <v>1</v>
      </c>
    </row>
    <row r="193" s="7" customFormat="1" customHeight="1" spans="1:50">
      <c r="A193" s="18"/>
      <c r="B193" s="34"/>
      <c r="C193" s="35"/>
      <c r="D193" s="36">
        <f t="shared" ref="D193:AX193" si="18">SUM(D3:D192)</f>
        <v>119500</v>
      </c>
      <c r="E193" s="36">
        <f t="shared" si="18"/>
        <v>65607.5</v>
      </c>
      <c r="F193" s="36">
        <f t="shared" si="18"/>
        <v>63667.5</v>
      </c>
      <c r="G193" s="36">
        <f t="shared" si="18"/>
        <v>5182.3</v>
      </c>
      <c r="H193" s="36">
        <f t="shared" si="18"/>
        <v>5603</v>
      </c>
      <c r="I193" s="36">
        <f t="shared" si="18"/>
        <v>7703</v>
      </c>
      <c r="J193" s="36">
        <f t="shared" si="18"/>
        <v>8436.9</v>
      </c>
      <c r="K193" s="36">
        <f t="shared" si="18"/>
        <v>0</v>
      </c>
      <c r="L193" s="36">
        <f t="shared" si="18"/>
        <v>101.831527546677</v>
      </c>
      <c r="M193" s="36">
        <f t="shared" si="18"/>
        <v>76.870360496089</v>
      </c>
      <c r="N193" s="36">
        <f t="shared" si="18"/>
        <v>47654.28</v>
      </c>
      <c r="O193" s="36">
        <f t="shared" si="18"/>
        <v>528.65</v>
      </c>
      <c r="P193" s="36">
        <f t="shared" si="18"/>
        <v>2617.37</v>
      </c>
      <c r="Q193" s="36">
        <f t="shared" si="18"/>
        <v>172.43</v>
      </c>
      <c r="R193" s="36">
        <f t="shared" si="18"/>
        <v>8018.89</v>
      </c>
      <c r="S193" s="36">
        <f t="shared" si="18"/>
        <v>225.57</v>
      </c>
      <c r="T193" s="36">
        <f t="shared" si="18"/>
        <v>4648.4</v>
      </c>
      <c r="U193" s="36">
        <f t="shared" si="18"/>
        <v>1293.66</v>
      </c>
      <c r="V193" s="36">
        <f t="shared" si="18"/>
        <v>2550.49</v>
      </c>
      <c r="W193" s="36">
        <f t="shared" si="18"/>
        <v>1543.84</v>
      </c>
      <c r="X193" s="36">
        <f t="shared" si="18"/>
        <v>1031.18</v>
      </c>
      <c r="Y193" s="36">
        <f t="shared" si="18"/>
        <v>383.52</v>
      </c>
      <c r="Z193" s="36">
        <f t="shared" si="18"/>
        <v>3580.78</v>
      </c>
      <c r="AA193" s="36">
        <f t="shared" si="18"/>
        <v>1188.91</v>
      </c>
      <c r="AB193" s="36">
        <f t="shared" si="18"/>
        <v>8029.16</v>
      </c>
      <c r="AC193" s="36">
        <f t="shared" si="18"/>
        <v>1731.09</v>
      </c>
      <c r="AD193" s="36">
        <f t="shared" si="18"/>
        <v>917.29</v>
      </c>
      <c r="AE193" s="36">
        <f t="shared" si="18"/>
        <v>1021.66</v>
      </c>
      <c r="AF193" s="36">
        <f t="shared" si="18"/>
        <v>276.7</v>
      </c>
      <c r="AG193" s="36">
        <f t="shared" si="18"/>
        <v>310.4</v>
      </c>
      <c r="AH193" s="36">
        <f t="shared" si="18"/>
        <v>0</v>
      </c>
      <c r="AI193" s="36">
        <f t="shared" si="18"/>
        <v>0</v>
      </c>
      <c r="AJ193" s="36">
        <f t="shared" si="18"/>
        <v>0</v>
      </c>
      <c r="AK193" s="36">
        <f t="shared" si="18"/>
        <v>0</v>
      </c>
      <c r="AL193" s="36">
        <f t="shared" si="18"/>
        <v>0</v>
      </c>
      <c r="AM193" s="36">
        <f t="shared" si="18"/>
        <v>0</v>
      </c>
      <c r="AN193" s="36">
        <f t="shared" si="18"/>
        <v>119.83</v>
      </c>
      <c r="AO193" s="36">
        <f t="shared" si="18"/>
        <v>0</v>
      </c>
      <c r="AP193" s="36">
        <f t="shared" si="18"/>
        <v>3144.73</v>
      </c>
      <c r="AQ193" s="36">
        <f t="shared" si="18"/>
        <v>1194.48</v>
      </c>
      <c r="AR193" s="36">
        <f t="shared" si="18"/>
        <v>3125.25</v>
      </c>
      <c r="AS193" s="36">
        <f t="shared" si="18"/>
        <v>0</v>
      </c>
      <c r="AT193" s="36">
        <f t="shared" si="18"/>
        <v>7213.02</v>
      </c>
      <c r="AU193" s="36">
        <f t="shared" si="18"/>
        <v>146</v>
      </c>
      <c r="AV193" s="36">
        <f t="shared" si="18"/>
        <v>185</v>
      </c>
      <c r="AW193" s="36">
        <f t="shared" si="18"/>
        <v>15</v>
      </c>
      <c r="AX193" s="36">
        <f t="shared" si="18"/>
        <v>184</v>
      </c>
    </row>
    <row r="194" s="7" customFormat="1" customHeight="1" spans="1:50">
      <c r="A194" s="18"/>
      <c r="B194" s="34"/>
      <c r="C194" s="35"/>
      <c r="D194" s="36"/>
      <c r="E194" s="36"/>
      <c r="F194" s="35"/>
      <c r="G194" s="49"/>
      <c r="H194" s="49"/>
      <c r="I194" s="49"/>
      <c r="J194" s="49"/>
      <c r="K194" s="35"/>
      <c r="L194" s="35"/>
      <c r="M194" s="35"/>
      <c r="N194" s="35">
        <f>N193/D193</f>
        <v>0.398780585774059</v>
      </c>
      <c r="O194" s="35"/>
      <c r="P194" s="35"/>
      <c r="Q194" s="35"/>
      <c r="R194" s="35"/>
      <c r="S194" s="35"/>
      <c r="T194" s="35"/>
      <c r="U194" s="35"/>
      <c r="V194" s="35"/>
      <c r="W194" s="35"/>
      <c r="X194" s="36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49"/>
      <c r="AU194" s="35"/>
      <c r="AV194" s="35"/>
      <c r="AW194" s="35"/>
      <c r="AX194" s="35"/>
    </row>
    <row r="195" s="7" customFormat="1" customHeight="1" spans="1:50">
      <c r="A195" s="18">
        <v>1</v>
      </c>
      <c r="B195" s="34">
        <v>44548</v>
      </c>
      <c r="C195" s="35" t="s">
        <v>71</v>
      </c>
      <c r="D195" s="36">
        <v>205.4</v>
      </c>
      <c r="E195" s="36"/>
      <c r="F195" s="35"/>
      <c r="G195" s="35"/>
      <c r="H195" s="35"/>
      <c r="I195" s="35"/>
      <c r="J195" s="36"/>
      <c r="K195" s="35"/>
      <c r="L195" s="35"/>
      <c r="M195" s="35"/>
      <c r="N195" s="35">
        <v>217.76</v>
      </c>
      <c r="O195" s="35"/>
      <c r="P195" s="35">
        <v>14.2</v>
      </c>
      <c r="Q195" s="35"/>
      <c r="R195" s="35"/>
      <c r="S195" s="35"/>
      <c r="T195" s="35">
        <v>30.63</v>
      </c>
      <c r="U195" s="35"/>
      <c r="V195" s="35">
        <v>22.75</v>
      </c>
      <c r="W195" s="35">
        <v>9.26</v>
      </c>
      <c r="X195" s="36">
        <v>5.32</v>
      </c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>
        <v>122.6</v>
      </c>
      <c r="AQ195" s="35"/>
      <c r="AR195" s="35">
        <v>13</v>
      </c>
      <c r="AS195" s="35"/>
      <c r="AT195" s="36">
        <v>14.14</v>
      </c>
      <c r="AU195" s="35"/>
      <c r="AV195" s="35"/>
      <c r="AW195" s="35"/>
      <c r="AX195" s="35"/>
    </row>
    <row r="196" s="7" customFormat="1" customHeight="1" spans="1:50">
      <c r="A196" s="18">
        <v>2</v>
      </c>
      <c r="B196" s="34">
        <v>44549</v>
      </c>
      <c r="C196" s="35" t="s">
        <v>71</v>
      </c>
      <c r="D196" s="36">
        <v>173.7</v>
      </c>
      <c r="E196" s="36"/>
      <c r="F196" s="35"/>
      <c r="G196" s="35"/>
      <c r="H196" s="35"/>
      <c r="I196" s="35"/>
      <c r="J196" s="36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6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6"/>
      <c r="AU196" s="35"/>
      <c r="AV196" s="35"/>
      <c r="AW196" s="35"/>
      <c r="AX196" s="35"/>
    </row>
    <row r="197" s="7" customFormat="1" customHeight="1" spans="1:50">
      <c r="A197" s="18">
        <v>3</v>
      </c>
      <c r="B197" s="34">
        <v>44550</v>
      </c>
      <c r="C197" s="35" t="s">
        <v>71</v>
      </c>
      <c r="D197" s="36">
        <v>174.7</v>
      </c>
      <c r="E197" s="36"/>
      <c r="F197" s="35"/>
      <c r="G197" s="35"/>
      <c r="H197" s="35"/>
      <c r="I197" s="35"/>
      <c r="J197" s="36"/>
      <c r="K197" s="35"/>
      <c r="L197" s="35"/>
      <c r="M197" s="35"/>
      <c r="N197" s="35">
        <v>183.65</v>
      </c>
      <c r="O197" s="35">
        <v>8.21</v>
      </c>
      <c r="P197" s="35">
        <v>13.7</v>
      </c>
      <c r="Q197" s="35">
        <v>2.8</v>
      </c>
      <c r="R197" s="35"/>
      <c r="S197" s="35">
        <v>3.18</v>
      </c>
      <c r="T197" s="35">
        <v>30.64</v>
      </c>
      <c r="U197" s="35"/>
      <c r="V197" s="35"/>
      <c r="W197" s="35"/>
      <c r="X197" s="36"/>
      <c r="Y197" s="35">
        <v>4.1</v>
      </c>
      <c r="Z197" s="35">
        <v>10.1</v>
      </c>
      <c r="AA197" s="35">
        <v>15.8</v>
      </c>
      <c r="AB197" s="35">
        <v>9.6</v>
      </c>
      <c r="AC197" s="35"/>
      <c r="AD197" s="35">
        <v>11.05</v>
      </c>
      <c r="AE197" s="35">
        <v>9.03</v>
      </c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>
        <v>42.44</v>
      </c>
      <c r="AQ197" s="35">
        <v>1</v>
      </c>
      <c r="AR197" s="35">
        <v>22</v>
      </c>
      <c r="AS197" s="35"/>
      <c r="AT197" s="36">
        <v>3.75</v>
      </c>
      <c r="AU197" s="35"/>
      <c r="AV197" s="35"/>
      <c r="AW197" s="35"/>
      <c r="AX197" s="35"/>
    </row>
    <row r="198" s="7" customFormat="1" customHeight="1" spans="1:50">
      <c r="A198" s="18">
        <v>4</v>
      </c>
      <c r="B198" s="34">
        <v>44552</v>
      </c>
      <c r="C198" s="35" t="s">
        <v>71</v>
      </c>
      <c r="D198" s="36">
        <v>212.8</v>
      </c>
      <c r="E198" s="36"/>
      <c r="F198" s="35"/>
      <c r="G198" s="35"/>
      <c r="H198" s="35"/>
      <c r="I198" s="35"/>
      <c r="J198" s="36"/>
      <c r="K198" s="35"/>
      <c r="L198" s="35"/>
      <c r="M198" s="35"/>
      <c r="N198" s="35">
        <v>174.27</v>
      </c>
      <c r="O198" s="35">
        <v>9.4</v>
      </c>
      <c r="P198" s="35">
        <v>16.9</v>
      </c>
      <c r="Q198" s="35"/>
      <c r="R198" s="35"/>
      <c r="S198" s="35">
        <v>1.95</v>
      </c>
      <c r="T198" s="35">
        <v>30.63</v>
      </c>
      <c r="U198" s="35"/>
      <c r="V198" s="35"/>
      <c r="W198" s="35"/>
      <c r="X198" s="36">
        <v>5.97</v>
      </c>
      <c r="Y198" s="35"/>
      <c r="Z198" s="35"/>
      <c r="AA198" s="35">
        <v>19.16</v>
      </c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>
        <v>1.9</v>
      </c>
      <c r="AO198" s="35"/>
      <c r="AP198" s="35">
        <v>74.26</v>
      </c>
      <c r="AQ198" s="35">
        <v>3</v>
      </c>
      <c r="AR198" s="35">
        <v>11.1</v>
      </c>
      <c r="AS198" s="35"/>
      <c r="AT198" s="36">
        <v>3.4</v>
      </c>
      <c r="AU198" s="35"/>
      <c r="AV198" s="35"/>
      <c r="AW198" s="35"/>
      <c r="AX198" s="35"/>
    </row>
    <row r="199" s="7" customFormat="1" customHeight="1" spans="1:50">
      <c r="A199" s="18">
        <v>5</v>
      </c>
      <c r="B199" s="34">
        <v>44553</v>
      </c>
      <c r="C199" s="35" t="s">
        <v>71</v>
      </c>
      <c r="D199" s="36">
        <v>71.95</v>
      </c>
      <c r="E199" s="36"/>
      <c r="F199" s="35"/>
      <c r="G199" s="35"/>
      <c r="H199" s="35"/>
      <c r="I199" s="35"/>
      <c r="J199" s="36"/>
      <c r="K199" s="35"/>
      <c r="L199" s="35"/>
      <c r="M199" s="35"/>
      <c r="N199" s="35">
        <v>238.49</v>
      </c>
      <c r="O199" s="35">
        <v>9.63</v>
      </c>
      <c r="P199" s="35">
        <v>18.53</v>
      </c>
      <c r="Q199" s="35">
        <v>3.78</v>
      </c>
      <c r="R199" s="35"/>
      <c r="S199" s="35">
        <v>5</v>
      </c>
      <c r="T199" s="35">
        <v>74.7</v>
      </c>
      <c r="U199" s="35">
        <v>14.05</v>
      </c>
      <c r="V199" s="35"/>
      <c r="W199" s="35"/>
      <c r="X199" s="36">
        <v>22</v>
      </c>
      <c r="Y199" s="35">
        <v>5.97</v>
      </c>
      <c r="Z199" s="35">
        <v>13.58</v>
      </c>
      <c r="AA199" s="35">
        <v>21</v>
      </c>
      <c r="AB199" s="35">
        <v>20.74</v>
      </c>
      <c r="AC199" s="35"/>
      <c r="AD199" s="35">
        <v>15.56</v>
      </c>
      <c r="AE199" s="35">
        <v>4.95</v>
      </c>
      <c r="AF199" s="35"/>
      <c r="AG199" s="35"/>
      <c r="AH199" s="35"/>
      <c r="AI199" s="35"/>
      <c r="AJ199" s="35"/>
      <c r="AK199" s="35"/>
      <c r="AL199" s="35"/>
      <c r="AM199" s="35"/>
      <c r="AN199" s="35">
        <v>1</v>
      </c>
      <c r="AO199" s="35"/>
      <c r="AP199" s="35"/>
      <c r="AQ199" s="35"/>
      <c r="AR199" s="35">
        <v>8</v>
      </c>
      <c r="AS199" s="35"/>
      <c r="AT199" s="36">
        <v>6</v>
      </c>
      <c r="AU199" s="35"/>
      <c r="AV199" s="35"/>
      <c r="AW199" s="35"/>
      <c r="AX199" s="35"/>
    </row>
    <row r="200" s="7" customFormat="1" customHeight="1" spans="2:46">
      <c r="B200" s="44">
        <v>44554</v>
      </c>
      <c r="C200" s="7" t="s">
        <v>71</v>
      </c>
      <c r="D200" s="46">
        <v>23.6</v>
      </c>
      <c r="E200" s="39"/>
      <c r="J200" s="46"/>
      <c r="N200" s="35">
        <v>22.6</v>
      </c>
      <c r="T200" s="7">
        <v>22.6</v>
      </c>
      <c r="X200" s="46"/>
      <c r="AT200" s="46"/>
    </row>
    <row r="201" customHeight="1" spans="4:14">
      <c r="D201" s="12">
        <f>SUBTOTAL(9,D176:D200)</f>
        <v>127912.15</v>
      </c>
      <c r="N201" s="1">
        <f>SUBTOTAL(9,N176:N200)</f>
        <v>51284.2487805858</v>
      </c>
    </row>
    <row r="202" customHeight="1" spans="14:14">
      <c r="N202" s="66">
        <f>N201/D201</f>
        <v>0.400933365443281</v>
      </c>
    </row>
    <row r="203" customHeight="1" spans="14:14">
      <c r="N203" s="66">
        <f>N152/D152</f>
        <v>0.3492</v>
      </c>
    </row>
    <row r="204" customHeight="1" spans="14:14">
      <c r="N204" s="66">
        <f>N150/D150</f>
        <v>0.482</v>
      </c>
    </row>
    <row r="205" customHeight="1" spans="4:14">
      <c r="D205" s="12">
        <f>SUBTOTAL(9,D61:D204)</f>
        <v>200712.15</v>
      </c>
      <c r="E205" s="12">
        <f t="shared" ref="E205:N205" si="19">SUBTOTAL(9,E61:E204)</f>
        <v>109307.5</v>
      </c>
      <c r="F205" s="12">
        <f t="shared" si="19"/>
        <v>106058.5</v>
      </c>
      <c r="G205" s="12">
        <f t="shared" si="19"/>
        <v>8378.5</v>
      </c>
      <c r="H205" s="12">
        <f t="shared" si="19"/>
        <v>9625</v>
      </c>
      <c r="I205" s="12">
        <f t="shared" si="19"/>
        <v>12524</v>
      </c>
      <c r="J205" s="12">
        <f t="shared" si="19"/>
        <v>14050.9</v>
      </c>
      <c r="K205" s="12">
        <f t="shared" si="19"/>
        <v>0</v>
      </c>
      <c r="L205" s="12">
        <f t="shared" si="19"/>
        <v>171.251014698512</v>
      </c>
      <c r="M205" s="12">
        <f t="shared" si="19"/>
        <v>132.509691693832</v>
      </c>
      <c r="N205" s="12">
        <f t="shared" si="19"/>
        <v>81195.4709139512</v>
      </c>
    </row>
    <row r="206" customHeight="1" spans="5:14">
      <c r="E206" s="66">
        <f>E205/D205</f>
        <v>0.544598321526624</v>
      </c>
      <c r="H206" s="66">
        <f>H205/D205</f>
        <v>0.0479542469152964</v>
      </c>
      <c r="N206" s="66">
        <f>N205/D205</f>
        <v>0.40453689980378</v>
      </c>
    </row>
    <row r="207" customHeight="1" spans="4:14">
      <c r="D207" s="12">
        <f>SUBTOTAL(9,D3:D206)</f>
        <v>239862.15</v>
      </c>
      <c r="E207" s="12">
        <f t="shared" ref="E207:N207" si="20">SUBTOTAL(9,E3:E206)</f>
        <v>131215.544598322</v>
      </c>
      <c r="F207" s="12">
        <f t="shared" si="20"/>
        <v>127335</v>
      </c>
      <c r="G207" s="12">
        <f t="shared" si="20"/>
        <v>10364.6</v>
      </c>
      <c r="H207" s="12">
        <f t="shared" si="20"/>
        <v>11206.0479542469</v>
      </c>
      <c r="I207" s="12">
        <f t="shared" si="20"/>
        <v>15406</v>
      </c>
      <c r="J207" s="12">
        <f t="shared" si="20"/>
        <v>16873.8</v>
      </c>
      <c r="K207" s="12">
        <f t="shared" si="20"/>
        <v>0</v>
      </c>
      <c r="L207" s="12">
        <f t="shared" si="20"/>
        <v>203.663055093355</v>
      </c>
      <c r="M207" s="12">
        <f t="shared" si="20"/>
        <v>153.740720992178</v>
      </c>
      <c r="N207" s="12">
        <f t="shared" si="20"/>
        <v>96147.365450851</v>
      </c>
    </row>
    <row r="208" customHeight="1" spans="14:14">
      <c r="N208" s="66">
        <f>N207/D207</f>
        <v>0.400844257632357</v>
      </c>
    </row>
    <row r="209" customHeight="1" spans="4:14">
      <c r="D209" s="12">
        <f>SUM(D3:D190)</f>
        <v>118850</v>
      </c>
      <c r="E209" s="12">
        <f t="shared" ref="E209:N209" si="21">SUM(E3:E190)</f>
        <v>65315</v>
      </c>
      <c r="F209" s="12">
        <f t="shared" si="21"/>
        <v>63393.5</v>
      </c>
      <c r="G209" s="12">
        <f t="shared" si="21"/>
        <v>5182.3</v>
      </c>
      <c r="H209" s="12">
        <f t="shared" si="21"/>
        <v>5603</v>
      </c>
      <c r="I209" s="12">
        <f t="shared" si="21"/>
        <v>7703</v>
      </c>
      <c r="J209" s="12">
        <f t="shared" si="21"/>
        <v>8436.9</v>
      </c>
      <c r="K209" s="12">
        <f t="shared" si="21"/>
        <v>0</v>
      </c>
      <c r="L209" s="12">
        <f t="shared" si="21"/>
        <v>101.831527546677</v>
      </c>
      <c r="M209" s="12">
        <f t="shared" si="21"/>
        <v>76.870360496089</v>
      </c>
      <c r="N209" s="12">
        <f t="shared" si="21"/>
        <v>47654.28</v>
      </c>
    </row>
    <row r="210" customHeight="1" spans="14:14">
      <c r="N210" s="66">
        <f>N209/D209</f>
        <v>0.400961548169962</v>
      </c>
    </row>
  </sheetData>
  <autoFilter xmlns:etc="http://www.wps.cn/officeDocument/2017/etCustomData" ref="A1:AY210" etc:filterBottomFollowUsedRange="0">
    <extLst/>
  </autoFilter>
  <mergeCells count="95">
    <mergeCell ref="A1:A2"/>
    <mergeCell ref="B1:B2"/>
    <mergeCell ref="C1:C2"/>
    <mergeCell ref="D1:D2"/>
    <mergeCell ref="G3:G5"/>
    <mergeCell ref="G6:G8"/>
    <mergeCell ref="G9:G10"/>
    <mergeCell ref="G11:G13"/>
    <mergeCell ref="G14:G16"/>
    <mergeCell ref="G17:G19"/>
    <mergeCell ref="G20:G22"/>
    <mergeCell ref="G23:G25"/>
    <mergeCell ref="G26:G28"/>
    <mergeCell ref="G29:G31"/>
    <mergeCell ref="G32:G35"/>
    <mergeCell ref="G37:G39"/>
    <mergeCell ref="G40:G41"/>
    <mergeCell ref="G42:G43"/>
    <mergeCell ref="G45:G46"/>
    <mergeCell ref="G47:G48"/>
    <mergeCell ref="G49:G50"/>
    <mergeCell ref="G51:G54"/>
    <mergeCell ref="G55:G57"/>
    <mergeCell ref="G58:G60"/>
    <mergeCell ref="G61:G63"/>
    <mergeCell ref="G64:G66"/>
    <mergeCell ref="G67:G68"/>
    <mergeCell ref="G69:G72"/>
    <mergeCell ref="G73:G75"/>
    <mergeCell ref="G189:G192"/>
    <mergeCell ref="H6:H8"/>
    <mergeCell ref="H9:H10"/>
    <mergeCell ref="H11:H13"/>
    <mergeCell ref="H14:H16"/>
    <mergeCell ref="H17:H19"/>
    <mergeCell ref="H20:H22"/>
    <mergeCell ref="H23:H25"/>
    <mergeCell ref="H26:H28"/>
    <mergeCell ref="H29:H31"/>
    <mergeCell ref="H32:H35"/>
    <mergeCell ref="H37:H39"/>
    <mergeCell ref="H40:H41"/>
    <mergeCell ref="H42:H43"/>
    <mergeCell ref="H189:H192"/>
    <mergeCell ref="I3:I5"/>
    <mergeCell ref="I6:I8"/>
    <mergeCell ref="I9:I10"/>
    <mergeCell ref="I11:I13"/>
    <mergeCell ref="I14:I16"/>
    <mergeCell ref="I17:I19"/>
    <mergeCell ref="I20:I22"/>
    <mergeCell ref="I23:I25"/>
    <mergeCell ref="I26:I28"/>
    <mergeCell ref="I29:I31"/>
    <mergeCell ref="I32:I35"/>
    <mergeCell ref="I37:I39"/>
    <mergeCell ref="I40:I41"/>
    <mergeCell ref="I42:I43"/>
    <mergeCell ref="I45:I46"/>
    <mergeCell ref="I47:I48"/>
    <mergeCell ref="I49:I50"/>
    <mergeCell ref="I51:I54"/>
    <mergeCell ref="I55:I57"/>
    <mergeCell ref="I58:I60"/>
    <mergeCell ref="I61:I63"/>
    <mergeCell ref="I64:I66"/>
    <mergeCell ref="I67:I68"/>
    <mergeCell ref="I69:I72"/>
    <mergeCell ref="I73:I75"/>
    <mergeCell ref="I189:I192"/>
    <mergeCell ref="J9:J10"/>
    <mergeCell ref="J11:J13"/>
    <mergeCell ref="J14:J16"/>
    <mergeCell ref="J17:J19"/>
    <mergeCell ref="J20:J22"/>
    <mergeCell ref="J23:J25"/>
    <mergeCell ref="J26:J28"/>
    <mergeCell ref="J29:J31"/>
    <mergeCell ref="J32:J35"/>
    <mergeCell ref="J167:J169"/>
    <mergeCell ref="J189:J192"/>
    <mergeCell ref="L1:L2"/>
    <mergeCell ref="N1:N2"/>
    <mergeCell ref="AN42:AN44"/>
    <mergeCell ref="AN46:AN47"/>
    <mergeCell ref="AN48:AN50"/>
    <mergeCell ref="AN51:AN54"/>
    <mergeCell ref="AN55:AN56"/>
    <mergeCell ref="AN57:AN60"/>
    <mergeCell ref="AN64:AN67"/>
    <mergeCell ref="AN69:AN71"/>
    <mergeCell ref="AN74:AN75"/>
    <mergeCell ref="AT42:AT43"/>
    <mergeCell ref="AT50:AT51"/>
    <mergeCell ref="AT189:AT192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00"/>
  <sheetViews>
    <sheetView zoomScale="85" zoomScaleNormal="85" workbookViewId="0">
      <pane ySplit="2" topLeftCell="A157" activePane="bottomLeft" state="frozen"/>
      <selection/>
      <selection pane="bottomLeft" activeCell="C167" sqref="C167"/>
    </sheetView>
  </sheetViews>
  <sheetFormatPr defaultColWidth="9" defaultRowHeight="24.95" customHeight="1"/>
  <cols>
    <col min="1" max="1" width="9" style="10"/>
    <col min="2" max="2" width="14.125" style="11" customWidth="1"/>
    <col min="3" max="3" width="14.7083333333333" style="1" customWidth="1"/>
    <col min="4" max="4" width="9.5" style="12" customWidth="1"/>
    <col min="5" max="6" width="10.375" style="1"/>
    <col min="7" max="9" width="9.375" style="1"/>
    <col min="10" max="10" width="12.625" style="1"/>
    <col min="11" max="11" width="9" style="1"/>
    <col min="12" max="14" width="12.625" style="1"/>
    <col min="15" max="17" width="9" style="1"/>
    <col min="18" max="18" width="9.375" style="1"/>
    <col min="19" max="19" width="9" style="1"/>
    <col min="20" max="20" width="9.375" style="1"/>
    <col min="21" max="27" width="9" style="1"/>
    <col min="28" max="28" width="9.375" style="1"/>
    <col min="29" max="33" width="9" style="1"/>
    <col min="34" max="34" width="11.5" style="1"/>
    <col min="35" max="35" width="10.375" style="1"/>
    <col min="36" max="45" width="9" style="1"/>
    <col min="46" max="46" width="9.375" style="1"/>
    <col min="47" max="16384" width="9" style="1"/>
  </cols>
  <sheetData>
    <row r="1" s="1" customFormat="1" customHeight="1" spans="1:50">
      <c r="A1" s="13" t="s">
        <v>0</v>
      </c>
      <c r="B1" s="14" t="s">
        <v>1</v>
      </c>
      <c r="C1" s="15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5" t="s">
        <v>11</v>
      </c>
      <c r="M1" s="15" t="s">
        <v>12</v>
      </c>
      <c r="N1" s="16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10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</row>
    <row r="2" s="1" customFormat="1" customHeight="1" spans="1:50">
      <c r="A2" s="13"/>
      <c r="B2" s="14"/>
      <c r="C2" s="15"/>
      <c r="D2" s="16"/>
      <c r="E2" s="15" t="s">
        <v>49</v>
      </c>
      <c r="F2" s="15" t="s">
        <v>49</v>
      </c>
      <c r="G2" s="15" t="s">
        <v>49</v>
      </c>
      <c r="H2" s="15" t="s">
        <v>49</v>
      </c>
      <c r="I2" s="15" t="s">
        <v>49</v>
      </c>
      <c r="J2" s="15" t="s">
        <v>49</v>
      </c>
      <c r="K2" s="15" t="s">
        <v>49</v>
      </c>
      <c r="L2" s="15"/>
      <c r="M2" s="15" t="s">
        <v>50</v>
      </c>
      <c r="N2" s="16"/>
      <c r="O2" s="3" t="s">
        <v>51</v>
      </c>
      <c r="P2" s="3" t="s">
        <v>51</v>
      </c>
      <c r="Q2" s="3" t="s">
        <v>51</v>
      </c>
      <c r="R2" s="3" t="s">
        <v>51</v>
      </c>
      <c r="S2" s="3" t="s">
        <v>51</v>
      </c>
      <c r="T2" s="3" t="s">
        <v>51</v>
      </c>
      <c r="U2" s="3" t="s">
        <v>51</v>
      </c>
      <c r="V2" s="3" t="s">
        <v>51</v>
      </c>
      <c r="W2" s="3" t="s">
        <v>51</v>
      </c>
      <c r="X2" s="3" t="s">
        <v>51</v>
      </c>
      <c r="Y2" s="3" t="s">
        <v>51</v>
      </c>
      <c r="Z2" s="3" t="s">
        <v>51</v>
      </c>
      <c r="AA2" s="3" t="s">
        <v>51</v>
      </c>
      <c r="AB2" s="3" t="s">
        <v>51</v>
      </c>
      <c r="AC2" s="3" t="s">
        <v>51</v>
      </c>
      <c r="AD2" s="3" t="s">
        <v>51</v>
      </c>
      <c r="AE2" s="3" t="s">
        <v>51</v>
      </c>
      <c r="AF2" s="3" t="s">
        <v>51</v>
      </c>
      <c r="AG2" s="3" t="s">
        <v>51</v>
      </c>
      <c r="AH2" s="3" t="s">
        <v>51</v>
      </c>
      <c r="AI2" s="3" t="s">
        <v>51</v>
      </c>
      <c r="AJ2" s="3" t="s">
        <v>51</v>
      </c>
      <c r="AK2" s="3" t="s">
        <v>51</v>
      </c>
      <c r="AL2" s="3" t="s">
        <v>51</v>
      </c>
      <c r="AM2" s="3" t="s">
        <v>51</v>
      </c>
      <c r="AN2" s="3" t="s">
        <v>51</v>
      </c>
      <c r="AO2" s="3" t="s">
        <v>51</v>
      </c>
      <c r="AP2" s="3" t="s">
        <v>51</v>
      </c>
      <c r="AQ2" s="3" t="s">
        <v>51</v>
      </c>
      <c r="AR2" s="3" t="s">
        <v>51</v>
      </c>
      <c r="AS2" s="3" t="s">
        <v>52</v>
      </c>
      <c r="AT2" s="3" t="s">
        <v>51</v>
      </c>
      <c r="AU2" s="3" t="s">
        <v>53</v>
      </c>
      <c r="AV2" s="3" t="s">
        <v>53</v>
      </c>
      <c r="AW2" s="3" t="s">
        <v>51</v>
      </c>
      <c r="AX2" s="3" t="s">
        <v>53</v>
      </c>
    </row>
    <row r="3" s="1" customFormat="1" customHeight="1" spans="1:50">
      <c r="A3" s="18">
        <v>1</v>
      </c>
      <c r="B3" s="19">
        <v>44185</v>
      </c>
      <c r="C3" s="3" t="s">
        <v>54</v>
      </c>
      <c r="D3" s="3">
        <v>600</v>
      </c>
      <c r="E3" s="3">
        <v>346</v>
      </c>
      <c r="F3" s="3">
        <v>335</v>
      </c>
      <c r="G3" s="20">
        <v>113</v>
      </c>
      <c r="H3" s="21"/>
      <c r="I3" s="20">
        <v>147</v>
      </c>
      <c r="J3" s="3">
        <v>42</v>
      </c>
      <c r="L3" s="3">
        <f>E3/D3</f>
        <v>0.576666666666667</v>
      </c>
      <c r="N3" s="29">
        <f>SUM(O3:AS3)</f>
        <v>419.2</v>
      </c>
      <c r="O3" s="5"/>
      <c r="P3" s="5">
        <v>15</v>
      </c>
      <c r="Q3" s="5"/>
      <c r="R3" s="5">
        <v>120</v>
      </c>
      <c r="S3" s="5"/>
      <c r="T3" s="5">
        <v>21.3</v>
      </c>
      <c r="U3" s="5">
        <v>9</v>
      </c>
      <c r="V3" s="5">
        <v>6.9</v>
      </c>
      <c r="W3" s="5">
        <v>10.9</v>
      </c>
      <c r="X3" s="5">
        <v>4.5</v>
      </c>
      <c r="Y3" s="5"/>
      <c r="Z3" s="5">
        <v>187</v>
      </c>
      <c r="AA3" s="5">
        <v>7.7</v>
      </c>
      <c r="AB3" s="5"/>
      <c r="AC3" s="5">
        <v>6.5</v>
      </c>
      <c r="AD3" s="5"/>
      <c r="AE3" s="5">
        <v>1.1</v>
      </c>
      <c r="AF3" s="5">
        <v>0.8</v>
      </c>
      <c r="AG3" s="5">
        <v>2.5</v>
      </c>
      <c r="AH3" s="5"/>
      <c r="AI3" s="5"/>
      <c r="AJ3" s="5"/>
      <c r="AK3" s="5"/>
      <c r="AL3" s="5"/>
      <c r="AM3" s="5"/>
      <c r="AN3" s="5"/>
      <c r="AO3" s="5"/>
      <c r="AP3" s="5">
        <v>2</v>
      </c>
      <c r="AQ3" s="5">
        <v>12</v>
      </c>
      <c r="AR3" s="5">
        <v>12</v>
      </c>
      <c r="AS3" s="5"/>
      <c r="AT3" s="5">
        <v>35</v>
      </c>
      <c r="AU3" s="3">
        <v>1</v>
      </c>
      <c r="AV3" s="3">
        <v>1</v>
      </c>
      <c r="AW3" s="5">
        <v>0.1</v>
      </c>
      <c r="AX3" s="3">
        <v>1</v>
      </c>
    </row>
    <row r="4" s="1" customFormat="1" customHeight="1" spans="1:50">
      <c r="A4" s="18">
        <v>2</v>
      </c>
      <c r="B4" s="19">
        <v>44185</v>
      </c>
      <c r="C4" s="3" t="s">
        <v>54</v>
      </c>
      <c r="D4" s="3">
        <v>600</v>
      </c>
      <c r="E4" s="3">
        <v>343</v>
      </c>
      <c r="F4" s="3">
        <v>330</v>
      </c>
      <c r="G4" s="21"/>
      <c r="H4" s="21"/>
      <c r="I4" s="21"/>
      <c r="J4" s="3">
        <v>38</v>
      </c>
      <c r="L4" s="3">
        <f>E4/D4</f>
        <v>0.571666666666667</v>
      </c>
      <c r="N4" s="29">
        <f>SUM(O4:AS4)</f>
        <v>262.5</v>
      </c>
      <c r="O4" s="5"/>
      <c r="P4" s="5">
        <v>16.6</v>
      </c>
      <c r="Q4" s="5"/>
      <c r="R4" s="5"/>
      <c r="S4" s="5"/>
      <c r="T4" s="5">
        <v>2.5</v>
      </c>
      <c r="U4" s="5">
        <v>12</v>
      </c>
      <c r="V4" s="5">
        <v>6</v>
      </c>
      <c r="W4" s="5">
        <v>5.4</v>
      </c>
      <c r="X4" s="5">
        <v>4.2</v>
      </c>
      <c r="Y4" s="5"/>
      <c r="Z4" s="5"/>
      <c r="AA4" s="5"/>
      <c r="AB4" s="5"/>
      <c r="AC4" s="5"/>
      <c r="AD4" s="5"/>
      <c r="AE4" s="5"/>
      <c r="AF4" s="5">
        <v>0.8</v>
      </c>
      <c r="AG4" s="5">
        <v>5</v>
      </c>
      <c r="AH4" s="5"/>
      <c r="AI4" s="5"/>
      <c r="AJ4" s="5"/>
      <c r="AK4" s="5"/>
      <c r="AL4" s="5"/>
      <c r="AM4" s="5"/>
      <c r="AN4" s="5"/>
      <c r="AO4" s="5"/>
      <c r="AP4" s="5">
        <v>186</v>
      </c>
      <c r="AQ4" s="5">
        <v>12</v>
      </c>
      <c r="AR4" s="5">
        <v>12</v>
      </c>
      <c r="AS4" s="5"/>
      <c r="AT4" s="5">
        <v>40</v>
      </c>
      <c r="AU4" s="3">
        <v>1</v>
      </c>
      <c r="AV4" s="3">
        <v>1</v>
      </c>
      <c r="AW4" s="5">
        <v>0.1</v>
      </c>
      <c r="AX4" s="3">
        <v>1</v>
      </c>
    </row>
    <row r="5" s="1" customFormat="1" customHeight="1" spans="1:50">
      <c r="A5" s="18">
        <v>3</v>
      </c>
      <c r="B5" s="19">
        <v>44185</v>
      </c>
      <c r="C5" s="3" t="s">
        <v>54</v>
      </c>
      <c r="D5" s="3">
        <v>600</v>
      </c>
      <c r="E5" s="3">
        <v>333.5</v>
      </c>
      <c r="F5" s="3">
        <v>323</v>
      </c>
      <c r="G5" s="22"/>
      <c r="H5" s="22"/>
      <c r="I5" s="22"/>
      <c r="J5" s="3">
        <v>40</v>
      </c>
      <c r="L5" s="3">
        <f>E5/D5</f>
        <v>0.555833333333333</v>
      </c>
      <c r="N5" s="29">
        <f>SUM(O5:AS5)</f>
        <v>69.8</v>
      </c>
      <c r="O5" s="5"/>
      <c r="P5" s="5"/>
      <c r="Q5" s="5"/>
      <c r="R5" s="5"/>
      <c r="S5" s="5"/>
      <c r="T5" s="5">
        <v>30</v>
      </c>
      <c r="U5" s="5"/>
      <c r="V5" s="5">
        <v>6</v>
      </c>
      <c r="W5" s="5">
        <v>5</v>
      </c>
      <c r="X5" s="5">
        <v>4</v>
      </c>
      <c r="Y5" s="5"/>
      <c r="Z5" s="5"/>
      <c r="AA5" s="5"/>
      <c r="AB5" s="5"/>
      <c r="AC5" s="5"/>
      <c r="AD5" s="5"/>
      <c r="AE5" s="5"/>
      <c r="AF5" s="5">
        <v>0.8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>
        <v>12</v>
      </c>
      <c r="AR5" s="5">
        <v>12</v>
      </c>
      <c r="AS5" s="5"/>
      <c r="AT5" s="5">
        <v>33</v>
      </c>
      <c r="AU5" s="3">
        <v>1</v>
      </c>
      <c r="AV5" s="3">
        <v>1</v>
      </c>
      <c r="AW5" s="5">
        <v>0.1</v>
      </c>
      <c r="AX5" s="3">
        <v>1</v>
      </c>
    </row>
    <row r="6" s="1" customFormat="1" customHeight="1" spans="1:50">
      <c r="A6" s="18">
        <v>4</v>
      </c>
      <c r="B6" s="19">
        <v>44554</v>
      </c>
      <c r="C6" s="5"/>
      <c r="D6" s="23">
        <v>630</v>
      </c>
      <c r="E6" s="5">
        <v>360</v>
      </c>
      <c r="F6" s="5">
        <v>350</v>
      </c>
      <c r="G6" s="20">
        <v>98</v>
      </c>
      <c r="H6" s="20">
        <v>65</v>
      </c>
      <c r="I6" s="20">
        <v>118</v>
      </c>
      <c r="J6" s="30">
        <v>40</v>
      </c>
      <c r="K6" s="5"/>
      <c r="L6" s="5">
        <f>E6/D6</f>
        <v>0.571428571428571</v>
      </c>
      <c r="M6" s="5">
        <f>N6/D6</f>
        <v>0.569444444444444</v>
      </c>
      <c r="N6" s="5">
        <f t="shared" ref="N6:N69" si="0">SUM(O6:AR6)</f>
        <v>358.75</v>
      </c>
      <c r="O6" s="5"/>
      <c r="P6" s="5">
        <f>9+10.3+7.4</f>
        <v>26.7</v>
      </c>
      <c r="Q6" s="5"/>
      <c r="R6" s="5"/>
      <c r="S6" s="5"/>
      <c r="T6" s="5">
        <f>8.6+8.15+14.4</f>
        <v>31.15</v>
      </c>
      <c r="U6" s="5">
        <v>20.1</v>
      </c>
      <c r="V6" s="5">
        <f>6.7+12.9+6.5+12+6</f>
        <v>44.1</v>
      </c>
      <c r="W6" s="5">
        <f>20.9+10.1+4.9</f>
        <v>35.9</v>
      </c>
      <c r="X6" s="5">
        <v>9</v>
      </c>
      <c r="Y6" s="5"/>
      <c r="Z6" s="5"/>
      <c r="AA6" s="5"/>
      <c r="AB6" s="5"/>
      <c r="AC6" s="5">
        <v>4.5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0.8</v>
      </c>
      <c r="AO6" s="5"/>
      <c r="AP6" s="5">
        <f>1.5+158</f>
        <v>159.5</v>
      </c>
      <c r="AQ6" s="5"/>
      <c r="AR6" s="5">
        <v>27</v>
      </c>
      <c r="AS6" s="5"/>
      <c r="AT6" s="5">
        <v>30</v>
      </c>
      <c r="AU6" s="5">
        <v>1</v>
      </c>
      <c r="AV6" s="5">
        <v>1</v>
      </c>
      <c r="AW6" s="5">
        <v>0.1</v>
      </c>
      <c r="AX6" s="5">
        <v>1</v>
      </c>
    </row>
    <row r="7" s="1" customFormat="1" customHeight="1" spans="1:50">
      <c r="A7" s="18">
        <v>5</v>
      </c>
      <c r="B7" s="19">
        <v>44554</v>
      </c>
      <c r="C7" s="5"/>
      <c r="D7" s="23">
        <v>630</v>
      </c>
      <c r="E7" s="5">
        <v>332</v>
      </c>
      <c r="F7" s="5">
        <v>322</v>
      </c>
      <c r="G7" s="21"/>
      <c r="H7" s="21"/>
      <c r="I7" s="21"/>
      <c r="J7" s="31">
        <v>40</v>
      </c>
      <c r="K7" s="5"/>
      <c r="L7" s="5">
        <f t="shared" ref="L7:L35" si="1">E7/D7</f>
        <v>0.526984126984127</v>
      </c>
      <c r="M7" s="5">
        <f t="shared" ref="M7:M35" si="2">N7/D7</f>
        <v>0.254444444444444</v>
      </c>
      <c r="N7" s="5">
        <f t="shared" si="0"/>
        <v>160.3</v>
      </c>
      <c r="O7" s="5"/>
      <c r="P7" s="5"/>
      <c r="Q7" s="5"/>
      <c r="R7" s="5">
        <v>10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0.8</v>
      </c>
      <c r="AO7" s="5"/>
      <c r="AP7" s="5">
        <v>122.5</v>
      </c>
      <c r="AQ7" s="5"/>
      <c r="AR7" s="5">
        <v>27</v>
      </c>
      <c r="AS7" s="5"/>
      <c r="AT7" s="5">
        <v>30</v>
      </c>
      <c r="AU7" s="5">
        <v>1</v>
      </c>
      <c r="AV7" s="5">
        <v>1</v>
      </c>
      <c r="AW7" s="5">
        <v>0.1</v>
      </c>
      <c r="AX7" s="5">
        <v>1</v>
      </c>
    </row>
    <row r="8" s="1" customFormat="1" customHeight="1" spans="1:50">
      <c r="A8" s="18">
        <v>6</v>
      </c>
      <c r="B8" s="19">
        <v>44554</v>
      </c>
      <c r="C8" s="5"/>
      <c r="D8" s="23">
        <v>640</v>
      </c>
      <c r="E8" s="5">
        <v>355</v>
      </c>
      <c r="F8" s="5">
        <v>345</v>
      </c>
      <c r="G8" s="22"/>
      <c r="H8" s="22"/>
      <c r="I8" s="22"/>
      <c r="J8" s="32">
        <v>42</v>
      </c>
      <c r="K8" s="5"/>
      <c r="L8" s="5">
        <f t="shared" si="1"/>
        <v>0.5546875</v>
      </c>
      <c r="M8" s="5">
        <f t="shared" si="2"/>
        <v>0.4156875</v>
      </c>
      <c r="N8" s="5">
        <f t="shared" si="0"/>
        <v>266.04</v>
      </c>
      <c r="O8" s="5">
        <v>11.8</v>
      </c>
      <c r="P8" s="5">
        <v>5.7</v>
      </c>
      <c r="Q8" s="5">
        <v>3.9</v>
      </c>
      <c r="R8" s="5">
        <v>35</v>
      </c>
      <c r="S8" s="5">
        <v>5.9</v>
      </c>
      <c r="T8" s="5">
        <v>11.24</v>
      </c>
      <c r="U8" s="5">
        <v>7</v>
      </c>
      <c r="V8" s="5">
        <v>7.1</v>
      </c>
      <c r="W8" s="5">
        <v>4.1</v>
      </c>
      <c r="X8" s="5">
        <v>5.8</v>
      </c>
      <c r="Y8" s="5">
        <v>3.7</v>
      </c>
      <c r="Z8" s="5">
        <v>12.8</v>
      </c>
      <c r="AA8" s="5">
        <v>11.5</v>
      </c>
      <c r="AB8" s="5">
        <f>5.5+7.4</f>
        <v>12.9</v>
      </c>
      <c r="AC8" s="5">
        <v>16.7</v>
      </c>
      <c r="AD8" s="5">
        <f>16.75</f>
        <v>16.75</v>
      </c>
      <c r="AE8" s="5">
        <f>12.25+6.5</f>
        <v>18.75</v>
      </c>
      <c r="AF8" s="5"/>
      <c r="AG8" s="5">
        <v>6.1</v>
      </c>
      <c r="AH8" s="5"/>
      <c r="AI8" s="5"/>
      <c r="AJ8" s="5"/>
      <c r="AK8" s="5"/>
      <c r="AL8" s="5"/>
      <c r="AM8" s="5"/>
      <c r="AN8" s="5">
        <v>0.8</v>
      </c>
      <c r="AO8" s="5"/>
      <c r="AP8" s="5">
        <v>33</v>
      </c>
      <c r="AQ8" s="5">
        <v>23.5</v>
      </c>
      <c r="AR8" s="5">
        <v>12</v>
      </c>
      <c r="AS8" s="5"/>
      <c r="AT8" s="5">
        <v>25</v>
      </c>
      <c r="AU8" s="5">
        <v>1</v>
      </c>
      <c r="AV8" s="5">
        <v>1</v>
      </c>
      <c r="AW8" s="5">
        <v>0.1</v>
      </c>
      <c r="AX8" s="5">
        <v>1</v>
      </c>
    </row>
    <row r="9" s="1" customFormat="1" customHeight="1" spans="1:50">
      <c r="A9" s="18">
        <v>7</v>
      </c>
      <c r="B9" s="19">
        <v>44558</v>
      </c>
      <c r="C9" s="5"/>
      <c r="D9" s="23">
        <v>600</v>
      </c>
      <c r="E9" s="5">
        <v>300</v>
      </c>
      <c r="F9" s="5">
        <v>290</v>
      </c>
      <c r="G9" s="20">
        <f>21+40</f>
        <v>61</v>
      </c>
      <c r="H9" s="20">
        <v>42</v>
      </c>
      <c r="I9" s="20">
        <v>80</v>
      </c>
      <c r="J9" s="20">
        <v>123</v>
      </c>
      <c r="K9" s="5"/>
      <c r="L9" s="5">
        <f t="shared" si="1"/>
        <v>0.5</v>
      </c>
      <c r="M9" s="5">
        <f t="shared" si="2"/>
        <v>0.910166666666667</v>
      </c>
      <c r="N9" s="5">
        <f t="shared" si="0"/>
        <v>546.1</v>
      </c>
      <c r="O9" s="5"/>
      <c r="P9" s="5">
        <f>15.5+3.7+8+6.2</f>
        <v>33.4</v>
      </c>
      <c r="Q9" s="5"/>
      <c r="R9" s="5">
        <f>10+23+11.9</f>
        <v>44.9</v>
      </c>
      <c r="S9" s="5"/>
      <c r="T9" s="5">
        <f>10.8+10+12.8+9.2+9.6+4.2+9.3</f>
        <v>65.9</v>
      </c>
      <c r="U9" s="5">
        <v>15</v>
      </c>
      <c r="V9" s="5">
        <f>17.1</f>
        <v>17.1</v>
      </c>
      <c r="W9" s="5">
        <f>18.4</f>
        <v>18.4</v>
      </c>
      <c r="X9" s="5">
        <f>4.8+0.5</f>
        <v>5.3</v>
      </c>
      <c r="Y9" s="5"/>
      <c r="Z9" s="5"/>
      <c r="AA9" s="5"/>
      <c r="AB9" s="5"/>
      <c r="AC9" s="5">
        <f>30+3.2+1.9</f>
        <v>35.1</v>
      </c>
      <c r="AD9" s="5"/>
      <c r="AE9" s="5"/>
      <c r="AF9" s="5">
        <v>3</v>
      </c>
      <c r="AG9" s="5">
        <v>6.3</v>
      </c>
      <c r="AH9" s="5"/>
      <c r="AI9" s="5"/>
      <c r="AJ9" s="5"/>
      <c r="AK9" s="5"/>
      <c r="AL9" s="5"/>
      <c r="AM9" s="5"/>
      <c r="AN9" s="5">
        <v>1.6</v>
      </c>
      <c r="AO9" s="5"/>
      <c r="AP9" s="5">
        <f>1.5+3.9+3.7+199</f>
        <v>208.1</v>
      </c>
      <c r="AQ9" s="5">
        <f>2+2+3+4+8+15</f>
        <v>34</v>
      </c>
      <c r="AR9" s="5">
        <f>16+26+16</f>
        <v>58</v>
      </c>
      <c r="AS9" s="5"/>
      <c r="AT9" s="5">
        <f>18.6+57</f>
        <v>75.6</v>
      </c>
      <c r="AU9" s="5">
        <v>1</v>
      </c>
      <c r="AV9" s="5">
        <v>1</v>
      </c>
      <c r="AW9" s="5">
        <v>0.1</v>
      </c>
      <c r="AX9" s="5">
        <v>1</v>
      </c>
    </row>
    <row r="10" s="1" customFormat="1" customHeight="1" spans="1:50">
      <c r="A10" s="18">
        <v>8</v>
      </c>
      <c r="B10" s="19">
        <v>44558</v>
      </c>
      <c r="C10" s="5"/>
      <c r="D10" s="23">
        <v>600</v>
      </c>
      <c r="E10" s="5">
        <v>379.5</v>
      </c>
      <c r="F10" s="5">
        <v>370</v>
      </c>
      <c r="G10" s="22"/>
      <c r="H10" s="22"/>
      <c r="I10" s="22"/>
      <c r="J10" s="22"/>
      <c r="K10" s="5"/>
      <c r="L10" s="5">
        <f t="shared" si="1"/>
        <v>0.6325</v>
      </c>
      <c r="M10" s="5">
        <f t="shared" si="2"/>
        <v>0.171666666666667</v>
      </c>
      <c r="N10" s="5">
        <f t="shared" si="0"/>
        <v>103</v>
      </c>
      <c r="O10" s="5"/>
      <c r="P10" s="5"/>
      <c r="Q10" s="5"/>
      <c r="R10" s="5">
        <v>20.3</v>
      </c>
      <c r="S10" s="5"/>
      <c r="T10" s="5"/>
      <c r="U10" s="5">
        <f>23.2</f>
        <v>23.2</v>
      </c>
      <c r="V10" s="5"/>
      <c r="W10" s="5"/>
      <c r="X10" s="5">
        <v>5</v>
      </c>
      <c r="Y10" s="5"/>
      <c r="Z10" s="5"/>
      <c r="AA10" s="5"/>
      <c r="AB10" s="5"/>
      <c r="AC10" s="5"/>
      <c r="AD10" s="5"/>
      <c r="AE10" s="5"/>
      <c r="AF10" s="5"/>
      <c r="AG10" s="5">
        <v>9</v>
      </c>
      <c r="AH10" s="5"/>
      <c r="AI10" s="5"/>
      <c r="AJ10" s="5"/>
      <c r="AK10" s="5"/>
      <c r="AL10" s="5"/>
      <c r="AM10" s="5"/>
      <c r="AN10" s="5"/>
      <c r="AO10" s="5"/>
      <c r="AP10" s="5">
        <v>30.5</v>
      </c>
      <c r="AQ10" s="5"/>
      <c r="AR10" s="5">
        <v>15</v>
      </c>
      <c r="AS10" s="5"/>
      <c r="AT10" s="5">
        <v>40</v>
      </c>
      <c r="AU10" s="5">
        <v>1</v>
      </c>
      <c r="AV10" s="5">
        <v>1</v>
      </c>
      <c r="AW10" s="5">
        <v>0.1</v>
      </c>
      <c r="AX10" s="5">
        <v>1</v>
      </c>
    </row>
    <row r="11" s="1" customFormat="1" customHeight="1" spans="1:50">
      <c r="A11" s="18">
        <v>9</v>
      </c>
      <c r="B11" s="19">
        <v>44559</v>
      </c>
      <c r="C11" s="5"/>
      <c r="D11" s="23">
        <v>560</v>
      </c>
      <c r="E11" s="5">
        <f>338</f>
        <v>338</v>
      </c>
      <c r="F11" s="5">
        <v>329</v>
      </c>
      <c r="G11" s="20">
        <v>97.5</v>
      </c>
      <c r="H11" s="20">
        <v>62</v>
      </c>
      <c r="I11" s="20">
        <v>115</v>
      </c>
      <c r="J11" s="20">
        <f>130+96</f>
        <v>226</v>
      </c>
      <c r="K11" s="5"/>
      <c r="L11" s="5">
        <f t="shared" si="1"/>
        <v>0.603571428571429</v>
      </c>
      <c r="M11" s="5">
        <f t="shared" si="2"/>
        <v>1.05135714285714</v>
      </c>
      <c r="N11" s="5">
        <f t="shared" si="0"/>
        <v>588.76</v>
      </c>
      <c r="O11" s="5"/>
      <c r="P11" s="5">
        <f>7.84+8.86+3.6</f>
        <v>20.3</v>
      </c>
      <c r="Q11" s="5"/>
      <c r="R11" s="5">
        <f>54.5+57.5+42.5+58.5+17+52</f>
        <v>282</v>
      </c>
      <c r="S11" s="5"/>
      <c r="T11" s="5">
        <f>12.1+2.66+6.6+8.5+8.3+6.8+19.5</f>
        <v>64.46</v>
      </c>
      <c r="U11" s="5">
        <f>14.9+5.1</f>
        <v>20</v>
      </c>
      <c r="V11" s="5">
        <f>6.3+5.8+5.4</f>
        <v>17.5</v>
      </c>
      <c r="W11" s="5">
        <f>4.2+8.1+16.8</f>
        <v>29.1</v>
      </c>
      <c r="X11" s="5">
        <v>5</v>
      </c>
      <c r="Y11" s="5"/>
      <c r="Z11" s="5"/>
      <c r="AA11" s="5"/>
      <c r="AB11" s="5">
        <v>5</v>
      </c>
      <c r="AC11" s="5">
        <f>11.1+6.6+6.2</f>
        <v>23.9</v>
      </c>
      <c r="AD11" s="5"/>
      <c r="AE11" s="5">
        <v>10.8</v>
      </c>
      <c r="AF11" s="5"/>
      <c r="AG11" s="5"/>
      <c r="AH11" s="5"/>
      <c r="AI11" s="5"/>
      <c r="AJ11" s="5"/>
      <c r="AK11" s="5"/>
      <c r="AL11" s="5"/>
      <c r="AM11" s="5"/>
      <c r="AN11" s="5">
        <v>1.7</v>
      </c>
      <c r="AO11" s="5"/>
      <c r="AP11" s="5">
        <v>88</v>
      </c>
      <c r="AQ11" s="5">
        <v>6</v>
      </c>
      <c r="AR11" s="5">
        <v>15</v>
      </c>
      <c r="AS11" s="5"/>
      <c r="AT11" s="5">
        <v>38</v>
      </c>
      <c r="AU11" s="5">
        <v>1</v>
      </c>
      <c r="AV11" s="5">
        <v>1</v>
      </c>
      <c r="AW11" s="5">
        <v>0.1</v>
      </c>
      <c r="AX11" s="5">
        <v>1</v>
      </c>
    </row>
    <row r="12" s="1" customFormat="1" customHeight="1" spans="1:50">
      <c r="A12" s="18">
        <v>10</v>
      </c>
      <c r="B12" s="19">
        <v>44559</v>
      </c>
      <c r="C12" s="5"/>
      <c r="D12" s="23">
        <v>560</v>
      </c>
      <c r="E12" s="5">
        <v>312</v>
      </c>
      <c r="F12" s="5">
        <v>304</v>
      </c>
      <c r="G12" s="21"/>
      <c r="H12" s="21"/>
      <c r="I12" s="21"/>
      <c r="J12" s="21"/>
      <c r="K12" s="5"/>
      <c r="L12" s="5">
        <f t="shared" si="1"/>
        <v>0.557142857142857</v>
      </c>
      <c r="M12" s="5">
        <f t="shared" si="2"/>
        <v>0.391821428571428</v>
      </c>
      <c r="N12" s="5">
        <f t="shared" si="0"/>
        <v>219.42</v>
      </c>
      <c r="O12" s="5"/>
      <c r="P12" s="5">
        <v>3.8</v>
      </c>
      <c r="Q12" s="5"/>
      <c r="R12" s="5">
        <v>73.5</v>
      </c>
      <c r="S12" s="5"/>
      <c r="T12" s="5">
        <f>22+2.96</f>
        <v>24.96</v>
      </c>
      <c r="U12" s="5">
        <v>12.46</v>
      </c>
      <c r="V12" s="5"/>
      <c r="W12" s="5">
        <v>11.8</v>
      </c>
      <c r="X12" s="5">
        <v>5</v>
      </c>
      <c r="Y12" s="5"/>
      <c r="Z12" s="5"/>
      <c r="AA12" s="5">
        <v>8</v>
      </c>
      <c r="AB12" s="5"/>
      <c r="AC12" s="5">
        <v>3</v>
      </c>
      <c r="AD12" s="5">
        <v>12.7</v>
      </c>
      <c r="AE12" s="5">
        <v>13.7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f>31+4.5</f>
        <v>35.5</v>
      </c>
      <c r="AQ12" s="5"/>
      <c r="AR12" s="5">
        <v>15</v>
      </c>
      <c r="AS12" s="5"/>
      <c r="AT12" s="5">
        <v>45</v>
      </c>
      <c r="AU12" s="5">
        <v>1</v>
      </c>
      <c r="AV12" s="5">
        <v>1</v>
      </c>
      <c r="AW12" s="5">
        <v>0.1</v>
      </c>
      <c r="AX12" s="5">
        <v>1</v>
      </c>
    </row>
    <row r="13" s="1" customFormat="1" customHeight="1" spans="1:50">
      <c r="A13" s="18">
        <v>11</v>
      </c>
      <c r="B13" s="19">
        <v>44559</v>
      </c>
      <c r="C13" s="5"/>
      <c r="D13" s="23">
        <v>580</v>
      </c>
      <c r="E13" s="5">
        <v>320</v>
      </c>
      <c r="F13" s="5">
        <v>310</v>
      </c>
      <c r="G13" s="22"/>
      <c r="H13" s="22"/>
      <c r="I13" s="22"/>
      <c r="J13" s="22"/>
      <c r="K13" s="5"/>
      <c r="L13" s="5">
        <f t="shared" si="1"/>
        <v>0.551724137931034</v>
      </c>
      <c r="M13" s="5">
        <f t="shared" si="2"/>
        <v>0.420655172413793</v>
      </c>
      <c r="N13" s="5">
        <f t="shared" si="0"/>
        <v>243.98</v>
      </c>
      <c r="O13" s="5"/>
      <c r="P13" s="5">
        <v>12.3</v>
      </c>
      <c r="Q13" s="5"/>
      <c r="R13" s="5">
        <v>41</v>
      </c>
      <c r="S13" s="5"/>
      <c r="T13" s="5">
        <f>11+1</f>
        <v>12</v>
      </c>
      <c r="U13" s="5"/>
      <c r="V13" s="5">
        <v>7.4</v>
      </c>
      <c r="W13" s="5"/>
      <c r="X13" s="5">
        <v>5</v>
      </c>
      <c r="Y13" s="5"/>
      <c r="Z13" s="5"/>
      <c r="AA13" s="5">
        <v>10.28</v>
      </c>
      <c r="AB13" s="5"/>
      <c r="AC13" s="5"/>
      <c r="AD13" s="5">
        <v>4.8</v>
      </c>
      <c r="AE13" s="5">
        <v>4</v>
      </c>
      <c r="AF13" s="5"/>
      <c r="AG13" s="5">
        <v>1.2</v>
      </c>
      <c r="AH13" s="5"/>
      <c r="AI13" s="5"/>
      <c r="AJ13" s="5"/>
      <c r="AK13" s="5"/>
      <c r="AL13" s="5"/>
      <c r="AM13" s="5"/>
      <c r="AN13" s="5"/>
      <c r="AO13" s="5"/>
      <c r="AP13" s="5">
        <v>121</v>
      </c>
      <c r="AQ13" s="5">
        <v>10</v>
      </c>
      <c r="AR13" s="5">
        <v>15</v>
      </c>
      <c r="AS13" s="5"/>
      <c r="AT13" s="5">
        <v>39</v>
      </c>
      <c r="AU13" s="5">
        <v>1</v>
      </c>
      <c r="AV13" s="5">
        <v>1</v>
      </c>
      <c r="AW13" s="5">
        <v>0.1</v>
      </c>
      <c r="AX13" s="5">
        <v>1</v>
      </c>
    </row>
    <row r="14" s="1" customFormat="1" customHeight="1" spans="1:50">
      <c r="A14" s="18">
        <v>12</v>
      </c>
      <c r="B14" s="19">
        <v>44200</v>
      </c>
      <c r="C14" s="5"/>
      <c r="D14" s="23">
        <v>600</v>
      </c>
      <c r="E14" s="5">
        <v>302</v>
      </c>
      <c r="F14" s="5">
        <v>290</v>
      </c>
      <c r="G14" s="20">
        <v>80</v>
      </c>
      <c r="H14" s="20">
        <v>58</v>
      </c>
      <c r="I14" s="20">
        <v>116</v>
      </c>
      <c r="J14" s="20">
        <v>134</v>
      </c>
      <c r="K14" s="5"/>
      <c r="L14" s="5">
        <f t="shared" si="1"/>
        <v>0.503333333333333</v>
      </c>
      <c r="M14" s="5">
        <f t="shared" si="2"/>
        <v>0.397916666666667</v>
      </c>
      <c r="N14" s="5">
        <f t="shared" si="0"/>
        <v>238.75</v>
      </c>
      <c r="O14" s="5"/>
      <c r="P14" s="5">
        <v>15.7</v>
      </c>
      <c r="Q14" s="5">
        <v>1.1</v>
      </c>
      <c r="R14" s="5">
        <v>32</v>
      </c>
      <c r="S14" s="5">
        <v>2.29</v>
      </c>
      <c r="T14" s="5"/>
      <c r="U14" s="5"/>
      <c r="V14" s="5">
        <v>7.16</v>
      </c>
      <c r="W14" s="5">
        <v>5</v>
      </c>
      <c r="X14" s="5">
        <v>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>
        <v>155.5</v>
      </c>
      <c r="AQ14" s="5"/>
      <c r="AR14" s="5">
        <v>15</v>
      </c>
      <c r="AS14" s="5"/>
      <c r="AT14" s="5">
        <v>43</v>
      </c>
      <c r="AU14" s="5">
        <v>1</v>
      </c>
      <c r="AV14" s="5">
        <v>1</v>
      </c>
      <c r="AW14" s="5">
        <v>0.1</v>
      </c>
      <c r="AX14" s="5">
        <v>1</v>
      </c>
    </row>
    <row r="15" s="1" customFormat="1" customHeight="1" spans="1:50">
      <c r="A15" s="18">
        <v>13</v>
      </c>
      <c r="B15" s="19">
        <v>44200</v>
      </c>
      <c r="C15" s="5"/>
      <c r="D15" s="23">
        <v>600</v>
      </c>
      <c r="E15" s="5">
        <v>298</v>
      </c>
      <c r="F15" s="5">
        <v>288</v>
      </c>
      <c r="G15" s="21"/>
      <c r="H15" s="21"/>
      <c r="I15" s="21"/>
      <c r="J15" s="21"/>
      <c r="K15" s="5"/>
      <c r="L15" s="5">
        <f t="shared" si="1"/>
        <v>0.496666666666667</v>
      </c>
      <c r="M15" s="5">
        <f t="shared" si="2"/>
        <v>0.242466666666667</v>
      </c>
      <c r="N15" s="5">
        <f t="shared" si="0"/>
        <v>145.48</v>
      </c>
      <c r="O15" s="5"/>
      <c r="P15" s="5">
        <f>8.6+0.2+1.18+1</f>
        <v>10.98</v>
      </c>
      <c r="Q15" s="5"/>
      <c r="R15" s="5">
        <v>54</v>
      </c>
      <c r="S15" s="5"/>
      <c r="T15" s="5"/>
      <c r="U15" s="5"/>
      <c r="V15" s="5"/>
      <c r="W15" s="5"/>
      <c r="X15" s="5">
        <v>5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>
        <v>60.5</v>
      </c>
      <c r="AQ15" s="5"/>
      <c r="AR15" s="5">
        <v>15</v>
      </c>
      <c r="AS15" s="5"/>
      <c r="AT15" s="5">
        <v>41</v>
      </c>
      <c r="AU15" s="5">
        <v>1</v>
      </c>
      <c r="AV15" s="5">
        <v>1</v>
      </c>
      <c r="AW15" s="5">
        <v>0.1</v>
      </c>
      <c r="AX15" s="5">
        <v>1</v>
      </c>
    </row>
    <row r="16" s="1" customFormat="1" customHeight="1" spans="1:50">
      <c r="A16" s="18">
        <v>14</v>
      </c>
      <c r="B16" s="19">
        <v>44200</v>
      </c>
      <c r="C16" s="5"/>
      <c r="D16" s="23">
        <v>500</v>
      </c>
      <c r="E16" s="5">
        <v>250</v>
      </c>
      <c r="F16" s="5">
        <v>240</v>
      </c>
      <c r="G16" s="22"/>
      <c r="H16" s="22"/>
      <c r="I16" s="22"/>
      <c r="J16" s="22"/>
      <c r="K16" s="5"/>
      <c r="L16" s="5">
        <f t="shared" si="1"/>
        <v>0.5</v>
      </c>
      <c r="M16" s="5">
        <f t="shared" si="2"/>
        <v>0.416</v>
      </c>
      <c r="N16" s="5">
        <f t="shared" si="0"/>
        <v>208</v>
      </c>
      <c r="O16" s="5"/>
      <c r="P16" s="5"/>
      <c r="Q16" s="5"/>
      <c r="R16" s="5">
        <v>56</v>
      </c>
      <c r="S16" s="5"/>
      <c r="T16" s="5"/>
      <c r="U16" s="5"/>
      <c r="V16" s="5"/>
      <c r="W16" s="5"/>
      <c r="X16" s="5">
        <v>5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132</v>
      </c>
      <c r="AQ16" s="5"/>
      <c r="AR16" s="5">
        <v>15</v>
      </c>
      <c r="AS16" s="5"/>
      <c r="AT16" s="5">
        <v>38</v>
      </c>
      <c r="AU16" s="5">
        <v>1</v>
      </c>
      <c r="AV16" s="5">
        <v>1</v>
      </c>
      <c r="AW16" s="5">
        <v>0.1</v>
      </c>
      <c r="AX16" s="5">
        <v>1</v>
      </c>
    </row>
    <row r="17" s="1" customFormat="1" customHeight="1" spans="1:50">
      <c r="A17" s="18">
        <v>15</v>
      </c>
      <c r="B17" s="19">
        <v>44201</v>
      </c>
      <c r="C17" s="5"/>
      <c r="D17" s="23">
        <v>630</v>
      </c>
      <c r="E17" s="5">
        <v>315</v>
      </c>
      <c r="F17" s="5">
        <v>305</v>
      </c>
      <c r="G17" s="20">
        <f>87.6</f>
        <v>87.6</v>
      </c>
      <c r="H17" s="20">
        <v>63</v>
      </c>
      <c r="I17" s="20">
        <v>117.5</v>
      </c>
      <c r="J17" s="20">
        <v>135</v>
      </c>
      <c r="K17" s="5"/>
      <c r="L17" s="5">
        <f t="shared" si="1"/>
        <v>0.5</v>
      </c>
      <c r="M17" s="5">
        <f t="shared" si="2"/>
        <v>0.262698412698413</v>
      </c>
      <c r="N17" s="5">
        <f t="shared" si="0"/>
        <v>165.5</v>
      </c>
      <c r="O17" s="5"/>
      <c r="P17" s="5"/>
      <c r="Q17" s="5"/>
      <c r="R17" s="5">
        <v>128.5</v>
      </c>
      <c r="S17" s="5"/>
      <c r="T17" s="5"/>
      <c r="U17" s="5"/>
      <c r="V17" s="5"/>
      <c r="W17" s="5"/>
      <c r="X17" s="5">
        <v>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>
        <v>17</v>
      </c>
      <c r="AQ17" s="5"/>
      <c r="AR17" s="5">
        <v>15</v>
      </c>
      <c r="AS17" s="5"/>
      <c r="AT17" s="5">
        <v>40</v>
      </c>
      <c r="AU17" s="5">
        <v>1</v>
      </c>
      <c r="AV17" s="5">
        <v>1</v>
      </c>
      <c r="AW17" s="5">
        <v>0.1</v>
      </c>
      <c r="AX17" s="5">
        <v>1</v>
      </c>
    </row>
    <row r="18" s="1" customFormat="1" customHeight="1" spans="1:50">
      <c r="A18" s="18">
        <v>16</v>
      </c>
      <c r="B18" s="19">
        <v>44201</v>
      </c>
      <c r="C18" s="5"/>
      <c r="D18" s="23">
        <v>630</v>
      </c>
      <c r="E18" s="5">
        <v>308</v>
      </c>
      <c r="F18" s="5">
        <v>298</v>
      </c>
      <c r="G18" s="21"/>
      <c r="H18" s="21"/>
      <c r="I18" s="21"/>
      <c r="J18" s="21"/>
      <c r="K18" s="5"/>
      <c r="L18" s="5">
        <f t="shared" si="1"/>
        <v>0.488888888888889</v>
      </c>
      <c r="M18" s="5">
        <f t="shared" si="2"/>
        <v>0.326349206349206</v>
      </c>
      <c r="N18" s="5">
        <f t="shared" si="0"/>
        <v>205.6</v>
      </c>
      <c r="O18" s="5"/>
      <c r="P18" s="5">
        <v>1.1</v>
      </c>
      <c r="Q18" s="5"/>
      <c r="R18" s="5">
        <v>27</v>
      </c>
      <c r="S18" s="5"/>
      <c r="T18" s="5"/>
      <c r="U18" s="5"/>
      <c r="V18" s="5"/>
      <c r="W18" s="5"/>
      <c r="X18" s="5">
        <v>5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>
        <v>157.5</v>
      </c>
      <c r="AQ18" s="5"/>
      <c r="AR18" s="5">
        <v>15</v>
      </c>
      <c r="AS18" s="5"/>
      <c r="AT18" s="5">
        <v>39</v>
      </c>
      <c r="AU18" s="5">
        <v>1</v>
      </c>
      <c r="AV18" s="5">
        <v>1</v>
      </c>
      <c r="AW18" s="5">
        <v>0.1</v>
      </c>
      <c r="AX18" s="5">
        <v>1</v>
      </c>
    </row>
    <row r="19" s="1" customFormat="1" customHeight="1" spans="1:50">
      <c r="A19" s="18">
        <v>17</v>
      </c>
      <c r="B19" s="19">
        <v>44201</v>
      </c>
      <c r="C19" s="5"/>
      <c r="D19" s="23">
        <v>640</v>
      </c>
      <c r="E19" s="5">
        <v>310</v>
      </c>
      <c r="F19" s="5">
        <v>300</v>
      </c>
      <c r="G19" s="22"/>
      <c r="H19" s="22"/>
      <c r="I19" s="22"/>
      <c r="J19" s="22"/>
      <c r="K19" s="5"/>
      <c r="L19" s="5">
        <f t="shared" si="1"/>
        <v>0.484375</v>
      </c>
      <c r="M19" s="5">
        <f t="shared" si="2"/>
        <v>0.3003125</v>
      </c>
      <c r="N19" s="5">
        <f t="shared" si="0"/>
        <v>192.2</v>
      </c>
      <c r="O19" s="5">
        <v>6.3</v>
      </c>
      <c r="P19" s="5"/>
      <c r="Q19" s="5"/>
      <c r="R19" s="5">
        <v>72</v>
      </c>
      <c r="S19" s="5"/>
      <c r="T19" s="5"/>
      <c r="U19" s="5"/>
      <c r="V19" s="5"/>
      <c r="W19" s="5"/>
      <c r="X19" s="5">
        <v>5</v>
      </c>
      <c r="Y19" s="5"/>
      <c r="Z19" s="5"/>
      <c r="AA19" s="5"/>
      <c r="AB19" s="5">
        <v>7.4</v>
      </c>
      <c r="AC19" s="5"/>
      <c r="AD19" s="5"/>
      <c r="AE19" s="5">
        <v>4.5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>
        <v>82</v>
      </c>
      <c r="AQ19" s="5"/>
      <c r="AR19" s="5">
        <v>15</v>
      </c>
      <c r="AS19" s="5"/>
      <c r="AT19" s="5">
        <v>46</v>
      </c>
      <c r="AU19" s="5">
        <v>1</v>
      </c>
      <c r="AV19" s="5">
        <v>1</v>
      </c>
      <c r="AW19" s="5">
        <v>0.1</v>
      </c>
      <c r="AX19" s="5">
        <v>1</v>
      </c>
    </row>
    <row r="20" s="1" customFormat="1" customHeight="1" spans="1:50">
      <c r="A20" s="18">
        <v>18</v>
      </c>
      <c r="B20" s="19">
        <v>44206</v>
      </c>
      <c r="C20" s="5"/>
      <c r="D20" s="23">
        <v>680</v>
      </c>
      <c r="E20" s="5">
        <v>331.5</v>
      </c>
      <c r="F20" s="5">
        <v>321</v>
      </c>
      <c r="G20" s="20">
        <v>95</v>
      </c>
      <c r="H20" s="20">
        <v>70</v>
      </c>
      <c r="I20" s="20">
        <v>136.5</v>
      </c>
      <c r="J20" s="20">
        <v>140</v>
      </c>
      <c r="K20" s="5"/>
      <c r="L20" s="5">
        <f t="shared" si="1"/>
        <v>0.4875</v>
      </c>
      <c r="M20" s="5">
        <f t="shared" si="2"/>
        <v>0.395735294117647</v>
      </c>
      <c r="N20" s="5">
        <f t="shared" si="0"/>
        <v>269.1</v>
      </c>
      <c r="O20" s="5"/>
      <c r="P20" s="5">
        <f>8.2+9.8+7.6+6.5+7.2</f>
        <v>39.3</v>
      </c>
      <c r="Q20" s="5"/>
      <c r="R20" s="5">
        <v>39</v>
      </c>
      <c r="S20" s="5"/>
      <c r="T20" s="5">
        <f>11.3+7.2+4.3+2.5+2.6+12.5+1.6+9</f>
        <v>51</v>
      </c>
      <c r="U20" s="5"/>
      <c r="V20" s="5">
        <v>14.7</v>
      </c>
      <c r="W20" s="5">
        <v>7</v>
      </c>
      <c r="X20" s="5">
        <v>5</v>
      </c>
      <c r="Y20" s="5">
        <v>4.1</v>
      </c>
      <c r="Z20" s="5"/>
      <c r="AA20" s="5"/>
      <c r="AB20" s="5">
        <v>5</v>
      </c>
      <c r="AC20" s="5">
        <f>4.6</f>
        <v>4.6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1.4</v>
      </c>
      <c r="AO20" s="5"/>
      <c r="AP20" s="5">
        <v>83</v>
      </c>
      <c r="AQ20" s="5"/>
      <c r="AR20" s="5">
        <v>15</v>
      </c>
      <c r="AS20" s="5"/>
      <c r="AT20" s="5">
        <v>45</v>
      </c>
      <c r="AU20" s="5">
        <v>1</v>
      </c>
      <c r="AV20" s="5">
        <v>1</v>
      </c>
      <c r="AW20" s="5">
        <v>0.1</v>
      </c>
      <c r="AX20" s="5">
        <v>1</v>
      </c>
    </row>
    <row r="21" s="1" customFormat="1" customHeight="1" spans="1:50">
      <c r="A21" s="18">
        <v>19</v>
      </c>
      <c r="B21" s="19">
        <v>44206</v>
      </c>
      <c r="C21" s="5"/>
      <c r="D21" s="23">
        <v>690</v>
      </c>
      <c r="E21" s="5">
        <v>459.5</v>
      </c>
      <c r="F21" s="5">
        <v>450</v>
      </c>
      <c r="G21" s="21"/>
      <c r="H21" s="21"/>
      <c r="I21" s="21"/>
      <c r="J21" s="21"/>
      <c r="K21" s="5"/>
      <c r="L21" s="5">
        <f t="shared" si="1"/>
        <v>0.665942028985507</v>
      </c>
      <c r="M21" s="5">
        <f t="shared" si="2"/>
        <v>0.395652173913043</v>
      </c>
      <c r="N21" s="5">
        <f t="shared" si="0"/>
        <v>273</v>
      </c>
      <c r="O21" s="5"/>
      <c r="P21" s="5"/>
      <c r="Q21" s="5">
        <v>1.3</v>
      </c>
      <c r="R21" s="5">
        <v>2</v>
      </c>
      <c r="S21" s="5"/>
      <c r="T21" s="5"/>
      <c r="U21" s="5">
        <f>5.1+10.2+6.3+5.9</f>
        <v>27.5</v>
      </c>
      <c r="V21" s="5"/>
      <c r="W21" s="5"/>
      <c r="X21" s="5">
        <v>5</v>
      </c>
      <c r="Y21" s="5"/>
      <c r="Z21" s="5"/>
      <c r="AA21" s="5"/>
      <c r="AB21" s="5"/>
      <c r="AC21" s="5"/>
      <c r="AD21" s="5"/>
      <c r="AE21" s="5">
        <v>10.2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212</v>
      </c>
      <c r="AQ21" s="5"/>
      <c r="AR21" s="5">
        <v>15</v>
      </c>
      <c r="AS21" s="5"/>
      <c r="AT21" s="5">
        <v>45</v>
      </c>
      <c r="AU21" s="5">
        <v>1</v>
      </c>
      <c r="AV21" s="5">
        <v>1</v>
      </c>
      <c r="AW21" s="5">
        <v>0.1</v>
      </c>
      <c r="AX21" s="5">
        <v>1</v>
      </c>
    </row>
    <row r="22" s="1" customFormat="1" customHeight="1" spans="1:50">
      <c r="A22" s="18">
        <v>20</v>
      </c>
      <c r="B22" s="19">
        <v>44206</v>
      </c>
      <c r="C22" s="5"/>
      <c r="D22" s="23">
        <v>680</v>
      </c>
      <c r="E22" s="5">
        <v>367</v>
      </c>
      <c r="F22" s="5">
        <v>358</v>
      </c>
      <c r="G22" s="22"/>
      <c r="H22" s="22"/>
      <c r="I22" s="22"/>
      <c r="J22" s="22"/>
      <c r="K22" s="5"/>
      <c r="L22" s="5">
        <f t="shared" si="1"/>
        <v>0.539705882352941</v>
      </c>
      <c r="M22" s="5">
        <f t="shared" si="2"/>
        <v>0.220132352941176</v>
      </c>
      <c r="N22" s="5">
        <f t="shared" si="0"/>
        <v>149.69</v>
      </c>
      <c r="O22" s="5"/>
      <c r="P22" s="5"/>
      <c r="Q22" s="5"/>
      <c r="R22" s="5">
        <v>97.5</v>
      </c>
      <c r="S22" s="5"/>
      <c r="T22" s="5"/>
      <c r="U22" s="5"/>
      <c r="V22" s="5"/>
      <c r="W22" s="5"/>
      <c r="X22" s="5">
        <v>5</v>
      </c>
      <c r="Y22" s="5"/>
      <c r="Z22" s="5"/>
      <c r="AA22" s="5"/>
      <c r="AB22" s="5"/>
      <c r="AC22" s="5"/>
      <c r="AD22" s="5">
        <v>7.19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25</v>
      </c>
      <c r="AQ22" s="5"/>
      <c r="AR22" s="5">
        <v>15</v>
      </c>
      <c r="AS22" s="5"/>
      <c r="AT22" s="5">
        <v>45</v>
      </c>
      <c r="AU22" s="5">
        <v>1</v>
      </c>
      <c r="AV22" s="5">
        <v>1</v>
      </c>
      <c r="AW22" s="5">
        <v>0.1</v>
      </c>
      <c r="AX22" s="5">
        <v>1</v>
      </c>
    </row>
    <row r="23" s="1" customFormat="1" customHeight="1" spans="1:50">
      <c r="A23" s="18">
        <v>21</v>
      </c>
      <c r="B23" s="19">
        <v>44208</v>
      </c>
      <c r="C23" s="5"/>
      <c r="D23" s="23">
        <v>700</v>
      </c>
      <c r="E23" s="5">
        <f>362</f>
        <v>362</v>
      </c>
      <c r="F23" s="5">
        <v>352</v>
      </c>
      <c r="G23" s="20">
        <v>103</v>
      </c>
      <c r="H23" s="20">
        <v>71</v>
      </c>
      <c r="I23" s="20">
        <v>145</v>
      </c>
      <c r="J23" s="20">
        <v>150</v>
      </c>
      <c r="K23" s="5"/>
      <c r="L23" s="5">
        <f t="shared" si="1"/>
        <v>0.517142857142857</v>
      </c>
      <c r="M23" s="5">
        <f t="shared" si="2"/>
        <v>0.602</v>
      </c>
      <c r="N23" s="5">
        <f t="shared" si="0"/>
        <v>421.4</v>
      </c>
      <c r="O23" s="5"/>
      <c r="P23" s="5">
        <f>23+11.5</f>
        <v>34.5</v>
      </c>
      <c r="Q23" s="5"/>
      <c r="R23" s="5">
        <v>41</v>
      </c>
      <c r="S23" s="5">
        <v>2.7</v>
      </c>
      <c r="T23" s="5">
        <f>13+13.8+8.6+12+3.3+12+12.5+12.1+10.5+7.1+7.3+11.7+10.2+13.1</f>
        <v>147.2</v>
      </c>
      <c r="U23" s="5"/>
      <c r="V23" s="5"/>
      <c r="W23" s="5"/>
      <c r="X23" s="5">
        <v>5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>
        <v>176</v>
      </c>
      <c r="AQ23" s="5"/>
      <c r="AR23" s="5">
        <v>15</v>
      </c>
      <c r="AS23" s="5"/>
      <c r="AT23" s="5">
        <v>45</v>
      </c>
      <c r="AU23" s="5">
        <v>1</v>
      </c>
      <c r="AV23" s="5">
        <v>1</v>
      </c>
      <c r="AW23" s="5">
        <v>0.1</v>
      </c>
      <c r="AX23" s="5">
        <v>1</v>
      </c>
    </row>
    <row r="24" s="1" customFormat="1" customHeight="1" spans="1:50">
      <c r="A24" s="18">
        <v>22</v>
      </c>
      <c r="B24" s="19">
        <v>44208</v>
      </c>
      <c r="C24" s="5"/>
      <c r="D24" s="23">
        <v>700</v>
      </c>
      <c r="E24" s="5">
        <v>420</v>
      </c>
      <c r="F24" s="5">
        <v>410</v>
      </c>
      <c r="G24" s="21"/>
      <c r="H24" s="21"/>
      <c r="I24" s="21"/>
      <c r="J24" s="21"/>
      <c r="K24" s="5"/>
      <c r="L24" s="5">
        <f t="shared" si="1"/>
        <v>0.6</v>
      </c>
      <c r="M24" s="5">
        <f t="shared" si="2"/>
        <v>0.518542857142857</v>
      </c>
      <c r="N24" s="5">
        <f t="shared" si="0"/>
        <v>362.98</v>
      </c>
      <c r="O24" s="5">
        <v>4.1</v>
      </c>
      <c r="P24" s="5">
        <f>9.23+10.8+6.6</f>
        <v>26.63</v>
      </c>
      <c r="Q24" s="5"/>
      <c r="R24" s="5">
        <v>42</v>
      </c>
      <c r="S24" s="5"/>
      <c r="T24" s="5">
        <f>13.2+8+8+4.8+13.4</f>
        <v>47.4</v>
      </c>
      <c r="U24" s="5">
        <v>8.9</v>
      </c>
      <c r="V24" s="5">
        <f>11.25+6.8+14.3+11.1+5.8+9.6+7.3+12+5.6</f>
        <v>83.75</v>
      </c>
      <c r="W24" s="5"/>
      <c r="X24" s="5">
        <v>5</v>
      </c>
      <c r="Y24" s="5"/>
      <c r="Z24" s="5"/>
      <c r="AA24" s="5"/>
      <c r="AB24" s="5"/>
      <c r="AC24" s="5">
        <v>8.9</v>
      </c>
      <c r="AD24" s="5"/>
      <c r="AE24" s="5">
        <v>5.7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115.6</v>
      </c>
      <c r="AQ24" s="5"/>
      <c r="AR24" s="5">
        <v>15</v>
      </c>
      <c r="AS24" s="5"/>
      <c r="AT24" s="5">
        <v>45</v>
      </c>
      <c r="AU24" s="5">
        <v>1</v>
      </c>
      <c r="AV24" s="5">
        <v>1</v>
      </c>
      <c r="AW24" s="5">
        <v>0.1</v>
      </c>
      <c r="AX24" s="5">
        <v>1</v>
      </c>
    </row>
    <row r="25" s="1" customFormat="1" customHeight="1" spans="1:50">
      <c r="A25" s="18">
        <v>23</v>
      </c>
      <c r="B25" s="19">
        <v>44208</v>
      </c>
      <c r="C25" s="5"/>
      <c r="D25" s="23">
        <v>750</v>
      </c>
      <c r="E25" s="5">
        <v>424.5</v>
      </c>
      <c r="F25" s="5">
        <v>410</v>
      </c>
      <c r="G25" s="22"/>
      <c r="H25" s="22"/>
      <c r="I25" s="22"/>
      <c r="J25" s="22"/>
      <c r="K25" s="5"/>
      <c r="L25" s="5">
        <f t="shared" si="1"/>
        <v>0.566</v>
      </c>
      <c r="M25" s="5">
        <f t="shared" si="2"/>
        <v>0.71952</v>
      </c>
      <c r="N25" s="5">
        <f t="shared" si="0"/>
        <v>539.64</v>
      </c>
      <c r="O25" s="5"/>
      <c r="P25" s="5">
        <f>8.99+2.45</f>
        <v>11.44</v>
      </c>
      <c r="Q25" s="5"/>
      <c r="R25" s="5">
        <v>31</v>
      </c>
      <c r="S25" s="5"/>
      <c r="T25" s="5">
        <f>22.8+12.98+14.3+10.6</f>
        <v>60.68</v>
      </c>
      <c r="U25" s="5">
        <v>10.7</v>
      </c>
      <c r="V25" s="5">
        <f>16.8+7.4+6.5</f>
        <v>30.7</v>
      </c>
      <c r="W25" s="5">
        <f>12.4+5.4+5.7</f>
        <v>23.5</v>
      </c>
      <c r="X25" s="5">
        <v>5</v>
      </c>
      <c r="Y25" s="5"/>
      <c r="Z25" s="5">
        <v>10</v>
      </c>
      <c r="AA25" s="5"/>
      <c r="AB25" s="5">
        <v>9.88</v>
      </c>
      <c r="AC25" s="5"/>
      <c r="AD25" s="5">
        <v>7.74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304.5</v>
      </c>
      <c r="AQ25" s="5">
        <v>19.5</v>
      </c>
      <c r="AR25" s="5">
        <v>15</v>
      </c>
      <c r="AS25" s="5"/>
      <c r="AT25" s="5">
        <v>45</v>
      </c>
      <c r="AU25" s="5">
        <v>1</v>
      </c>
      <c r="AV25" s="5">
        <v>1</v>
      </c>
      <c r="AW25" s="5">
        <v>0.1</v>
      </c>
      <c r="AX25" s="5">
        <v>1</v>
      </c>
    </row>
    <row r="26" s="1" customFormat="1" customHeight="1" spans="1:50">
      <c r="A26" s="18">
        <v>24</v>
      </c>
      <c r="B26" s="19">
        <v>44212</v>
      </c>
      <c r="C26" s="5"/>
      <c r="D26" s="23">
        <v>720</v>
      </c>
      <c r="E26" s="5">
        <v>395</v>
      </c>
      <c r="F26" s="5">
        <v>385</v>
      </c>
      <c r="G26" s="20">
        <v>96</v>
      </c>
      <c r="H26" s="20">
        <v>75</v>
      </c>
      <c r="I26" s="20">
        <v>149</v>
      </c>
      <c r="J26" s="20">
        <v>140</v>
      </c>
      <c r="K26" s="5"/>
      <c r="L26" s="5">
        <f t="shared" si="1"/>
        <v>0.548611111111111</v>
      </c>
      <c r="M26" s="5">
        <f t="shared" si="2"/>
        <v>0.218472222222222</v>
      </c>
      <c r="N26" s="5">
        <f t="shared" si="0"/>
        <v>157.3</v>
      </c>
      <c r="O26" s="5"/>
      <c r="P26" s="5">
        <v>5.6</v>
      </c>
      <c r="Q26" s="5"/>
      <c r="R26" s="5">
        <v>10</v>
      </c>
      <c r="S26" s="5"/>
      <c r="T26" s="5"/>
      <c r="U26" s="5"/>
      <c r="V26" s="5"/>
      <c r="W26" s="5"/>
      <c r="X26" s="5">
        <v>5</v>
      </c>
      <c r="Y26" s="5"/>
      <c r="Z26" s="5"/>
      <c r="AA26" s="5"/>
      <c r="AB26" s="5"/>
      <c r="AC26" s="5"/>
      <c r="AD26" s="5"/>
      <c r="AE26" s="5"/>
      <c r="AF26" s="5">
        <v>4.2</v>
      </c>
      <c r="AG26" s="5"/>
      <c r="AH26" s="5"/>
      <c r="AI26" s="5"/>
      <c r="AJ26" s="5"/>
      <c r="AK26" s="5"/>
      <c r="AL26" s="5"/>
      <c r="AM26" s="5"/>
      <c r="AN26" s="5"/>
      <c r="AO26" s="5"/>
      <c r="AP26" s="5">
        <v>117.5</v>
      </c>
      <c r="AQ26" s="5"/>
      <c r="AR26" s="5">
        <v>15</v>
      </c>
      <c r="AS26" s="5"/>
      <c r="AT26" s="5">
        <v>45</v>
      </c>
      <c r="AU26" s="5">
        <v>1</v>
      </c>
      <c r="AV26" s="5">
        <v>1</v>
      </c>
      <c r="AW26" s="5">
        <v>0.1</v>
      </c>
      <c r="AX26" s="5">
        <v>1</v>
      </c>
    </row>
    <row r="27" s="1" customFormat="1" customHeight="1" spans="1:50">
      <c r="A27" s="18">
        <v>25</v>
      </c>
      <c r="B27" s="19">
        <v>44212</v>
      </c>
      <c r="C27" s="5"/>
      <c r="D27" s="23">
        <v>720</v>
      </c>
      <c r="E27" s="5">
        <v>415</v>
      </c>
      <c r="F27" s="5">
        <v>405</v>
      </c>
      <c r="G27" s="21"/>
      <c r="H27" s="21"/>
      <c r="I27" s="21"/>
      <c r="J27" s="21"/>
      <c r="K27" s="5"/>
      <c r="L27" s="5">
        <f t="shared" si="1"/>
        <v>0.576388888888889</v>
      </c>
      <c r="M27" s="5">
        <f t="shared" si="2"/>
        <v>0.253888888888889</v>
      </c>
      <c r="N27" s="5">
        <f t="shared" si="0"/>
        <v>182.8</v>
      </c>
      <c r="O27" s="5"/>
      <c r="P27" s="5">
        <f>22.6+42.4</f>
        <v>65</v>
      </c>
      <c r="Q27" s="5"/>
      <c r="R27" s="5">
        <v>13.5</v>
      </c>
      <c r="S27" s="5">
        <v>2.5</v>
      </c>
      <c r="T27" s="5"/>
      <c r="U27" s="5">
        <v>25</v>
      </c>
      <c r="V27" s="5"/>
      <c r="W27" s="5"/>
      <c r="X27" s="5">
        <v>5</v>
      </c>
      <c r="Y27" s="5"/>
      <c r="Z27" s="5">
        <v>6.4</v>
      </c>
      <c r="AA27" s="5"/>
      <c r="AB27" s="5"/>
      <c r="AC27" s="5">
        <v>13.8</v>
      </c>
      <c r="AD27" s="5"/>
      <c r="AE27" s="5"/>
      <c r="AF27" s="5"/>
      <c r="AG27" s="5">
        <v>6.6</v>
      </c>
      <c r="AH27" s="5"/>
      <c r="AI27" s="5"/>
      <c r="AJ27" s="5"/>
      <c r="AK27" s="5"/>
      <c r="AL27" s="5"/>
      <c r="AM27" s="5"/>
      <c r="AN27" s="5"/>
      <c r="AO27" s="5"/>
      <c r="AP27" s="5">
        <v>30</v>
      </c>
      <c r="AQ27" s="5"/>
      <c r="AR27" s="5">
        <v>15</v>
      </c>
      <c r="AS27" s="5"/>
      <c r="AT27" s="5">
        <v>45</v>
      </c>
      <c r="AU27" s="5">
        <v>1</v>
      </c>
      <c r="AV27" s="5">
        <v>1</v>
      </c>
      <c r="AW27" s="5">
        <v>0.1</v>
      </c>
      <c r="AX27" s="5">
        <v>1</v>
      </c>
    </row>
    <row r="28" s="1" customFormat="1" customHeight="1" spans="1:50">
      <c r="A28" s="18">
        <v>26</v>
      </c>
      <c r="B28" s="19">
        <v>44212</v>
      </c>
      <c r="C28" s="5"/>
      <c r="D28" s="23">
        <v>710</v>
      </c>
      <c r="E28" s="5">
        <v>412.5</v>
      </c>
      <c r="F28" s="5">
        <v>402</v>
      </c>
      <c r="G28" s="22"/>
      <c r="H28" s="22"/>
      <c r="I28" s="22"/>
      <c r="J28" s="22"/>
      <c r="K28" s="5"/>
      <c r="L28" s="5">
        <f t="shared" si="1"/>
        <v>0.580985915492958</v>
      </c>
      <c r="M28" s="5">
        <f t="shared" si="2"/>
        <v>0.143507042253521</v>
      </c>
      <c r="N28" s="5">
        <f t="shared" si="0"/>
        <v>101.89</v>
      </c>
      <c r="O28" s="5">
        <v>1.8</v>
      </c>
      <c r="P28" s="5">
        <v>11.1</v>
      </c>
      <c r="Q28" s="5"/>
      <c r="R28" s="5">
        <v>7.5</v>
      </c>
      <c r="S28" s="5"/>
      <c r="T28" s="5"/>
      <c r="U28" s="5"/>
      <c r="V28" s="5"/>
      <c r="W28" s="5"/>
      <c r="X28" s="5">
        <v>5</v>
      </c>
      <c r="Y28" s="5"/>
      <c r="Z28" s="5">
        <v>6.99</v>
      </c>
      <c r="AA28" s="5"/>
      <c r="AB28" s="5">
        <v>3.6</v>
      </c>
      <c r="AC28" s="5"/>
      <c r="AD28" s="5">
        <f>7.8+3.7</f>
        <v>11.5</v>
      </c>
      <c r="AE28" s="5"/>
      <c r="AF28" s="5"/>
      <c r="AG28" s="5"/>
      <c r="AH28" s="5"/>
      <c r="AI28" s="5"/>
      <c r="AJ28" s="5"/>
      <c r="AK28" s="5"/>
      <c r="AL28" s="5"/>
      <c r="AM28" s="5"/>
      <c r="AN28" s="5">
        <v>5.4</v>
      </c>
      <c r="AO28" s="5"/>
      <c r="AP28" s="5">
        <v>1</v>
      </c>
      <c r="AQ28" s="5">
        <v>33</v>
      </c>
      <c r="AR28" s="5">
        <v>15</v>
      </c>
      <c r="AS28" s="5"/>
      <c r="AT28" s="5">
        <v>45</v>
      </c>
      <c r="AU28" s="5">
        <v>1</v>
      </c>
      <c r="AV28" s="5">
        <v>1</v>
      </c>
      <c r="AW28" s="5">
        <v>0.1</v>
      </c>
      <c r="AX28" s="5">
        <v>1</v>
      </c>
    </row>
    <row r="29" s="1" customFormat="1" customHeight="1" spans="1:50">
      <c r="A29" s="18">
        <v>27</v>
      </c>
      <c r="B29" s="19">
        <v>44214</v>
      </c>
      <c r="C29" s="5"/>
      <c r="D29" s="23">
        <v>750</v>
      </c>
      <c r="E29" s="5">
        <v>402</v>
      </c>
      <c r="F29" s="5">
        <v>392</v>
      </c>
      <c r="G29" s="20">
        <v>110</v>
      </c>
      <c r="H29" s="20">
        <v>74</v>
      </c>
      <c r="I29" s="20">
        <v>198</v>
      </c>
      <c r="J29" s="20">
        <v>142</v>
      </c>
      <c r="K29" s="5"/>
      <c r="L29" s="5">
        <f t="shared" si="1"/>
        <v>0.536</v>
      </c>
      <c r="M29" s="5">
        <f t="shared" si="2"/>
        <v>0.155333333333333</v>
      </c>
      <c r="N29" s="5">
        <f t="shared" si="0"/>
        <v>116.5</v>
      </c>
      <c r="O29" s="5"/>
      <c r="P29" s="5"/>
      <c r="Q29" s="5"/>
      <c r="R29" s="5">
        <v>1</v>
      </c>
      <c r="S29" s="5"/>
      <c r="T29" s="5">
        <f>9.1+7.4</f>
        <v>16.5</v>
      </c>
      <c r="U29" s="5">
        <f>7.2+5.2</f>
        <v>12.4</v>
      </c>
      <c r="V29" s="5">
        <f>7.7+9.2</f>
        <v>16.9</v>
      </c>
      <c r="W29" s="5">
        <f>11.8+9.8</f>
        <v>21.6</v>
      </c>
      <c r="X29" s="5">
        <v>5</v>
      </c>
      <c r="Y29" s="5"/>
      <c r="Z29" s="5"/>
      <c r="AA29" s="5"/>
      <c r="AB29" s="5"/>
      <c r="AC29" s="5">
        <v>2.1</v>
      </c>
      <c r="AD29" s="5"/>
      <c r="AE29" s="5">
        <v>9.8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>
        <v>16.2</v>
      </c>
      <c r="AQ29" s="5"/>
      <c r="AR29" s="5">
        <v>15</v>
      </c>
      <c r="AS29" s="5"/>
      <c r="AT29" s="5">
        <v>39</v>
      </c>
      <c r="AU29" s="5">
        <v>1</v>
      </c>
      <c r="AV29" s="5">
        <v>1</v>
      </c>
      <c r="AW29" s="5">
        <v>0.1</v>
      </c>
      <c r="AX29" s="5">
        <v>1</v>
      </c>
    </row>
    <row r="30" s="1" customFormat="1" customHeight="1" spans="1:50">
      <c r="A30" s="18">
        <v>28</v>
      </c>
      <c r="B30" s="19">
        <v>44214</v>
      </c>
      <c r="C30" s="5"/>
      <c r="D30" s="23">
        <v>750</v>
      </c>
      <c r="E30" s="5">
        <v>453</v>
      </c>
      <c r="F30" s="5">
        <v>442</v>
      </c>
      <c r="G30" s="21"/>
      <c r="H30" s="21"/>
      <c r="I30" s="21"/>
      <c r="J30" s="21"/>
      <c r="K30" s="5"/>
      <c r="L30" s="5">
        <f t="shared" si="1"/>
        <v>0.604</v>
      </c>
      <c r="M30" s="5">
        <f t="shared" si="2"/>
        <v>0.5524</v>
      </c>
      <c r="N30" s="5">
        <f t="shared" si="0"/>
        <v>414.3</v>
      </c>
      <c r="O30" s="5"/>
      <c r="P30" s="5">
        <f>11.6+22.9+1.5+2.8</f>
        <v>38.8</v>
      </c>
      <c r="Q30" s="5"/>
      <c r="R30" s="5">
        <f>13.4+44</f>
        <v>57.4</v>
      </c>
      <c r="S30" s="5"/>
      <c r="T30" s="5">
        <f>16.3+21.3+3.3+3.9+10.5+6.6+8.7+3.2+13.8</f>
        <v>87.6</v>
      </c>
      <c r="U30" s="5">
        <v>13.6</v>
      </c>
      <c r="V30" s="5">
        <f>14.7+10.4+5.5</f>
        <v>30.6</v>
      </c>
      <c r="W30" s="5">
        <f>10.7+9.7</f>
        <v>20.4</v>
      </c>
      <c r="X30" s="5">
        <v>5</v>
      </c>
      <c r="Y30" s="5">
        <v>3.1</v>
      </c>
      <c r="Z30" s="5"/>
      <c r="AA30" s="5">
        <v>10.1</v>
      </c>
      <c r="AB30" s="5">
        <v>5.5</v>
      </c>
      <c r="AC30" s="5">
        <f>18.8+8.4</f>
        <v>27.2</v>
      </c>
      <c r="AD30" s="5">
        <f>8.5+8.1+1.8</f>
        <v>18.4</v>
      </c>
      <c r="AE30" s="5"/>
      <c r="AF30" s="5"/>
      <c r="AG30" s="5">
        <v>10</v>
      </c>
      <c r="AH30" s="5"/>
      <c r="AI30" s="5"/>
      <c r="AJ30" s="5"/>
      <c r="AK30" s="5"/>
      <c r="AL30" s="5"/>
      <c r="AM30" s="5"/>
      <c r="AN30" s="5"/>
      <c r="AO30" s="5"/>
      <c r="AP30" s="5">
        <f>3.9+5.2+52.5</f>
        <v>61.6</v>
      </c>
      <c r="AQ30" s="5">
        <v>6</v>
      </c>
      <c r="AR30" s="5">
        <v>19</v>
      </c>
      <c r="AS30" s="5"/>
      <c r="AT30" s="5">
        <v>36</v>
      </c>
      <c r="AU30" s="5">
        <v>1</v>
      </c>
      <c r="AV30" s="5">
        <v>1</v>
      </c>
      <c r="AW30" s="5">
        <v>0</v>
      </c>
      <c r="AX30" s="5">
        <v>1</v>
      </c>
    </row>
    <row r="31" s="1" customFormat="1" customHeight="1" spans="1:50">
      <c r="A31" s="18">
        <v>29</v>
      </c>
      <c r="B31" s="19">
        <v>44214</v>
      </c>
      <c r="C31" s="5"/>
      <c r="D31" s="23">
        <v>800</v>
      </c>
      <c r="E31" s="5">
        <v>485</v>
      </c>
      <c r="F31" s="5">
        <v>475</v>
      </c>
      <c r="G31" s="22"/>
      <c r="H31" s="22"/>
      <c r="I31" s="22"/>
      <c r="J31" s="22"/>
      <c r="K31" s="5"/>
      <c r="L31" s="5">
        <f t="shared" si="1"/>
        <v>0.60625</v>
      </c>
      <c r="M31" s="5">
        <f t="shared" si="2"/>
        <v>0.432325</v>
      </c>
      <c r="N31" s="5">
        <f t="shared" si="0"/>
        <v>345.86</v>
      </c>
      <c r="O31" s="5"/>
      <c r="P31" s="5"/>
      <c r="Q31" s="5"/>
      <c r="R31" s="5">
        <f>11+12+30</f>
        <v>53</v>
      </c>
      <c r="S31" s="5"/>
      <c r="T31" s="5">
        <f>13.1+13.3+10.6+9.9+3.5+10.3+2+10+11+7.8</f>
        <v>91.5</v>
      </c>
      <c r="U31" s="5">
        <v>7.1</v>
      </c>
      <c r="V31" s="5">
        <f>7.2+6.1+1.9+8.39+7.8+8.2+8</f>
        <v>47.59</v>
      </c>
      <c r="W31" s="5">
        <f>8.8+5.5+10.1</f>
        <v>24.4</v>
      </c>
      <c r="X31" s="5">
        <v>5.77</v>
      </c>
      <c r="Y31" s="5"/>
      <c r="Z31" s="5"/>
      <c r="AA31" s="5"/>
      <c r="AB31" s="5">
        <v>2.5</v>
      </c>
      <c r="AC31" s="5"/>
      <c r="AD31" s="5"/>
      <c r="AE31" s="5">
        <v>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65</v>
      </c>
      <c r="AQ31" s="5">
        <v>21</v>
      </c>
      <c r="AR31" s="5">
        <v>23</v>
      </c>
      <c r="AS31" s="5"/>
      <c r="AT31" s="5">
        <v>69</v>
      </c>
      <c r="AU31" s="5">
        <v>1</v>
      </c>
      <c r="AV31" s="5">
        <v>1</v>
      </c>
      <c r="AW31" s="5">
        <v>0.1</v>
      </c>
      <c r="AX31" s="5">
        <v>1</v>
      </c>
    </row>
    <row r="32" s="1" customFormat="1" customHeight="1" spans="1:50">
      <c r="A32" s="18">
        <v>30</v>
      </c>
      <c r="B32" s="19">
        <v>44216</v>
      </c>
      <c r="C32" s="5"/>
      <c r="D32" s="23">
        <v>550</v>
      </c>
      <c r="E32" s="5">
        <v>302</v>
      </c>
      <c r="F32" s="5">
        <v>292</v>
      </c>
      <c r="G32" s="20">
        <v>140</v>
      </c>
      <c r="H32" s="20">
        <v>85</v>
      </c>
      <c r="I32" s="20">
        <v>260</v>
      </c>
      <c r="J32" s="20">
        <v>154</v>
      </c>
      <c r="K32" s="5"/>
      <c r="L32" s="5">
        <f t="shared" si="1"/>
        <v>0.549090909090909</v>
      </c>
      <c r="M32" s="5">
        <f t="shared" si="2"/>
        <v>0.456545454545455</v>
      </c>
      <c r="N32" s="5">
        <f t="shared" si="0"/>
        <v>251.1</v>
      </c>
      <c r="O32" s="5"/>
      <c r="P32" s="5">
        <f>8+16.6</f>
        <v>24.6</v>
      </c>
      <c r="Q32" s="5"/>
      <c r="R32" s="5">
        <v>27</v>
      </c>
      <c r="S32" s="5"/>
      <c r="T32" s="5">
        <f>16.7+20.4+10.3</f>
        <v>47.4</v>
      </c>
      <c r="U32" s="5">
        <f>14.7+5.48+6.7+7.3</f>
        <v>34.18</v>
      </c>
      <c r="V32" s="5">
        <f>8+8.48+7</f>
        <v>23.48</v>
      </c>
      <c r="W32" s="5">
        <f>11.44+5.4</f>
        <v>16.84</v>
      </c>
      <c r="X32" s="5"/>
      <c r="Y32" s="5"/>
      <c r="Z32" s="5"/>
      <c r="AA32" s="5"/>
      <c r="AB32" s="5"/>
      <c r="AC32" s="5">
        <f>11.4+4.6+4.8+27</f>
        <v>47.8</v>
      </c>
      <c r="AD32" s="5"/>
      <c r="AE32" s="5">
        <v>4.8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>
        <v>25</v>
      </c>
      <c r="AQ32" s="5"/>
      <c r="AR32" s="5"/>
      <c r="AS32" s="5"/>
      <c r="AT32" s="5">
        <v>64</v>
      </c>
      <c r="AU32" s="5">
        <v>1</v>
      </c>
      <c r="AV32" s="5">
        <v>1</v>
      </c>
      <c r="AW32" s="5">
        <v>0.1</v>
      </c>
      <c r="AX32" s="5">
        <v>1</v>
      </c>
    </row>
    <row r="33" s="1" customFormat="1" customHeight="1" spans="1:50">
      <c r="A33" s="18">
        <v>31</v>
      </c>
      <c r="B33" s="19">
        <v>44216</v>
      </c>
      <c r="C33" s="5"/>
      <c r="D33" s="23">
        <v>680</v>
      </c>
      <c r="E33" s="5">
        <v>374</v>
      </c>
      <c r="F33" s="5">
        <v>364</v>
      </c>
      <c r="G33" s="21"/>
      <c r="H33" s="21"/>
      <c r="I33" s="21"/>
      <c r="J33" s="21"/>
      <c r="K33" s="5"/>
      <c r="L33" s="5">
        <f t="shared" si="1"/>
        <v>0.55</v>
      </c>
      <c r="M33" s="5">
        <f t="shared" si="2"/>
        <v>0.445838235294118</v>
      </c>
      <c r="N33" s="5">
        <f t="shared" si="0"/>
        <v>303.17</v>
      </c>
      <c r="O33" s="5"/>
      <c r="P33" s="5"/>
      <c r="Q33" s="5"/>
      <c r="R33" s="5">
        <v>128</v>
      </c>
      <c r="S33" s="5"/>
      <c r="T33" s="5">
        <f>7.7+6.3+8.8+5.9</f>
        <v>28.7</v>
      </c>
      <c r="U33" s="5">
        <f>7.8+8.1</f>
        <v>15.9</v>
      </c>
      <c r="V33" s="5">
        <f>8.4+7.6</f>
        <v>16</v>
      </c>
      <c r="W33" s="5">
        <v>10.7</v>
      </c>
      <c r="X33" s="5"/>
      <c r="Y33" s="5"/>
      <c r="Z33" s="5"/>
      <c r="AA33" s="5"/>
      <c r="AB33" s="5">
        <v>11.3</v>
      </c>
      <c r="AC33" s="5">
        <f>13.5+10.5</f>
        <v>24</v>
      </c>
      <c r="AD33" s="5"/>
      <c r="AE33" s="5"/>
      <c r="AF33" s="5">
        <v>5</v>
      </c>
      <c r="AG33" s="5"/>
      <c r="AH33" s="5"/>
      <c r="AI33" s="5"/>
      <c r="AJ33" s="5"/>
      <c r="AK33" s="5"/>
      <c r="AL33" s="5"/>
      <c r="AM33" s="5"/>
      <c r="AN33" s="5">
        <v>4</v>
      </c>
      <c r="AO33" s="5"/>
      <c r="AP33" s="5">
        <v>2.07</v>
      </c>
      <c r="AQ33" s="5">
        <f>5+9+7+4.5</f>
        <v>25.5</v>
      </c>
      <c r="AR33" s="5">
        <f>15+6+11</f>
        <v>32</v>
      </c>
      <c r="AS33" s="5"/>
      <c r="AT33" s="5">
        <v>42</v>
      </c>
      <c r="AU33" s="5">
        <v>1</v>
      </c>
      <c r="AV33" s="5">
        <v>1</v>
      </c>
      <c r="AW33" s="5">
        <v>0.1</v>
      </c>
      <c r="AX33" s="5">
        <v>1</v>
      </c>
    </row>
    <row r="34" s="1" customFormat="1" customHeight="1" spans="1:50">
      <c r="A34" s="18">
        <v>32</v>
      </c>
      <c r="B34" s="19">
        <v>44216</v>
      </c>
      <c r="C34" s="5"/>
      <c r="D34" s="23">
        <v>680</v>
      </c>
      <c r="E34" s="5">
        <v>365</v>
      </c>
      <c r="F34" s="5">
        <v>355</v>
      </c>
      <c r="G34" s="21"/>
      <c r="H34" s="21"/>
      <c r="I34" s="21"/>
      <c r="J34" s="21"/>
      <c r="K34" s="5"/>
      <c r="L34" s="5">
        <f t="shared" si="1"/>
        <v>0.536764705882353</v>
      </c>
      <c r="M34" s="5">
        <f t="shared" si="2"/>
        <v>0.0129411764705882</v>
      </c>
      <c r="N34" s="5">
        <f t="shared" si="0"/>
        <v>8.8</v>
      </c>
      <c r="O34" s="5"/>
      <c r="P34" s="5"/>
      <c r="Q34" s="5"/>
      <c r="R34" s="5">
        <v>4.7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4.1</v>
      </c>
      <c r="AQ34" s="5"/>
      <c r="AR34" s="5"/>
      <c r="AS34" s="5"/>
      <c r="AT34" s="5">
        <v>30</v>
      </c>
      <c r="AU34" s="5">
        <v>1</v>
      </c>
      <c r="AV34" s="5">
        <v>1</v>
      </c>
      <c r="AW34" s="5">
        <v>0.1</v>
      </c>
      <c r="AX34" s="5">
        <v>1</v>
      </c>
    </row>
    <row r="35" s="2" customFormat="1" customHeight="1" spans="1:50">
      <c r="A35" s="18">
        <v>33</v>
      </c>
      <c r="B35" s="24">
        <v>44216</v>
      </c>
      <c r="C35" s="6"/>
      <c r="D35" s="25">
        <v>690</v>
      </c>
      <c r="E35" s="6">
        <v>382</v>
      </c>
      <c r="F35" s="6">
        <v>370</v>
      </c>
      <c r="G35" s="26"/>
      <c r="H35" s="26"/>
      <c r="I35" s="26"/>
      <c r="J35" s="26"/>
      <c r="K35" s="6"/>
      <c r="L35" s="6">
        <f t="shared" si="1"/>
        <v>0.553623188405797</v>
      </c>
      <c r="M35" s="6">
        <f t="shared" si="2"/>
        <v>0.0139130434782609</v>
      </c>
      <c r="N35" s="6">
        <f t="shared" si="0"/>
        <v>9.6</v>
      </c>
      <c r="O35" s="6"/>
      <c r="P35" s="6"/>
      <c r="Q35" s="6"/>
      <c r="R35" s="6">
        <v>7.8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1.8</v>
      </c>
      <c r="AQ35" s="6"/>
      <c r="AR35" s="6"/>
      <c r="AS35" s="6"/>
      <c r="AT35" s="6">
        <v>45</v>
      </c>
      <c r="AU35" s="6">
        <v>1</v>
      </c>
      <c r="AV35" s="6">
        <v>1</v>
      </c>
      <c r="AW35" s="6">
        <v>0.1</v>
      </c>
      <c r="AX35" s="6">
        <v>1</v>
      </c>
    </row>
    <row r="36" s="3" customFormat="1" customHeight="1" spans="1:46">
      <c r="A36" s="18">
        <v>34</v>
      </c>
      <c r="B36" s="27">
        <v>44223</v>
      </c>
      <c r="D36" s="3">
        <v>600</v>
      </c>
      <c r="E36" s="3">
        <v>297</v>
      </c>
      <c r="F36" s="3">
        <v>287</v>
      </c>
      <c r="G36" s="3">
        <v>43</v>
      </c>
      <c r="H36" s="3">
        <v>35</v>
      </c>
      <c r="I36" s="3">
        <v>48</v>
      </c>
      <c r="J36" s="3">
        <v>48</v>
      </c>
      <c r="L36" s="5">
        <f t="shared" ref="L36:L99" si="3">E36/D36</f>
        <v>0.495</v>
      </c>
      <c r="M36" s="5">
        <f t="shared" ref="M36:M45" si="4">N36/D36</f>
        <v>0.358133333333333</v>
      </c>
      <c r="N36" s="5">
        <f t="shared" si="0"/>
        <v>214.88</v>
      </c>
      <c r="O36" s="3">
        <f>4+1.8+4</f>
        <v>9.8</v>
      </c>
      <c r="P36" s="3">
        <f>5.4+10</f>
        <v>15.4</v>
      </c>
      <c r="Q36" s="3">
        <f>1.7+1.3</f>
        <v>3</v>
      </c>
      <c r="R36" s="3">
        <f>11.4+12.6</f>
        <v>24</v>
      </c>
      <c r="S36" s="3">
        <f>1.5+1.4</f>
        <v>2.9</v>
      </c>
      <c r="T36" s="3">
        <v>19.1</v>
      </c>
      <c r="U36" s="3">
        <v>12</v>
      </c>
      <c r="V36" s="3">
        <v>11.8</v>
      </c>
      <c r="W36" s="3">
        <f>3.5+3</f>
        <v>6.5</v>
      </c>
      <c r="X36" s="3">
        <v>1.3</v>
      </c>
      <c r="Y36" s="3">
        <f>1.7+3.5+3</f>
        <v>8.2</v>
      </c>
      <c r="Z36" s="3">
        <f>4.2+6.3</f>
        <v>10.5</v>
      </c>
      <c r="AA36" s="3">
        <v>12</v>
      </c>
      <c r="AB36" s="3">
        <v>3.1</v>
      </c>
      <c r="AC36" s="3">
        <v>20.48</v>
      </c>
      <c r="AD36" s="3">
        <v>4.2</v>
      </c>
      <c r="AE36" s="3">
        <f>9+2.5</f>
        <v>11.5</v>
      </c>
      <c r="AF36" s="3">
        <v>0.7</v>
      </c>
      <c r="AG36" s="3">
        <v>4.5</v>
      </c>
      <c r="AP36" s="3">
        <v>0.4</v>
      </c>
      <c r="AQ36" s="3">
        <f>3+6.5</f>
        <v>9.5</v>
      </c>
      <c r="AR36" s="3">
        <f>16+8</f>
        <v>24</v>
      </c>
      <c r="AT36" s="3">
        <v>24</v>
      </c>
    </row>
    <row r="37" s="3" customFormat="1" customHeight="1" spans="1:46">
      <c r="A37" s="18">
        <v>35</v>
      </c>
      <c r="B37" s="27">
        <v>44231</v>
      </c>
      <c r="D37" s="3">
        <v>780</v>
      </c>
      <c r="E37" s="3">
        <f>453.5</f>
        <v>453.5</v>
      </c>
      <c r="F37" s="3">
        <v>438</v>
      </c>
      <c r="G37" s="20">
        <f>93+30</f>
        <v>123</v>
      </c>
      <c r="H37" s="3">
        <v>75</v>
      </c>
      <c r="I37" s="20">
        <v>219</v>
      </c>
      <c r="J37" s="3">
        <v>54</v>
      </c>
      <c r="L37" s="5">
        <f t="shared" si="3"/>
        <v>0.581410256410256</v>
      </c>
      <c r="M37" s="5">
        <f t="shared" si="4"/>
        <v>0.314346153846154</v>
      </c>
      <c r="N37" s="5">
        <f t="shared" si="0"/>
        <v>245.19</v>
      </c>
      <c r="O37" s="3">
        <v>5.1</v>
      </c>
      <c r="P37" s="3">
        <f>7.5+6.3+3</f>
        <v>16.8</v>
      </c>
      <c r="Q37" s="3">
        <v>3.7</v>
      </c>
      <c r="R37" s="3">
        <v>27.9</v>
      </c>
      <c r="S37" s="3">
        <f>3.7+2.3</f>
        <v>6</v>
      </c>
      <c r="T37" s="3">
        <f>2.8+11.8</f>
        <v>14.6</v>
      </c>
      <c r="U37" s="3">
        <f>7.9+7.5</f>
        <v>15.4</v>
      </c>
      <c r="V37" s="3">
        <f>9.6+9.3+12</f>
        <v>30.9</v>
      </c>
      <c r="W37" s="3">
        <f>1.79+4</f>
        <v>5.79</v>
      </c>
      <c r="X37" s="3">
        <f>0.6+1.1</f>
        <v>1.7</v>
      </c>
      <c r="Y37" s="3">
        <v>3.3</v>
      </c>
      <c r="Z37" s="3">
        <v>6.6</v>
      </c>
      <c r="AA37" s="3">
        <v>21.2</v>
      </c>
      <c r="AB37" s="3">
        <v>12</v>
      </c>
      <c r="AC37" s="3">
        <f>10.3+11.8</f>
        <v>22.1</v>
      </c>
      <c r="AD37" s="3">
        <f>3.2+3+7.8</f>
        <v>14</v>
      </c>
      <c r="AE37" s="3">
        <f>4.9+2.6</f>
        <v>7.5</v>
      </c>
      <c r="AG37" s="3">
        <v>6</v>
      </c>
      <c r="AN37" s="3">
        <v>2.1</v>
      </c>
      <c r="AP37" s="3">
        <f>2.9+2.2+1.9</f>
        <v>7</v>
      </c>
      <c r="AQ37" s="3">
        <v>9.5</v>
      </c>
      <c r="AR37" s="3">
        <v>6</v>
      </c>
      <c r="AT37" s="3">
        <v>54</v>
      </c>
    </row>
    <row r="38" s="3" customFormat="1" customHeight="1" spans="1:46">
      <c r="A38" s="18">
        <v>36</v>
      </c>
      <c r="B38" s="27">
        <v>44231</v>
      </c>
      <c r="D38" s="3">
        <v>720</v>
      </c>
      <c r="E38" s="3">
        <v>435.5</v>
      </c>
      <c r="F38" s="3">
        <v>422</v>
      </c>
      <c r="G38" s="21"/>
      <c r="I38" s="21"/>
      <c r="J38" s="3">
        <v>53</v>
      </c>
      <c r="L38" s="5">
        <f t="shared" si="3"/>
        <v>0.604861111111111</v>
      </c>
      <c r="M38" s="5">
        <f t="shared" si="4"/>
        <v>0.533875</v>
      </c>
      <c r="N38" s="5">
        <f t="shared" si="0"/>
        <v>384.39</v>
      </c>
      <c r="O38" s="3">
        <v>8</v>
      </c>
      <c r="P38" s="3">
        <f>6.99+4.8+3.2+1.6+14.4</f>
        <v>30.99</v>
      </c>
      <c r="Q38" s="3">
        <v>3.7</v>
      </c>
      <c r="R38" s="3">
        <f>24+15</f>
        <v>39</v>
      </c>
      <c r="S38" s="3">
        <v>5.5</v>
      </c>
      <c r="T38" s="3">
        <f>8.7+7.1+5.6+13.3+6.6+7.8+2</f>
        <v>51.1</v>
      </c>
      <c r="U38" s="3">
        <f>7.26+6.9</f>
        <v>14.16</v>
      </c>
      <c r="V38" s="3">
        <f>7.75+7.79</f>
        <v>15.54</v>
      </c>
      <c r="W38" s="3">
        <f>9.6+4.8</f>
        <v>14.4</v>
      </c>
      <c r="X38" s="3">
        <v>11.7</v>
      </c>
      <c r="Y38" s="3">
        <v>3.5</v>
      </c>
      <c r="Z38" s="3">
        <v>6.8</v>
      </c>
      <c r="AA38" s="3">
        <v>20</v>
      </c>
      <c r="AB38" s="3">
        <v>15</v>
      </c>
      <c r="AC38" s="3">
        <v>20</v>
      </c>
      <c r="AD38" s="3">
        <v>24</v>
      </c>
      <c r="AE38" s="3">
        <v>50</v>
      </c>
      <c r="AG38" s="3">
        <v>4</v>
      </c>
      <c r="AN38" s="3">
        <v>0.5</v>
      </c>
      <c r="AP38" s="3">
        <v>30</v>
      </c>
      <c r="AQ38" s="3">
        <v>2.5</v>
      </c>
      <c r="AR38" s="3">
        <v>14</v>
      </c>
      <c r="AT38" s="3">
        <v>40</v>
      </c>
    </row>
    <row r="39" s="3" customFormat="1" customHeight="1" spans="1:46">
      <c r="A39" s="18">
        <v>37</v>
      </c>
      <c r="B39" s="27">
        <v>44231</v>
      </c>
      <c r="D39" s="3">
        <v>700</v>
      </c>
      <c r="E39" s="3">
        <v>383.5</v>
      </c>
      <c r="F39" s="3">
        <v>370</v>
      </c>
      <c r="G39" s="22"/>
      <c r="I39" s="22"/>
      <c r="J39" s="3">
        <v>53</v>
      </c>
      <c r="L39" s="5">
        <f t="shared" si="3"/>
        <v>0.547857142857143</v>
      </c>
      <c r="M39" s="5">
        <f t="shared" si="4"/>
        <v>0.425657142857143</v>
      </c>
      <c r="N39" s="5">
        <f t="shared" si="0"/>
        <v>297.96</v>
      </c>
      <c r="O39" s="3">
        <v>7.67</v>
      </c>
      <c r="P39" s="3">
        <f>1.78+8.5</f>
        <v>10.28</v>
      </c>
      <c r="Q39" s="3">
        <v>3.7</v>
      </c>
      <c r="R39" s="3">
        <f>17.6+32.1</f>
        <v>49.7</v>
      </c>
      <c r="S39" s="3">
        <v>6</v>
      </c>
      <c r="T39" s="3">
        <v>15</v>
      </c>
      <c r="U39" s="3">
        <v>13</v>
      </c>
      <c r="V39" s="3">
        <v>6.78</v>
      </c>
      <c r="W39" s="3">
        <f>5.4+5.8</f>
        <v>11.2</v>
      </c>
      <c r="X39" s="3">
        <f>3.5+3.2</f>
        <v>6.7</v>
      </c>
      <c r="Y39" s="3">
        <v>3.1</v>
      </c>
      <c r="Z39" s="3">
        <f>6.54+7</f>
        <v>13.54</v>
      </c>
      <c r="AA39" s="3">
        <v>10.4</v>
      </c>
      <c r="AB39" s="3">
        <f>13.7+5.3</f>
        <v>19</v>
      </c>
      <c r="AC39" s="3">
        <v>25</v>
      </c>
      <c r="AD39" s="3">
        <f>8.5+7.7</f>
        <v>16.2</v>
      </c>
      <c r="AE39" s="3">
        <v>8.2</v>
      </c>
      <c r="AF39" s="3">
        <v>6.8</v>
      </c>
      <c r="AG39" s="3">
        <v>5</v>
      </c>
      <c r="AN39" s="3">
        <v>1.48</v>
      </c>
      <c r="AP39" s="3">
        <v>0.33</v>
      </c>
      <c r="AQ39" s="3">
        <f>16.38+1.5</f>
        <v>17.88</v>
      </c>
      <c r="AR39" s="3">
        <v>41</v>
      </c>
      <c r="AT39" s="3">
        <v>40</v>
      </c>
    </row>
    <row r="40" s="3" customFormat="1" customHeight="1" spans="1:50">
      <c r="A40" s="18">
        <v>38</v>
      </c>
      <c r="B40" s="27">
        <v>44244</v>
      </c>
      <c r="D40" s="3">
        <v>660</v>
      </c>
      <c r="E40" s="3">
        <v>358</v>
      </c>
      <c r="F40" s="3">
        <v>343.5</v>
      </c>
      <c r="G40" s="3">
        <v>85</v>
      </c>
      <c r="H40" s="3">
        <v>95</v>
      </c>
      <c r="I40" s="3">
        <v>97</v>
      </c>
      <c r="J40" s="3">
        <v>53</v>
      </c>
      <c r="L40" s="5">
        <f t="shared" si="3"/>
        <v>0.542424242424242</v>
      </c>
      <c r="M40" s="5">
        <f t="shared" si="4"/>
        <v>0.402924242424242</v>
      </c>
      <c r="N40" s="5">
        <f t="shared" si="0"/>
        <v>265.93</v>
      </c>
      <c r="O40" s="3">
        <v>12.3</v>
      </c>
      <c r="P40" s="3">
        <v>12.82</v>
      </c>
      <c r="Q40" s="3">
        <v>2.64</v>
      </c>
      <c r="R40" s="3">
        <v>37.4</v>
      </c>
      <c r="S40" s="3">
        <v>3.6</v>
      </c>
      <c r="T40" s="3">
        <v>21</v>
      </c>
      <c r="U40" s="3">
        <v>12.5</v>
      </c>
      <c r="V40" s="3">
        <v>15.9</v>
      </c>
      <c r="W40" s="3">
        <v>10.4</v>
      </c>
      <c r="X40" s="3">
        <v>5.17</v>
      </c>
      <c r="Y40" s="3">
        <v>4.7</v>
      </c>
      <c r="Z40" s="3">
        <v>10.5</v>
      </c>
      <c r="AA40" s="3">
        <v>16.95</v>
      </c>
      <c r="AB40" s="3">
        <v>10.6</v>
      </c>
      <c r="AC40" s="3">
        <v>18.4</v>
      </c>
      <c r="AD40" s="3">
        <v>12.5</v>
      </c>
      <c r="AE40" s="3">
        <v>18.35</v>
      </c>
      <c r="AF40" s="3">
        <v>1.8</v>
      </c>
      <c r="AG40" s="3">
        <v>6.2</v>
      </c>
      <c r="AN40" s="3">
        <v>0.8</v>
      </c>
      <c r="AP40" s="3">
        <v>2.9</v>
      </c>
      <c r="AQ40" s="3">
        <v>10.5</v>
      </c>
      <c r="AR40" s="3">
        <v>18</v>
      </c>
      <c r="AT40" s="3">
        <v>23</v>
      </c>
      <c r="AU40" s="3">
        <v>1</v>
      </c>
      <c r="AV40" s="3">
        <v>1</v>
      </c>
      <c r="AW40" s="3">
        <v>0.1</v>
      </c>
      <c r="AX40" s="3">
        <v>1</v>
      </c>
    </row>
    <row r="41" s="3" customFormat="1" customHeight="1" spans="1:50">
      <c r="A41" s="18">
        <v>39</v>
      </c>
      <c r="B41" s="27">
        <v>44244</v>
      </c>
      <c r="D41" s="3">
        <v>690</v>
      </c>
      <c r="E41" s="3">
        <v>395</v>
      </c>
      <c r="F41" s="3">
        <v>379</v>
      </c>
      <c r="J41" s="3">
        <v>53</v>
      </c>
      <c r="L41" s="5">
        <f t="shared" si="3"/>
        <v>0.572463768115942</v>
      </c>
      <c r="M41" s="5">
        <f t="shared" si="4"/>
        <v>0.440159420289855</v>
      </c>
      <c r="N41" s="5">
        <f t="shared" si="0"/>
        <v>303.71</v>
      </c>
      <c r="O41" s="3">
        <v>13.26</v>
      </c>
      <c r="P41" s="3">
        <v>16.5</v>
      </c>
      <c r="Q41" s="3">
        <v>4.5</v>
      </c>
      <c r="R41" s="3">
        <v>27.1</v>
      </c>
      <c r="S41" s="3">
        <v>3.99</v>
      </c>
      <c r="T41" s="3">
        <v>36.5</v>
      </c>
      <c r="U41" s="3">
        <v>13</v>
      </c>
      <c r="V41" s="3">
        <v>27.4</v>
      </c>
      <c r="W41" s="3">
        <v>0</v>
      </c>
      <c r="X41" s="3">
        <v>6.1</v>
      </c>
      <c r="Y41" s="3">
        <v>5</v>
      </c>
      <c r="Z41" s="3">
        <v>12.94</v>
      </c>
      <c r="AA41" s="3">
        <v>20.54</v>
      </c>
      <c r="AB41" s="3">
        <v>10.9</v>
      </c>
      <c r="AC41" s="3">
        <v>21.83</v>
      </c>
      <c r="AD41" s="3">
        <v>13.5</v>
      </c>
      <c r="AE41" s="3">
        <v>27.57</v>
      </c>
      <c r="AF41" s="3">
        <v>2.08</v>
      </c>
      <c r="AG41" s="3">
        <v>5</v>
      </c>
      <c r="AN41" s="3">
        <v>0.91</v>
      </c>
      <c r="AP41" s="3">
        <v>1.49</v>
      </c>
      <c r="AQ41" s="3">
        <v>10.5</v>
      </c>
      <c r="AR41" s="3">
        <v>23.1</v>
      </c>
      <c r="AT41" s="3">
        <v>23</v>
      </c>
      <c r="AU41" s="3">
        <v>1</v>
      </c>
      <c r="AV41" s="3">
        <v>1</v>
      </c>
      <c r="AW41" s="3">
        <v>0.1</v>
      </c>
      <c r="AX41" s="3">
        <v>1</v>
      </c>
    </row>
    <row r="42" s="3" customFormat="1" customHeight="1" spans="1:50">
      <c r="A42" s="18">
        <v>40</v>
      </c>
      <c r="B42" s="27">
        <v>44246</v>
      </c>
      <c r="D42" s="3">
        <v>650</v>
      </c>
      <c r="E42" s="3">
        <v>362</v>
      </c>
      <c r="F42" s="3">
        <v>351</v>
      </c>
      <c r="G42" s="20">
        <v>74</v>
      </c>
      <c r="H42" s="20">
        <v>75</v>
      </c>
      <c r="I42" s="20">
        <v>96</v>
      </c>
      <c r="J42" s="3">
        <v>50</v>
      </c>
      <c r="L42" s="5">
        <f t="shared" si="3"/>
        <v>0.556923076923077</v>
      </c>
      <c r="M42" s="5">
        <f t="shared" si="4"/>
        <v>0.525784615384615</v>
      </c>
      <c r="N42" s="5">
        <f t="shared" si="0"/>
        <v>341.76</v>
      </c>
      <c r="O42" s="3">
        <f>6.6+5.3</f>
        <v>11.9</v>
      </c>
      <c r="P42" s="3">
        <f>1.4+8</f>
        <v>9.4</v>
      </c>
      <c r="Q42" s="3">
        <v>3.1</v>
      </c>
      <c r="R42" s="3">
        <f>30+13.94</f>
        <v>43.94</v>
      </c>
      <c r="S42" s="3">
        <v>1.8</v>
      </c>
      <c r="T42" s="3">
        <f>15.2</f>
        <v>15.2</v>
      </c>
      <c r="U42" s="3">
        <v>5.2</v>
      </c>
      <c r="V42" s="3">
        <v>14.2</v>
      </c>
      <c r="W42" s="3">
        <v>10</v>
      </c>
      <c r="X42" s="3">
        <v>4.75</v>
      </c>
      <c r="Y42" s="3">
        <v>0</v>
      </c>
      <c r="Z42" s="3">
        <v>6.4</v>
      </c>
      <c r="AA42" s="3">
        <v>30</v>
      </c>
      <c r="AB42" s="3">
        <f>5.1+6.2</f>
        <v>11.3</v>
      </c>
      <c r="AC42" s="3">
        <v>9.2</v>
      </c>
      <c r="AD42" s="3">
        <v>7.5</v>
      </c>
      <c r="AE42" s="3">
        <f>5.8+0.85</f>
        <v>6.65</v>
      </c>
      <c r="AF42" s="3">
        <v>1.5</v>
      </c>
      <c r="AG42" s="3">
        <v>5</v>
      </c>
      <c r="AN42" s="20">
        <v>2.32</v>
      </c>
      <c r="AP42" s="3">
        <f>2+0.3+4.1+100</f>
        <v>106.4</v>
      </c>
      <c r="AQ42" s="3">
        <v>18</v>
      </c>
      <c r="AR42" s="3">
        <v>18</v>
      </c>
      <c r="AT42" s="20">
        <v>72</v>
      </c>
      <c r="AU42" s="3">
        <v>1</v>
      </c>
      <c r="AV42" s="3">
        <v>1</v>
      </c>
      <c r="AW42" s="3">
        <v>0.1</v>
      </c>
      <c r="AX42" s="3">
        <v>1</v>
      </c>
    </row>
    <row r="43" s="3" customFormat="1" ht="24.75" customHeight="1" spans="1:50">
      <c r="A43" s="18">
        <v>41</v>
      </c>
      <c r="B43" s="27">
        <v>44246</v>
      </c>
      <c r="D43" s="3">
        <v>650</v>
      </c>
      <c r="E43" s="3">
        <v>371</v>
      </c>
      <c r="F43" s="3">
        <v>360</v>
      </c>
      <c r="G43" s="22"/>
      <c r="H43" s="22"/>
      <c r="I43" s="22"/>
      <c r="J43" s="3">
        <v>48.9</v>
      </c>
      <c r="L43" s="5">
        <f t="shared" si="3"/>
        <v>0.570769230769231</v>
      </c>
      <c r="M43" s="5">
        <f t="shared" si="4"/>
        <v>0.374261538461538</v>
      </c>
      <c r="N43" s="5">
        <f t="shared" si="0"/>
        <v>243.27</v>
      </c>
      <c r="O43" s="3">
        <v>10.4</v>
      </c>
      <c r="P43" s="3">
        <v>12.1</v>
      </c>
      <c r="Q43" s="3">
        <v>3</v>
      </c>
      <c r="R43" s="3">
        <v>19</v>
      </c>
      <c r="S43" s="3">
        <v>4.35</v>
      </c>
      <c r="T43" s="3">
        <f>5.8+4.2+7.6</f>
        <v>17.6</v>
      </c>
      <c r="U43" s="3">
        <v>12.5</v>
      </c>
      <c r="V43" s="3">
        <v>12</v>
      </c>
      <c r="W43" s="3">
        <v>10.1</v>
      </c>
      <c r="X43" s="3">
        <v>4.8</v>
      </c>
      <c r="Y43" s="3">
        <v>2.8</v>
      </c>
      <c r="Z43" s="3">
        <v>6.2</v>
      </c>
      <c r="AA43" s="3">
        <v>19</v>
      </c>
      <c r="AB43" s="3">
        <f>5.11+8</f>
        <v>13.11</v>
      </c>
      <c r="AC43" s="3">
        <f>15.4+6.4+1.8</f>
        <v>23.6</v>
      </c>
      <c r="AD43" s="3">
        <v>8.1</v>
      </c>
      <c r="AE43" s="3">
        <f>10.5+4</f>
        <v>14.5</v>
      </c>
      <c r="AF43" s="3">
        <v>1.42</v>
      </c>
      <c r="AG43" s="3">
        <v>5</v>
      </c>
      <c r="AN43" s="21"/>
      <c r="AP43" s="3">
        <v>2.69</v>
      </c>
      <c r="AQ43" s="3">
        <v>13</v>
      </c>
      <c r="AR43" s="3">
        <v>28</v>
      </c>
      <c r="AT43" s="22"/>
      <c r="AU43" s="3">
        <v>1</v>
      </c>
      <c r="AV43" s="3">
        <v>1</v>
      </c>
      <c r="AW43" s="3">
        <v>0.1</v>
      </c>
      <c r="AX43" s="3">
        <v>1</v>
      </c>
    </row>
    <row r="44" s="4" customFormat="1" ht="24.75" customHeight="1" spans="1:50">
      <c r="A44" s="18">
        <v>42</v>
      </c>
      <c r="B44" s="28">
        <v>44248</v>
      </c>
      <c r="D44" s="4">
        <v>650</v>
      </c>
      <c r="E44" s="4">
        <v>395</v>
      </c>
      <c r="F44" s="4">
        <v>385</v>
      </c>
      <c r="G44" s="4">
        <v>42</v>
      </c>
      <c r="H44" s="4">
        <v>38</v>
      </c>
      <c r="I44" s="4">
        <v>51</v>
      </c>
      <c r="J44" s="4">
        <v>48</v>
      </c>
      <c r="L44" s="6">
        <f t="shared" si="3"/>
        <v>0.607692307692308</v>
      </c>
      <c r="M44" s="6">
        <f t="shared" si="4"/>
        <v>0.381369230769231</v>
      </c>
      <c r="N44" s="6">
        <f t="shared" si="0"/>
        <v>247.89</v>
      </c>
      <c r="O44" s="4">
        <v>7</v>
      </c>
      <c r="P44" s="4">
        <f>9.7+4.56+0.9</f>
        <v>15.16</v>
      </c>
      <c r="Q44" s="4">
        <v>2.85</v>
      </c>
      <c r="R44" s="4">
        <f>9.3+11.3+15.8</f>
        <v>36.4</v>
      </c>
      <c r="S44" s="4">
        <v>2.17</v>
      </c>
      <c r="T44" s="4">
        <f>16.56+12.36</f>
        <v>28.92</v>
      </c>
      <c r="U44" s="4">
        <f>6.15+6.57</f>
        <v>12.72</v>
      </c>
      <c r="V44" s="4">
        <f>6.1+5.88</f>
        <v>11.98</v>
      </c>
      <c r="W44" s="4">
        <v>8.64</v>
      </c>
      <c r="X44" s="4">
        <v>1.2</v>
      </c>
      <c r="Y44" s="4">
        <v>2.8</v>
      </c>
      <c r="Z44" s="4">
        <f>6.19+5.5</f>
        <v>11.69</v>
      </c>
      <c r="AA44" s="4">
        <f>10.4+10.4</f>
        <v>20.8</v>
      </c>
      <c r="AB44" s="4">
        <v>5.75</v>
      </c>
      <c r="AC44" s="4">
        <f>7.5+7.48</f>
        <v>14.98</v>
      </c>
      <c r="AD44" s="4">
        <f>9.03</f>
        <v>9.03</v>
      </c>
      <c r="AE44" s="4">
        <f>9.5+9.66</f>
        <v>19.16</v>
      </c>
      <c r="AF44" s="4">
        <f>1.4+0.35</f>
        <v>1.75</v>
      </c>
      <c r="AG44" s="4">
        <v>5</v>
      </c>
      <c r="AN44" s="26"/>
      <c r="AP44" s="4">
        <v>1.89</v>
      </c>
      <c r="AQ44" s="4">
        <v>5</v>
      </c>
      <c r="AR44" s="4">
        <v>23</v>
      </c>
      <c r="AT44" s="4">
        <v>28.6</v>
      </c>
      <c r="AU44" s="4">
        <v>1</v>
      </c>
      <c r="AV44" s="4">
        <v>1</v>
      </c>
      <c r="AW44" s="4">
        <v>0.1</v>
      </c>
      <c r="AX44" s="4">
        <v>1</v>
      </c>
    </row>
    <row r="45" s="1" customFormat="1" customHeight="1" spans="1:50">
      <c r="A45" s="18">
        <v>43</v>
      </c>
      <c r="B45" s="27">
        <v>44250</v>
      </c>
      <c r="C45" s="5"/>
      <c r="D45" s="23">
        <v>620</v>
      </c>
      <c r="E45" s="3">
        <v>367</v>
      </c>
      <c r="F45" s="3">
        <v>352</v>
      </c>
      <c r="G45" s="3">
        <v>60</v>
      </c>
      <c r="H45" s="3">
        <v>35</v>
      </c>
      <c r="I45" s="3">
        <v>82</v>
      </c>
      <c r="J45" s="3">
        <v>46</v>
      </c>
      <c r="K45" s="5"/>
      <c r="L45" s="3">
        <f t="shared" si="3"/>
        <v>0.591935483870968</v>
      </c>
      <c r="M45" s="5">
        <f t="shared" ref="M45:M76" si="5">N45/D45</f>
        <v>0.263612903225806</v>
      </c>
      <c r="N45" s="5">
        <f t="shared" si="0"/>
        <v>163.44</v>
      </c>
      <c r="O45" s="5"/>
      <c r="P45" s="5">
        <f>8.8+2.58</f>
        <v>11.38</v>
      </c>
      <c r="Q45" s="3">
        <v>1.77</v>
      </c>
      <c r="R45" s="3">
        <v>9.1</v>
      </c>
      <c r="S45" s="3">
        <v>2.1</v>
      </c>
      <c r="T45" s="5">
        <v>14.2</v>
      </c>
      <c r="U45" s="3">
        <v>6.7</v>
      </c>
      <c r="V45" s="3">
        <v>8.38</v>
      </c>
      <c r="W45" s="3">
        <v>5.6</v>
      </c>
      <c r="X45" s="3">
        <v>3</v>
      </c>
      <c r="Y45" s="3">
        <v>7.3</v>
      </c>
      <c r="Z45" s="3">
        <v>12.4</v>
      </c>
      <c r="AA45" s="3">
        <v>13.7</v>
      </c>
      <c r="AB45" s="3">
        <v>12.1</v>
      </c>
      <c r="AC45" s="3">
        <v>11.3</v>
      </c>
      <c r="AD45" s="3">
        <v>15.6</v>
      </c>
      <c r="AE45" s="5"/>
      <c r="AF45" s="3">
        <v>1.9</v>
      </c>
      <c r="AG45" s="3">
        <v>2.8</v>
      </c>
      <c r="AH45" s="5"/>
      <c r="AI45" s="5"/>
      <c r="AJ45" s="5"/>
      <c r="AK45" s="5"/>
      <c r="AL45" s="5"/>
      <c r="AM45" s="5"/>
      <c r="AN45" s="5"/>
      <c r="AO45" s="5"/>
      <c r="AP45" s="3">
        <v>2.61</v>
      </c>
      <c r="AQ45" s="3">
        <v>5.5</v>
      </c>
      <c r="AR45" s="3">
        <v>16</v>
      </c>
      <c r="AS45" s="5"/>
      <c r="AT45" s="3">
        <v>35</v>
      </c>
      <c r="AU45" s="3">
        <v>1</v>
      </c>
      <c r="AV45" s="3">
        <v>1</v>
      </c>
      <c r="AW45" s="3">
        <v>0.1</v>
      </c>
      <c r="AX45" s="3">
        <v>1</v>
      </c>
    </row>
    <row r="46" s="1" customFormat="1" customHeight="1" spans="1:50">
      <c r="A46" s="18">
        <v>44</v>
      </c>
      <c r="B46" s="27">
        <v>44250</v>
      </c>
      <c r="C46" s="5"/>
      <c r="D46" s="23">
        <v>630</v>
      </c>
      <c r="E46" s="3">
        <v>357.5</v>
      </c>
      <c r="F46" s="3">
        <v>345</v>
      </c>
      <c r="G46" s="3"/>
      <c r="H46" s="3">
        <v>35</v>
      </c>
      <c r="I46" s="3"/>
      <c r="J46" s="3">
        <v>45</v>
      </c>
      <c r="K46" s="5"/>
      <c r="L46" s="3">
        <f t="shared" si="3"/>
        <v>0.567460317460317</v>
      </c>
      <c r="M46" s="5">
        <f t="shared" si="5"/>
        <v>0.215968253968254</v>
      </c>
      <c r="N46" s="5">
        <f t="shared" si="0"/>
        <v>136.06</v>
      </c>
      <c r="O46" s="3">
        <v>5.2</v>
      </c>
      <c r="P46" s="5">
        <v>9.3</v>
      </c>
      <c r="Q46" s="5"/>
      <c r="R46" s="3">
        <v>16</v>
      </c>
      <c r="S46" s="5"/>
      <c r="T46" s="5">
        <v>13.2</v>
      </c>
      <c r="U46" s="3">
        <v>6.6</v>
      </c>
      <c r="V46" s="3">
        <v>7.85</v>
      </c>
      <c r="W46" s="3">
        <v>5.43</v>
      </c>
      <c r="X46" s="3"/>
      <c r="Y46" s="3">
        <v>2.1</v>
      </c>
      <c r="Z46" s="3">
        <v>5.4</v>
      </c>
      <c r="AA46" s="3">
        <v>9.7</v>
      </c>
      <c r="AB46" s="5"/>
      <c r="AC46" s="3">
        <v>9.8</v>
      </c>
      <c r="AD46" s="5"/>
      <c r="AE46" s="5">
        <v>10</v>
      </c>
      <c r="AF46" s="5"/>
      <c r="AG46" s="3">
        <v>9.8</v>
      </c>
      <c r="AH46" s="5"/>
      <c r="AI46" s="5"/>
      <c r="AJ46" s="5"/>
      <c r="AK46" s="5"/>
      <c r="AL46" s="5"/>
      <c r="AM46" s="5"/>
      <c r="AN46" s="20">
        <v>1.1</v>
      </c>
      <c r="AO46" s="5"/>
      <c r="AP46" s="3">
        <f>9.4+0.68</f>
        <v>10.08</v>
      </c>
      <c r="AQ46" s="3">
        <v>5.5</v>
      </c>
      <c r="AR46" s="3">
        <v>9</v>
      </c>
      <c r="AS46" s="5"/>
      <c r="AT46" s="3">
        <v>23.8</v>
      </c>
      <c r="AU46" s="3">
        <v>1</v>
      </c>
      <c r="AV46" s="3">
        <v>1</v>
      </c>
      <c r="AW46" s="3">
        <v>0.1</v>
      </c>
      <c r="AX46" s="3">
        <v>1</v>
      </c>
    </row>
    <row r="47" s="1" customFormat="1" customHeight="1" spans="1:50">
      <c r="A47" s="18">
        <v>45</v>
      </c>
      <c r="B47" s="27">
        <v>44254</v>
      </c>
      <c r="C47" s="5"/>
      <c r="D47" s="23">
        <v>700</v>
      </c>
      <c r="E47" s="3">
        <v>475</v>
      </c>
      <c r="F47" s="3">
        <v>465</v>
      </c>
      <c r="G47" s="3">
        <v>65</v>
      </c>
      <c r="H47" s="3">
        <v>35</v>
      </c>
      <c r="I47" s="3">
        <v>88</v>
      </c>
      <c r="J47" s="3">
        <v>52</v>
      </c>
      <c r="K47" s="5"/>
      <c r="L47" s="3">
        <f t="shared" si="3"/>
        <v>0.678571428571429</v>
      </c>
      <c r="M47" s="5">
        <f t="shared" si="5"/>
        <v>0.227785714285714</v>
      </c>
      <c r="N47" s="5">
        <f t="shared" si="0"/>
        <v>159.45</v>
      </c>
      <c r="O47" s="3">
        <v>5.5</v>
      </c>
      <c r="P47" s="5">
        <v>8.3</v>
      </c>
      <c r="Q47" s="3">
        <v>1.8</v>
      </c>
      <c r="R47" s="3">
        <v>19</v>
      </c>
      <c r="S47" s="3">
        <v>2.14</v>
      </c>
      <c r="T47" s="5">
        <v>8.2</v>
      </c>
      <c r="U47" s="3">
        <v>5.8</v>
      </c>
      <c r="V47" s="5">
        <f>12.3+4.56+1.4</f>
        <v>18.26</v>
      </c>
      <c r="W47" s="5"/>
      <c r="X47" s="3">
        <v>5.5</v>
      </c>
      <c r="Y47" s="3">
        <v>2.1</v>
      </c>
      <c r="Z47" s="3">
        <v>5.6</v>
      </c>
      <c r="AA47" s="3">
        <v>8.9</v>
      </c>
      <c r="AB47" s="5">
        <v>9.8</v>
      </c>
      <c r="AC47" s="3">
        <v>11.4</v>
      </c>
      <c r="AD47" s="3">
        <v>11.9</v>
      </c>
      <c r="AE47" s="5">
        <v>7.9</v>
      </c>
      <c r="AF47" s="3">
        <v>1.29</v>
      </c>
      <c r="AG47" s="3">
        <v>3.4</v>
      </c>
      <c r="AH47" s="5"/>
      <c r="AI47" s="5"/>
      <c r="AJ47" s="5"/>
      <c r="AK47" s="5"/>
      <c r="AL47" s="5"/>
      <c r="AM47" s="5"/>
      <c r="AN47" s="22"/>
      <c r="AO47" s="5"/>
      <c r="AP47" s="3">
        <f>0.37+0.29</f>
        <v>0.66</v>
      </c>
      <c r="AQ47" s="3">
        <v>6</v>
      </c>
      <c r="AR47" s="3">
        <v>16</v>
      </c>
      <c r="AS47" s="5"/>
      <c r="AT47" s="3">
        <v>35</v>
      </c>
      <c r="AU47" s="3">
        <v>1</v>
      </c>
      <c r="AV47" s="3">
        <v>1</v>
      </c>
      <c r="AW47" s="3">
        <v>0.1</v>
      </c>
      <c r="AX47" s="3">
        <v>1</v>
      </c>
    </row>
    <row r="48" s="1" customFormat="1" customHeight="1" spans="1:50">
      <c r="A48" s="18">
        <v>46</v>
      </c>
      <c r="B48" s="27">
        <v>44254</v>
      </c>
      <c r="C48" s="5"/>
      <c r="D48" s="23">
        <v>700</v>
      </c>
      <c r="E48" s="3">
        <v>468</v>
      </c>
      <c r="F48" s="3">
        <v>458</v>
      </c>
      <c r="G48" s="3"/>
      <c r="H48" s="3">
        <v>35</v>
      </c>
      <c r="I48" s="3"/>
      <c r="J48" s="3">
        <v>53</v>
      </c>
      <c r="K48" s="5"/>
      <c r="L48" s="3">
        <f t="shared" si="3"/>
        <v>0.668571428571429</v>
      </c>
      <c r="M48" s="5">
        <f t="shared" si="5"/>
        <v>0.249842857142857</v>
      </c>
      <c r="N48" s="5">
        <f t="shared" si="0"/>
        <v>174.89</v>
      </c>
      <c r="O48" s="5"/>
      <c r="P48" s="5">
        <v>10.27</v>
      </c>
      <c r="Q48" s="5"/>
      <c r="R48" s="3"/>
      <c r="S48" s="5"/>
      <c r="T48" s="5"/>
      <c r="U48" s="5"/>
      <c r="V48" s="3">
        <v>18</v>
      </c>
      <c r="W48" s="3">
        <v>5.14</v>
      </c>
      <c r="X48" s="3">
        <v>5.41</v>
      </c>
      <c r="Y48" s="3">
        <v>5.27</v>
      </c>
      <c r="Z48" s="5">
        <v>113.5</v>
      </c>
      <c r="AA48" s="5"/>
      <c r="AB48" s="5"/>
      <c r="AC48" s="5"/>
      <c r="AD48" s="5"/>
      <c r="AE48" s="5"/>
      <c r="AF48" s="5"/>
      <c r="AG48" s="5">
        <v>4.5</v>
      </c>
      <c r="AH48" s="5"/>
      <c r="AI48" s="5"/>
      <c r="AJ48" s="5"/>
      <c r="AK48" s="5"/>
      <c r="AL48" s="5"/>
      <c r="AM48" s="5"/>
      <c r="AN48" s="20">
        <v>2.8</v>
      </c>
      <c r="AO48" s="5"/>
      <c r="AP48" s="5"/>
      <c r="AQ48" s="5"/>
      <c r="AR48" s="3">
        <v>10</v>
      </c>
      <c r="AS48" s="5"/>
      <c r="AT48" s="3">
        <v>35</v>
      </c>
      <c r="AU48" s="3">
        <v>1</v>
      </c>
      <c r="AV48" s="3">
        <v>1</v>
      </c>
      <c r="AW48" s="3">
        <v>0.1</v>
      </c>
      <c r="AX48" s="3">
        <v>1</v>
      </c>
    </row>
    <row r="49" s="1" customFormat="1" customHeight="1" spans="1:50">
      <c r="A49" s="18">
        <v>47</v>
      </c>
      <c r="B49" s="27">
        <v>44256</v>
      </c>
      <c r="C49" s="5"/>
      <c r="D49" s="23">
        <v>700</v>
      </c>
      <c r="E49" s="3">
        <v>400</v>
      </c>
      <c r="F49" s="3">
        <v>390</v>
      </c>
      <c r="G49" s="3">
        <v>93</v>
      </c>
      <c r="H49" s="3">
        <v>35</v>
      </c>
      <c r="I49" s="3">
        <v>125</v>
      </c>
      <c r="J49" s="3">
        <v>45</v>
      </c>
      <c r="K49" s="5"/>
      <c r="L49" s="3">
        <f t="shared" si="3"/>
        <v>0.571428571428571</v>
      </c>
      <c r="M49" s="5">
        <f t="shared" si="5"/>
        <v>0.491685714285714</v>
      </c>
      <c r="N49" s="5">
        <f t="shared" si="0"/>
        <v>344.18</v>
      </c>
      <c r="O49" s="5"/>
      <c r="P49" s="5"/>
      <c r="Q49" s="5"/>
      <c r="R49" s="3">
        <v>7.5</v>
      </c>
      <c r="S49" s="5"/>
      <c r="T49" s="5"/>
      <c r="U49" s="3">
        <v>13.3</v>
      </c>
      <c r="V49" s="3">
        <v>8.28</v>
      </c>
      <c r="W49" s="5"/>
      <c r="X49" s="3">
        <v>2</v>
      </c>
      <c r="Y49" s="5"/>
      <c r="Z49" s="5">
        <v>307.5</v>
      </c>
      <c r="AA49" s="5"/>
      <c r="AB49" s="5"/>
      <c r="AC49" s="5"/>
      <c r="AD49" s="5"/>
      <c r="AE49" s="5"/>
      <c r="AF49" s="5"/>
      <c r="AG49" s="5">
        <v>5.6</v>
      </c>
      <c r="AH49" s="5"/>
      <c r="AI49" s="5"/>
      <c r="AJ49" s="5"/>
      <c r="AK49" s="5"/>
      <c r="AL49" s="5"/>
      <c r="AM49" s="5"/>
      <c r="AN49" s="21"/>
      <c r="AO49" s="5"/>
      <c r="AP49" s="5"/>
      <c r="AQ49" s="5"/>
      <c r="AR49" s="5"/>
      <c r="AS49" s="5"/>
      <c r="AT49" s="3">
        <v>35</v>
      </c>
      <c r="AU49" s="3">
        <v>1</v>
      </c>
      <c r="AV49" s="3">
        <v>1</v>
      </c>
      <c r="AW49" s="3">
        <v>0.1</v>
      </c>
      <c r="AX49" s="3">
        <v>1</v>
      </c>
    </row>
    <row r="50" s="1" customFormat="1" customHeight="1" spans="1:50">
      <c r="A50" s="18">
        <v>48</v>
      </c>
      <c r="B50" s="27">
        <v>44256</v>
      </c>
      <c r="C50" s="5"/>
      <c r="D50" s="23">
        <v>650</v>
      </c>
      <c r="E50" s="3">
        <v>372</v>
      </c>
      <c r="F50" s="3">
        <v>360</v>
      </c>
      <c r="G50" s="3"/>
      <c r="H50" s="3">
        <v>35</v>
      </c>
      <c r="I50" s="3"/>
      <c r="J50" s="3">
        <v>45</v>
      </c>
      <c r="K50" s="5"/>
      <c r="L50" s="3">
        <f t="shared" si="3"/>
        <v>0.572307692307692</v>
      </c>
      <c r="M50" s="5">
        <f t="shared" si="5"/>
        <v>0.382584615384615</v>
      </c>
      <c r="N50" s="5">
        <f t="shared" si="0"/>
        <v>248.68</v>
      </c>
      <c r="O50" s="5"/>
      <c r="P50" s="5">
        <v>14.8</v>
      </c>
      <c r="Q50" s="5"/>
      <c r="R50" s="3">
        <v>13</v>
      </c>
      <c r="S50" s="5"/>
      <c r="T50" s="5">
        <f>13.1+15.38</f>
        <v>28.48</v>
      </c>
      <c r="U50" s="5"/>
      <c r="V50" s="3">
        <v>8.4</v>
      </c>
      <c r="W50" s="5"/>
      <c r="X50" s="3">
        <v>6.5</v>
      </c>
      <c r="Y50" s="3">
        <v>5.8</v>
      </c>
      <c r="Z50" s="5">
        <v>70</v>
      </c>
      <c r="AA50" s="3">
        <v>8.8</v>
      </c>
      <c r="AB50" s="5">
        <v>7</v>
      </c>
      <c r="AC50" s="3">
        <v>31.37</v>
      </c>
      <c r="AD50" s="5"/>
      <c r="AE50" s="5"/>
      <c r="AF50" s="5">
        <v>1.9</v>
      </c>
      <c r="AG50" s="3">
        <v>7</v>
      </c>
      <c r="AH50" s="5"/>
      <c r="AI50" s="5"/>
      <c r="AJ50" s="5"/>
      <c r="AK50" s="5"/>
      <c r="AL50" s="5"/>
      <c r="AM50" s="5"/>
      <c r="AN50" s="21"/>
      <c r="AO50" s="5"/>
      <c r="AP50" s="5">
        <v>5.13</v>
      </c>
      <c r="AQ50" s="3">
        <v>11.5</v>
      </c>
      <c r="AR50" s="3">
        <v>29</v>
      </c>
      <c r="AS50" s="5"/>
      <c r="AT50" s="3">
        <v>140</v>
      </c>
      <c r="AU50" s="3">
        <v>1</v>
      </c>
      <c r="AV50" s="3">
        <v>1</v>
      </c>
      <c r="AW50" s="3">
        <v>0.1</v>
      </c>
      <c r="AX50" s="3">
        <v>1</v>
      </c>
    </row>
    <row r="51" s="1" customFormat="1" customHeight="1" spans="1:50">
      <c r="A51" s="18">
        <v>49</v>
      </c>
      <c r="B51" s="27">
        <v>44257</v>
      </c>
      <c r="C51" s="5"/>
      <c r="D51" s="23">
        <v>710</v>
      </c>
      <c r="E51" s="3">
        <v>404</v>
      </c>
      <c r="F51" s="3">
        <v>393</v>
      </c>
      <c r="G51" s="3">
        <v>120</v>
      </c>
      <c r="H51" s="3">
        <v>35</v>
      </c>
      <c r="I51" s="3">
        <v>165</v>
      </c>
      <c r="J51" s="3">
        <v>48</v>
      </c>
      <c r="K51" s="5"/>
      <c r="L51" s="3">
        <f t="shared" si="3"/>
        <v>0.569014084507042</v>
      </c>
      <c r="M51" s="5">
        <f t="shared" si="5"/>
        <v>0.558450704225352</v>
      </c>
      <c r="N51" s="5">
        <f t="shared" si="0"/>
        <v>396.5</v>
      </c>
      <c r="O51" s="5"/>
      <c r="P51" s="5">
        <f>9.8+26.4+1.4</f>
        <v>37.6</v>
      </c>
      <c r="Q51" s="5"/>
      <c r="R51" s="3">
        <v>300.7</v>
      </c>
      <c r="S51" s="5"/>
      <c r="T51" s="5"/>
      <c r="U51" s="5">
        <v>20.2</v>
      </c>
      <c r="V51" s="5"/>
      <c r="W51" s="5"/>
      <c r="X51" s="3">
        <v>7.5</v>
      </c>
      <c r="Y51" s="5"/>
      <c r="Z51" s="5">
        <v>5</v>
      </c>
      <c r="AA51" s="5"/>
      <c r="AB51" s="5">
        <v>8.3</v>
      </c>
      <c r="AC51" s="5"/>
      <c r="AD51" s="5"/>
      <c r="AE51" s="5">
        <v>8.2</v>
      </c>
      <c r="AF51" s="5"/>
      <c r="AG51" s="3">
        <v>5</v>
      </c>
      <c r="AH51" s="5"/>
      <c r="AI51" s="5"/>
      <c r="AJ51" s="5"/>
      <c r="AK51" s="5"/>
      <c r="AL51" s="5"/>
      <c r="AM51" s="5"/>
      <c r="AN51" s="20">
        <v>4</v>
      </c>
      <c r="AO51" s="5"/>
      <c r="AP51" s="5"/>
      <c r="AQ51" s="5"/>
      <c r="AR51" s="5"/>
      <c r="AS51" s="5"/>
      <c r="AT51" s="3"/>
      <c r="AU51" s="3">
        <v>1</v>
      </c>
      <c r="AV51" s="3">
        <v>1</v>
      </c>
      <c r="AW51" s="3">
        <v>0.1</v>
      </c>
      <c r="AX51" s="3">
        <v>1</v>
      </c>
    </row>
    <row r="52" s="1" customFormat="1" customHeight="1" spans="1:50">
      <c r="A52" s="18">
        <v>50</v>
      </c>
      <c r="B52" s="27">
        <v>44257</v>
      </c>
      <c r="C52" s="5"/>
      <c r="D52" s="23">
        <v>710</v>
      </c>
      <c r="E52" s="3">
        <v>415</v>
      </c>
      <c r="F52" s="3">
        <v>405</v>
      </c>
      <c r="G52" s="3"/>
      <c r="H52" s="3">
        <v>35</v>
      </c>
      <c r="I52" s="3"/>
      <c r="J52" s="3">
        <v>48</v>
      </c>
      <c r="K52" s="5"/>
      <c r="L52" s="3">
        <f t="shared" si="3"/>
        <v>0.584507042253521</v>
      </c>
      <c r="M52" s="5">
        <f t="shared" si="5"/>
        <v>0.248760563380282</v>
      </c>
      <c r="N52" s="5">
        <f t="shared" si="0"/>
        <v>176.62</v>
      </c>
      <c r="O52" s="5"/>
      <c r="P52" s="5"/>
      <c r="Q52" s="5"/>
      <c r="R52" s="5">
        <v>9.32</v>
      </c>
      <c r="S52" s="5"/>
      <c r="T52" s="5">
        <f>7.6+14.8+0.4+12</f>
        <v>34.8</v>
      </c>
      <c r="U52" s="5"/>
      <c r="V52" s="5">
        <f>11.3+8.9+8.2+6.5</f>
        <v>34.9</v>
      </c>
      <c r="W52" s="5">
        <f>4.7+9.7+7.1+5.3</f>
        <v>26.8</v>
      </c>
      <c r="X52" s="3">
        <v>20.5</v>
      </c>
      <c r="Y52" s="5"/>
      <c r="Z52" s="5">
        <v>1.8</v>
      </c>
      <c r="AA52" s="5"/>
      <c r="AB52" s="5"/>
      <c r="AC52" s="5">
        <v>11.7</v>
      </c>
      <c r="AD52" s="5">
        <v>3.3</v>
      </c>
      <c r="AE52" s="5"/>
      <c r="AF52" s="5"/>
      <c r="AG52" s="3">
        <v>5</v>
      </c>
      <c r="AH52" s="5"/>
      <c r="AI52" s="5"/>
      <c r="AJ52" s="5"/>
      <c r="AK52" s="5"/>
      <c r="AL52" s="5"/>
      <c r="AM52" s="5"/>
      <c r="AN52" s="21"/>
      <c r="AO52" s="5"/>
      <c r="AP52" s="5">
        <v>3.5</v>
      </c>
      <c r="AQ52" s="5"/>
      <c r="AR52" s="5">
        <v>25</v>
      </c>
      <c r="AS52" s="5"/>
      <c r="AT52" s="3">
        <v>35</v>
      </c>
      <c r="AU52" s="3">
        <v>1</v>
      </c>
      <c r="AV52" s="3">
        <v>1</v>
      </c>
      <c r="AW52" s="3">
        <v>0</v>
      </c>
      <c r="AX52" s="3">
        <v>1</v>
      </c>
    </row>
    <row r="53" s="1" customFormat="1" customHeight="1" spans="1:50">
      <c r="A53" s="18">
        <v>51</v>
      </c>
      <c r="B53" s="27">
        <v>44257</v>
      </c>
      <c r="C53" s="5"/>
      <c r="D53" s="23">
        <v>710</v>
      </c>
      <c r="E53" s="3">
        <v>372.5</v>
      </c>
      <c r="F53" s="3">
        <v>360</v>
      </c>
      <c r="G53" s="3"/>
      <c r="H53" s="3">
        <v>35</v>
      </c>
      <c r="I53" s="3"/>
      <c r="J53" s="3">
        <v>48</v>
      </c>
      <c r="K53" s="5"/>
      <c r="L53" s="3">
        <f t="shared" si="3"/>
        <v>0.524647887323944</v>
      </c>
      <c r="M53" s="5">
        <f t="shared" si="5"/>
        <v>0.328098591549296</v>
      </c>
      <c r="N53" s="5">
        <f t="shared" si="0"/>
        <v>232.95</v>
      </c>
      <c r="O53" s="5"/>
      <c r="P53" s="5"/>
      <c r="Q53" s="5"/>
      <c r="R53" s="5">
        <v>9</v>
      </c>
      <c r="S53" s="5"/>
      <c r="T53" s="5">
        <f>10.6+11.5+13.2+16.4+6.4+6.4+13.3+7.3+0.7</f>
        <v>85.8</v>
      </c>
      <c r="U53" s="5"/>
      <c r="V53" s="5">
        <f>3.7+6.25+17.6</f>
        <v>27.55</v>
      </c>
      <c r="W53" s="5">
        <f>4.5+5.6</f>
        <v>10.1</v>
      </c>
      <c r="X53" s="3">
        <v>4</v>
      </c>
      <c r="Y53" s="5"/>
      <c r="Z53" s="5">
        <v>12.5</v>
      </c>
      <c r="AA53" s="5"/>
      <c r="AB53" s="5"/>
      <c r="AC53" s="5"/>
      <c r="AD53" s="5"/>
      <c r="AE53" s="5"/>
      <c r="AF53" s="5"/>
      <c r="AG53" s="3">
        <v>5</v>
      </c>
      <c r="AH53" s="5"/>
      <c r="AI53" s="5"/>
      <c r="AJ53" s="5"/>
      <c r="AK53" s="5"/>
      <c r="AL53" s="5"/>
      <c r="AM53" s="5"/>
      <c r="AN53" s="21"/>
      <c r="AO53" s="5"/>
      <c r="AP53" s="5"/>
      <c r="AQ53" s="5">
        <v>9</v>
      </c>
      <c r="AR53" s="5">
        <f>36+1+18+2+13</f>
        <v>70</v>
      </c>
      <c r="AS53" s="5"/>
      <c r="AT53" s="3">
        <v>35</v>
      </c>
      <c r="AU53" s="3">
        <v>1</v>
      </c>
      <c r="AV53" s="3">
        <v>1</v>
      </c>
      <c r="AW53" s="3">
        <v>0</v>
      </c>
      <c r="AX53" s="3">
        <v>1</v>
      </c>
    </row>
    <row r="54" s="1" customFormat="1" customHeight="1" spans="1:50">
      <c r="A54" s="18">
        <v>52</v>
      </c>
      <c r="B54" s="27">
        <v>44257</v>
      </c>
      <c r="C54" s="5"/>
      <c r="D54" s="23">
        <v>720</v>
      </c>
      <c r="E54" s="3">
        <v>399</v>
      </c>
      <c r="F54" s="3">
        <v>389</v>
      </c>
      <c r="G54" s="3"/>
      <c r="H54" s="3">
        <v>35</v>
      </c>
      <c r="I54" s="3"/>
      <c r="J54" s="3">
        <v>48</v>
      </c>
      <c r="K54" s="5"/>
      <c r="L54" s="3">
        <f t="shared" si="3"/>
        <v>0.554166666666667</v>
      </c>
      <c r="M54" s="5">
        <f t="shared" si="5"/>
        <v>0.324652777777778</v>
      </c>
      <c r="N54" s="5">
        <f t="shared" si="0"/>
        <v>233.75</v>
      </c>
      <c r="O54" s="5"/>
      <c r="P54" s="5">
        <f>17+10.7+2.2</f>
        <v>29.9</v>
      </c>
      <c r="Q54" s="5"/>
      <c r="R54" s="5">
        <v>16</v>
      </c>
      <c r="S54" s="5"/>
      <c r="T54" s="5">
        <v>29</v>
      </c>
      <c r="U54" s="5">
        <f>16.6+13.5+7.8</f>
        <v>37.9</v>
      </c>
      <c r="V54" s="5">
        <v>7.1</v>
      </c>
      <c r="W54" s="5">
        <v>8.8</v>
      </c>
      <c r="X54" s="3">
        <v>6</v>
      </c>
      <c r="Y54" s="5"/>
      <c r="Z54" s="5">
        <v>32</v>
      </c>
      <c r="AA54" s="5">
        <v>5.4</v>
      </c>
      <c r="AB54" s="5"/>
      <c r="AC54" s="5">
        <f>15+10.75</f>
        <v>25.75</v>
      </c>
      <c r="AD54" s="5"/>
      <c r="AE54" s="5">
        <v>11.4</v>
      </c>
      <c r="AF54" s="5"/>
      <c r="AG54" s="3">
        <v>5</v>
      </c>
      <c r="AH54" s="5"/>
      <c r="AI54" s="5"/>
      <c r="AJ54" s="5"/>
      <c r="AK54" s="5"/>
      <c r="AL54" s="5"/>
      <c r="AM54" s="5"/>
      <c r="AN54" s="21"/>
      <c r="AO54" s="5"/>
      <c r="AP54" s="5">
        <v>2.5</v>
      </c>
      <c r="AQ54" s="5"/>
      <c r="AR54" s="5">
        <v>17</v>
      </c>
      <c r="AS54" s="5"/>
      <c r="AT54" s="3">
        <v>35</v>
      </c>
      <c r="AU54" s="3">
        <v>1</v>
      </c>
      <c r="AV54" s="3">
        <v>1</v>
      </c>
      <c r="AW54" s="3">
        <v>0.1</v>
      </c>
      <c r="AX54" s="3">
        <v>1</v>
      </c>
    </row>
    <row r="55" s="1" customFormat="1" customHeight="1" spans="1:50">
      <c r="A55" s="18">
        <v>53</v>
      </c>
      <c r="B55" s="27">
        <v>44262</v>
      </c>
      <c r="C55" s="5"/>
      <c r="D55" s="23">
        <v>720</v>
      </c>
      <c r="E55" s="3">
        <v>402</v>
      </c>
      <c r="F55" s="3">
        <v>391</v>
      </c>
      <c r="G55" s="3">
        <v>90</v>
      </c>
      <c r="H55" s="3">
        <v>35</v>
      </c>
      <c r="I55" s="3">
        <v>149</v>
      </c>
      <c r="J55" s="3">
        <v>45</v>
      </c>
      <c r="K55" s="5"/>
      <c r="L55" s="3">
        <f t="shared" si="3"/>
        <v>0.558333333333333</v>
      </c>
      <c r="M55" s="5">
        <f t="shared" si="5"/>
        <v>0.288263888888889</v>
      </c>
      <c r="N55" s="5">
        <f t="shared" si="0"/>
        <v>207.55</v>
      </c>
      <c r="O55" s="5"/>
      <c r="P55" s="5">
        <v>10.4</v>
      </c>
      <c r="Q55" s="5"/>
      <c r="R55" s="5">
        <v>12.7</v>
      </c>
      <c r="S55" s="5"/>
      <c r="T55" s="5"/>
      <c r="U55" s="5">
        <v>14.2</v>
      </c>
      <c r="V55" s="5"/>
      <c r="W55" s="5"/>
      <c r="X55" s="3">
        <v>7.6</v>
      </c>
      <c r="Y55" s="5">
        <v>3.4</v>
      </c>
      <c r="Z55" s="5">
        <v>82.5</v>
      </c>
      <c r="AA55" s="5">
        <v>6.5</v>
      </c>
      <c r="AB55" s="5">
        <v>5.5</v>
      </c>
      <c r="AC55" s="5"/>
      <c r="AD55" s="5">
        <v>7.35</v>
      </c>
      <c r="AE55" s="5">
        <v>4.4</v>
      </c>
      <c r="AF55" s="5">
        <f>1+4.14+0.86</f>
        <v>6</v>
      </c>
      <c r="AG55" s="3">
        <v>5</v>
      </c>
      <c r="AH55" s="5"/>
      <c r="AI55" s="5"/>
      <c r="AJ55" s="5"/>
      <c r="AK55" s="5"/>
      <c r="AL55" s="5"/>
      <c r="AM55" s="5"/>
      <c r="AN55" s="21"/>
      <c r="AO55" s="5"/>
      <c r="AP55" s="5"/>
      <c r="AQ55" s="5">
        <f>1+3+10+7+3</f>
        <v>24</v>
      </c>
      <c r="AR55" s="5">
        <v>18</v>
      </c>
      <c r="AS55" s="5"/>
      <c r="AT55" s="3">
        <v>35</v>
      </c>
      <c r="AU55" s="3">
        <v>1</v>
      </c>
      <c r="AV55" s="3">
        <v>1</v>
      </c>
      <c r="AW55" s="3">
        <v>0.1</v>
      </c>
      <c r="AX55" s="3">
        <v>1</v>
      </c>
    </row>
    <row r="56" s="1" customFormat="1" customHeight="1" spans="1:50">
      <c r="A56" s="18">
        <v>54</v>
      </c>
      <c r="B56" s="27">
        <v>44262</v>
      </c>
      <c r="C56" s="5"/>
      <c r="D56" s="23">
        <v>720</v>
      </c>
      <c r="E56" s="3">
        <v>390</v>
      </c>
      <c r="F56" s="3">
        <v>380</v>
      </c>
      <c r="G56" s="3"/>
      <c r="H56" s="3">
        <v>35</v>
      </c>
      <c r="I56" s="3"/>
      <c r="J56" s="3">
        <v>45</v>
      </c>
      <c r="K56" s="5"/>
      <c r="L56" s="3">
        <f t="shared" si="3"/>
        <v>0.541666666666667</v>
      </c>
      <c r="M56" s="5">
        <f t="shared" si="5"/>
        <v>0.325722222222222</v>
      </c>
      <c r="N56" s="5">
        <f t="shared" si="0"/>
        <v>234.52</v>
      </c>
      <c r="O56" s="5"/>
      <c r="P56" s="5">
        <v>8.3</v>
      </c>
      <c r="Q56" s="5"/>
      <c r="R56" s="5">
        <v>99</v>
      </c>
      <c r="S56" s="5"/>
      <c r="T56" s="5">
        <f>7.18+12.55+6.3+3</f>
        <v>29.03</v>
      </c>
      <c r="U56" s="5">
        <v>14.85</v>
      </c>
      <c r="V56" s="5">
        <v>8.2</v>
      </c>
      <c r="W56" s="5"/>
      <c r="X56" s="3">
        <v>9.5</v>
      </c>
      <c r="Y56" s="5"/>
      <c r="Z56" s="5">
        <v>4.5</v>
      </c>
      <c r="AA56" s="5"/>
      <c r="AB56" s="5"/>
      <c r="AC56" s="5">
        <v>9.5</v>
      </c>
      <c r="AD56" s="5"/>
      <c r="AE56" s="5">
        <v>18.14</v>
      </c>
      <c r="AF56" s="5"/>
      <c r="AG56" s="3">
        <v>5</v>
      </c>
      <c r="AH56" s="5"/>
      <c r="AI56" s="5"/>
      <c r="AJ56" s="5"/>
      <c r="AK56" s="5"/>
      <c r="AL56" s="5"/>
      <c r="AM56" s="5"/>
      <c r="AN56" s="22"/>
      <c r="AO56" s="5"/>
      <c r="AP56" s="5">
        <v>2.5</v>
      </c>
      <c r="AQ56" s="5">
        <v>1</v>
      </c>
      <c r="AR56" s="5">
        <v>25</v>
      </c>
      <c r="AS56" s="5"/>
      <c r="AT56" s="3">
        <v>35</v>
      </c>
      <c r="AU56" s="3">
        <v>1</v>
      </c>
      <c r="AV56" s="3">
        <v>1</v>
      </c>
      <c r="AW56" s="3">
        <v>0.1</v>
      </c>
      <c r="AX56" s="3">
        <v>1</v>
      </c>
    </row>
    <row r="57" s="1" customFormat="1" customHeight="1" spans="1:50">
      <c r="A57" s="18">
        <v>55</v>
      </c>
      <c r="B57" s="27">
        <v>44262</v>
      </c>
      <c r="C57" s="5"/>
      <c r="D57" s="23">
        <v>710</v>
      </c>
      <c r="E57" s="3">
        <v>389</v>
      </c>
      <c r="F57" s="3">
        <v>378</v>
      </c>
      <c r="G57" s="3"/>
      <c r="H57" s="3">
        <v>35</v>
      </c>
      <c r="I57" s="3"/>
      <c r="J57" s="3">
        <v>45</v>
      </c>
      <c r="K57" s="5"/>
      <c r="L57" s="3">
        <f t="shared" si="3"/>
        <v>0.547887323943662</v>
      </c>
      <c r="M57" s="5">
        <f t="shared" si="5"/>
        <v>0.819859154929577</v>
      </c>
      <c r="N57" s="5">
        <f t="shared" si="0"/>
        <v>582.1</v>
      </c>
      <c r="O57" s="5"/>
      <c r="P57" s="5">
        <v>6.4</v>
      </c>
      <c r="Q57" s="5"/>
      <c r="R57" s="5">
        <v>74</v>
      </c>
      <c r="S57" s="5"/>
      <c r="T57" s="5">
        <v>14.1</v>
      </c>
      <c r="U57" s="5"/>
      <c r="V57" s="5"/>
      <c r="W57" s="5"/>
      <c r="X57" s="3">
        <v>3</v>
      </c>
      <c r="Y57" s="5"/>
      <c r="Z57" s="5">
        <v>94.5</v>
      </c>
      <c r="AA57" s="5"/>
      <c r="AB57" s="5">
        <v>210</v>
      </c>
      <c r="AC57" s="5"/>
      <c r="AD57" s="5">
        <f>8.8+138</f>
        <v>146.8</v>
      </c>
      <c r="AE57" s="5"/>
      <c r="AF57" s="5"/>
      <c r="AG57" s="3">
        <v>5</v>
      </c>
      <c r="AH57" s="5"/>
      <c r="AI57" s="5"/>
      <c r="AJ57" s="5"/>
      <c r="AK57" s="5"/>
      <c r="AL57" s="5"/>
      <c r="AM57" s="5"/>
      <c r="AN57" s="20">
        <v>3</v>
      </c>
      <c r="AO57" s="5"/>
      <c r="AP57" s="5"/>
      <c r="AQ57" s="5">
        <v>2</v>
      </c>
      <c r="AR57" s="5">
        <v>23.3</v>
      </c>
      <c r="AS57" s="5"/>
      <c r="AT57" s="3">
        <v>35</v>
      </c>
      <c r="AU57" s="3">
        <v>1</v>
      </c>
      <c r="AV57" s="3">
        <v>1</v>
      </c>
      <c r="AW57" s="3">
        <v>0.1</v>
      </c>
      <c r="AX57" s="3">
        <v>1</v>
      </c>
    </row>
    <row r="58" s="1" customFormat="1" customHeight="1" spans="1:50">
      <c r="A58" s="18">
        <v>56</v>
      </c>
      <c r="B58" s="27">
        <v>44264</v>
      </c>
      <c r="C58" s="5"/>
      <c r="D58" s="23">
        <v>1000</v>
      </c>
      <c r="E58" s="3">
        <v>514.5</v>
      </c>
      <c r="F58" s="3">
        <v>504</v>
      </c>
      <c r="G58" s="3">
        <v>110</v>
      </c>
      <c r="H58" s="3">
        <v>56</v>
      </c>
      <c r="I58" s="3">
        <v>180</v>
      </c>
      <c r="J58" s="3">
        <v>62</v>
      </c>
      <c r="K58" s="5"/>
      <c r="L58" s="3">
        <f t="shared" si="3"/>
        <v>0.5145</v>
      </c>
      <c r="M58" s="5">
        <f t="shared" si="5"/>
        <v>0.30205</v>
      </c>
      <c r="N58" s="5">
        <f t="shared" si="0"/>
        <v>302.05</v>
      </c>
      <c r="O58" s="5"/>
      <c r="P58" s="5">
        <v>6.15</v>
      </c>
      <c r="Q58" s="5"/>
      <c r="R58" s="5">
        <v>65</v>
      </c>
      <c r="S58" s="5"/>
      <c r="T58" s="5"/>
      <c r="U58" s="5"/>
      <c r="V58" s="5">
        <v>15.9</v>
      </c>
      <c r="W58" s="5"/>
      <c r="X58" s="3">
        <v>5.2</v>
      </c>
      <c r="Y58" s="5"/>
      <c r="Z58" s="5">
        <v>198</v>
      </c>
      <c r="AA58" s="5"/>
      <c r="AB58" s="5">
        <v>6.8</v>
      </c>
      <c r="AC58" s="5"/>
      <c r="AD58" s="5"/>
      <c r="AE58" s="5"/>
      <c r="AF58" s="5"/>
      <c r="AG58" s="3">
        <v>5</v>
      </c>
      <c r="AH58" s="5"/>
      <c r="AI58" s="5"/>
      <c r="AJ58" s="5"/>
      <c r="AK58" s="5"/>
      <c r="AL58" s="5"/>
      <c r="AM58" s="5"/>
      <c r="AN58" s="21"/>
      <c r="AO58" s="5"/>
      <c r="AP58" s="5"/>
      <c r="AQ58" s="5"/>
      <c r="AR58" s="5"/>
      <c r="AS58" s="5"/>
      <c r="AT58" s="3">
        <v>55</v>
      </c>
      <c r="AU58" s="3">
        <v>1</v>
      </c>
      <c r="AV58" s="3">
        <v>1</v>
      </c>
      <c r="AW58" s="3">
        <v>0</v>
      </c>
      <c r="AX58" s="3">
        <v>1</v>
      </c>
    </row>
    <row r="59" s="1" customFormat="1" customHeight="1" spans="1:50">
      <c r="A59" s="18">
        <v>57</v>
      </c>
      <c r="B59" s="27">
        <v>44264</v>
      </c>
      <c r="C59" s="5"/>
      <c r="D59" s="23">
        <v>600</v>
      </c>
      <c r="E59" s="3">
        <v>322</v>
      </c>
      <c r="F59" s="3">
        <v>312</v>
      </c>
      <c r="G59" s="3"/>
      <c r="H59" s="3">
        <v>32</v>
      </c>
      <c r="I59" s="3"/>
      <c r="J59" s="3">
        <v>41</v>
      </c>
      <c r="K59" s="5"/>
      <c r="L59" s="3">
        <f t="shared" si="3"/>
        <v>0.536666666666667</v>
      </c>
      <c r="M59" s="5">
        <f t="shared" si="5"/>
        <v>0.665466666666667</v>
      </c>
      <c r="N59" s="5">
        <f t="shared" si="0"/>
        <v>399.28</v>
      </c>
      <c r="O59" s="5"/>
      <c r="P59" s="5">
        <v>25</v>
      </c>
      <c r="Q59" s="5"/>
      <c r="R59" s="5">
        <v>117.5</v>
      </c>
      <c r="S59" s="5"/>
      <c r="T59" s="5">
        <v>4.9</v>
      </c>
      <c r="U59" s="5"/>
      <c r="V59" s="5"/>
      <c r="W59" s="5"/>
      <c r="X59" s="3">
        <v>4.95</v>
      </c>
      <c r="Y59" s="5"/>
      <c r="Z59" s="5">
        <v>159</v>
      </c>
      <c r="AA59" s="5"/>
      <c r="AB59" s="5"/>
      <c r="AC59" s="5">
        <v>7.2</v>
      </c>
      <c r="AD59" s="5"/>
      <c r="AE59" s="5"/>
      <c r="AF59" s="5">
        <f>3.48+0.25</f>
        <v>3.73</v>
      </c>
      <c r="AG59" s="3">
        <v>5</v>
      </c>
      <c r="AH59" s="5"/>
      <c r="AI59" s="5"/>
      <c r="AJ59" s="5"/>
      <c r="AK59" s="5"/>
      <c r="AL59" s="5"/>
      <c r="AM59" s="5"/>
      <c r="AN59" s="21"/>
      <c r="AO59" s="5"/>
      <c r="AP59" s="5"/>
      <c r="AQ59" s="5">
        <v>17</v>
      </c>
      <c r="AR59" s="5">
        <v>55</v>
      </c>
      <c r="AS59" s="5"/>
      <c r="AT59" s="3">
        <v>30</v>
      </c>
      <c r="AU59" s="3">
        <v>1</v>
      </c>
      <c r="AV59" s="3">
        <v>1</v>
      </c>
      <c r="AW59" s="3">
        <v>0</v>
      </c>
      <c r="AX59" s="3">
        <v>1</v>
      </c>
    </row>
    <row r="60" s="1" customFormat="1" customHeight="1" spans="1:50">
      <c r="A60" s="18">
        <v>58</v>
      </c>
      <c r="B60" s="27">
        <v>44264</v>
      </c>
      <c r="C60" s="5"/>
      <c r="D60" s="23">
        <v>1000</v>
      </c>
      <c r="E60" s="3">
        <v>557.5</v>
      </c>
      <c r="F60" s="3">
        <v>547</v>
      </c>
      <c r="G60" s="3"/>
      <c r="H60" s="3">
        <v>55</v>
      </c>
      <c r="I60" s="3"/>
      <c r="J60" s="3">
        <v>60</v>
      </c>
      <c r="K60" s="5"/>
      <c r="L60" s="3">
        <f t="shared" si="3"/>
        <v>0.5575</v>
      </c>
      <c r="M60" s="5">
        <f t="shared" si="5"/>
        <v>0.11398</v>
      </c>
      <c r="N60" s="5">
        <f t="shared" si="0"/>
        <v>113.98</v>
      </c>
      <c r="O60" s="5"/>
      <c r="P60" s="5">
        <v>12.4</v>
      </c>
      <c r="Q60" s="5"/>
      <c r="R60" s="5">
        <v>8.5</v>
      </c>
      <c r="S60" s="5"/>
      <c r="T60" s="5">
        <v>10.9</v>
      </c>
      <c r="U60" s="5"/>
      <c r="V60" s="5">
        <v>16.5</v>
      </c>
      <c r="W60" s="5"/>
      <c r="X60" s="3">
        <v>4.1</v>
      </c>
      <c r="Y60" s="5"/>
      <c r="Z60" s="5">
        <v>8.5</v>
      </c>
      <c r="AA60" s="5"/>
      <c r="AB60" s="5">
        <v>5.9</v>
      </c>
      <c r="AC60" s="5"/>
      <c r="AD60" s="5">
        <v>12.5</v>
      </c>
      <c r="AE60" s="5"/>
      <c r="AF60" s="5"/>
      <c r="AG60" s="3">
        <v>5</v>
      </c>
      <c r="AH60" s="5"/>
      <c r="AI60" s="5"/>
      <c r="AJ60" s="5"/>
      <c r="AK60" s="5"/>
      <c r="AL60" s="5"/>
      <c r="AM60" s="5"/>
      <c r="AN60" s="22"/>
      <c r="AO60" s="5"/>
      <c r="AP60" s="5"/>
      <c r="AQ60" s="5">
        <v>13.68</v>
      </c>
      <c r="AR60" s="5">
        <v>16</v>
      </c>
      <c r="AS60" s="5"/>
      <c r="AT60" s="3">
        <v>55</v>
      </c>
      <c r="AU60" s="3">
        <v>1</v>
      </c>
      <c r="AV60" s="3">
        <v>1</v>
      </c>
      <c r="AW60" s="3">
        <v>0.1</v>
      </c>
      <c r="AX60" s="3">
        <v>1</v>
      </c>
    </row>
    <row r="61" s="1" customFormat="1" customHeight="1" spans="1:50">
      <c r="A61" s="18">
        <v>59</v>
      </c>
      <c r="B61" s="27">
        <v>44266</v>
      </c>
      <c r="C61" s="5" t="s">
        <v>55</v>
      </c>
      <c r="D61" s="23">
        <v>900</v>
      </c>
      <c r="E61" s="3">
        <v>511</v>
      </c>
      <c r="F61" s="3">
        <v>500</v>
      </c>
      <c r="G61" s="3">
        <v>100</v>
      </c>
      <c r="H61" s="3">
        <v>100</v>
      </c>
      <c r="I61" s="3">
        <v>146</v>
      </c>
      <c r="J61" s="3">
        <v>58</v>
      </c>
      <c r="K61" s="5"/>
      <c r="L61" s="3">
        <f t="shared" si="3"/>
        <v>0.567777777777778</v>
      </c>
      <c r="M61" s="5">
        <f t="shared" si="5"/>
        <v>0.360744444444445</v>
      </c>
      <c r="N61" s="5">
        <f t="shared" si="0"/>
        <v>324.67</v>
      </c>
      <c r="O61" s="5">
        <v>10.07</v>
      </c>
      <c r="P61" s="5">
        <f>4.7+6.5+5.9</f>
        <v>17.1</v>
      </c>
      <c r="Q61" s="5">
        <v>3.3</v>
      </c>
      <c r="R61" s="5">
        <v>3.7</v>
      </c>
      <c r="S61" s="5">
        <v>4.2</v>
      </c>
      <c r="T61" s="5">
        <v>32.8</v>
      </c>
      <c r="U61" s="5">
        <f>5.9+9.2</f>
        <v>15.1</v>
      </c>
      <c r="V61" s="5">
        <f>5.3+6</f>
        <v>11.3</v>
      </c>
      <c r="W61" s="5">
        <v>14.7</v>
      </c>
      <c r="X61" s="3">
        <v>5</v>
      </c>
      <c r="Y61" s="5">
        <v>5.2</v>
      </c>
      <c r="Z61" s="5">
        <f>5.9+6.6</f>
        <v>12.5</v>
      </c>
      <c r="AA61" s="5">
        <v>19.8</v>
      </c>
      <c r="AB61" s="5">
        <v>10.8</v>
      </c>
      <c r="AC61" s="5">
        <v>14</v>
      </c>
      <c r="AD61" s="5">
        <f>2.9+4.8+6.8</f>
        <v>14.5</v>
      </c>
      <c r="AE61" s="5">
        <f>3.9+4.6+3</f>
        <v>11.5</v>
      </c>
      <c r="AF61" s="5">
        <v>1.8</v>
      </c>
      <c r="AG61" s="3">
        <v>5</v>
      </c>
      <c r="AH61" s="5"/>
      <c r="AI61" s="5"/>
      <c r="AJ61" s="5"/>
      <c r="AK61" s="5"/>
      <c r="AL61" s="5"/>
      <c r="AM61" s="5"/>
      <c r="AN61" s="5">
        <v>2.3</v>
      </c>
      <c r="AO61" s="5"/>
      <c r="AP61" s="5">
        <v>10</v>
      </c>
      <c r="AQ61" s="5">
        <v>19</v>
      </c>
      <c r="AR61" s="5">
        <v>81</v>
      </c>
      <c r="AS61" s="5"/>
      <c r="AT61" s="3">
        <v>100</v>
      </c>
      <c r="AU61" s="3">
        <v>0</v>
      </c>
      <c r="AV61" s="3">
        <v>1</v>
      </c>
      <c r="AW61" s="3">
        <v>0.1</v>
      </c>
      <c r="AX61" s="3">
        <v>1</v>
      </c>
    </row>
    <row r="62" s="1" customFormat="1" customHeight="1" spans="1:50">
      <c r="A62" s="18">
        <v>60</v>
      </c>
      <c r="B62" s="27">
        <v>44266</v>
      </c>
      <c r="C62" s="5"/>
      <c r="D62" s="23">
        <v>830</v>
      </c>
      <c r="E62" s="3">
        <v>470</v>
      </c>
      <c r="F62" s="3">
        <v>460</v>
      </c>
      <c r="G62" s="3"/>
      <c r="H62" s="3">
        <v>35</v>
      </c>
      <c r="I62" s="3"/>
      <c r="J62" s="3">
        <v>53</v>
      </c>
      <c r="K62" s="5"/>
      <c r="L62" s="3">
        <f t="shared" si="3"/>
        <v>0.566265060240964</v>
      </c>
      <c r="M62" s="5">
        <f t="shared" si="5"/>
        <v>0.382144578313253</v>
      </c>
      <c r="N62" s="5">
        <f t="shared" si="0"/>
        <v>317.18</v>
      </c>
      <c r="O62" s="5"/>
      <c r="P62" s="5">
        <v>79.9</v>
      </c>
      <c r="Q62" s="5"/>
      <c r="R62" s="5">
        <v>11</v>
      </c>
      <c r="S62" s="5"/>
      <c r="T62" s="5">
        <f>9+11.8+9.5+9.4+8.6+9.6+0.8+5.9+7.7+4.9</f>
        <v>77.2</v>
      </c>
      <c r="U62" s="5">
        <v>8.7</v>
      </c>
      <c r="V62" s="5">
        <f>8.5+6+8.3+7.3+6.9</f>
        <v>37</v>
      </c>
      <c r="W62" s="5">
        <f>14+4.6+5.1</f>
        <v>23.7</v>
      </c>
      <c r="X62" s="3">
        <v>2.99</v>
      </c>
      <c r="Y62" s="5">
        <v>4.5</v>
      </c>
      <c r="Z62" s="5">
        <v>5</v>
      </c>
      <c r="AA62" s="5"/>
      <c r="AB62" s="5"/>
      <c r="AC62" s="5">
        <v>10</v>
      </c>
      <c r="AD62" s="5"/>
      <c r="AE62" s="5">
        <f>9.9+7.5+3.2</f>
        <v>20.6</v>
      </c>
      <c r="AF62" s="5">
        <v>0.39</v>
      </c>
      <c r="AG62" s="3">
        <v>5</v>
      </c>
      <c r="AH62" s="5"/>
      <c r="AI62" s="5"/>
      <c r="AJ62" s="5"/>
      <c r="AK62" s="5"/>
      <c r="AL62" s="5"/>
      <c r="AM62" s="5"/>
      <c r="AN62" s="5">
        <v>1.6</v>
      </c>
      <c r="AO62" s="5"/>
      <c r="AP62" s="5">
        <v>1.6</v>
      </c>
      <c r="AQ62" s="5">
        <v>14</v>
      </c>
      <c r="AR62" s="5">
        <v>14</v>
      </c>
      <c r="AS62" s="5"/>
      <c r="AT62" s="3">
        <v>35</v>
      </c>
      <c r="AU62" s="3">
        <v>1</v>
      </c>
      <c r="AV62" s="3">
        <v>1</v>
      </c>
      <c r="AW62" s="3">
        <v>0.1</v>
      </c>
      <c r="AX62" s="3">
        <v>1</v>
      </c>
    </row>
    <row r="63" s="1" customFormat="1" customHeight="1" spans="1:50">
      <c r="A63" s="18">
        <v>61</v>
      </c>
      <c r="B63" s="27">
        <v>44266</v>
      </c>
      <c r="C63" s="5"/>
      <c r="D63" s="23">
        <v>820</v>
      </c>
      <c r="E63" s="3">
        <v>432.5</v>
      </c>
      <c r="F63" s="3">
        <v>422</v>
      </c>
      <c r="G63" s="3"/>
      <c r="H63" s="3">
        <v>35</v>
      </c>
      <c r="I63" s="3"/>
      <c r="J63" s="3">
        <v>52</v>
      </c>
      <c r="K63" s="5"/>
      <c r="L63" s="3">
        <f t="shared" si="3"/>
        <v>0.527439024390244</v>
      </c>
      <c r="M63" s="5">
        <f t="shared" si="5"/>
        <v>0.232414634146341</v>
      </c>
      <c r="N63" s="5">
        <f t="shared" si="0"/>
        <v>190.58</v>
      </c>
      <c r="O63" s="5"/>
      <c r="P63" s="5">
        <v>8.8</v>
      </c>
      <c r="Q63" s="5"/>
      <c r="R63" s="5">
        <v>44.5</v>
      </c>
      <c r="S63" s="5"/>
      <c r="T63" s="5">
        <v>7.3</v>
      </c>
      <c r="U63" s="5">
        <f>11.4+11.3</f>
        <v>22.7</v>
      </c>
      <c r="V63" s="5">
        <v>28.6</v>
      </c>
      <c r="W63" s="5"/>
      <c r="X63" s="3">
        <v>6.4</v>
      </c>
      <c r="Y63" s="5"/>
      <c r="Z63" s="5">
        <v>40.5</v>
      </c>
      <c r="AA63" s="5"/>
      <c r="AB63" s="5"/>
      <c r="AC63" s="5"/>
      <c r="AD63" s="5"/>
      <c r="AE63" s="5"/>
      <c r="AF63" s="5">
        <v>12.1</v>
      </c>
      <c r="AG63" s="3">
        <v>5</v>
      </c>
      <c r="AH63" s="5"/>
      <c r="AI63" s="5"/>
      <c r="AJ63" s="5"/>
      <c r="AK63" s="5"/>
      <c r="AL63" s="5"/>
      <c r="AM63" s="5"/>
      <c r="AN63" s="5"/>
      <c r="AO63" s="5"/>
      <c r="AP63" s="5">
        <v>0.68</v>
      </c>
      <c r="AQ63" s="5">
        <v>8</v>
      </c>
      <c r="AR63" s="5">
        <v>6</v>
      </c>
      <c r="AS63" s="5"/>
      <c r="AT63" s="3">
        <v>35</v>
      </c>
      <c r="AU63" s="3">
        <v>1</v>
      </c>
      <c r="AV63" s="3">
        <v>1</v>
      </c>
      <c r="AW63" s="3">
        <v>0.1</v>
      </c>
      <c r="AX63" s="3">
        <v>1</v>
      </c>
    </row>
    <row r="64" s="1" customFormat="1" customHeight="1" spans="1:50">
      <c r="A64" s="18">
        <v>62</v>
      </c>
      <c r="B64" s="27">
        <v>44270</v>
      </c>
      <c r="C64" s="5"/>
      <c r="D64" s="23">
        <v>740</v>
      </c>
      <c r="E64" s="3">
        <v>414.5</v>
      </c>
      <c r="F64" s="3">
        <v>404</v>
      </c>
      <c r="G64" s="3">
        <v>93</v>
      </c>
      <c r="H64" s="3">
        <v>35</v>
      </c>
      <c r="I64" s="3">
        <v>135</v>
      </c>
      <c r="J64" s="3">
        <v>48</v>
      </c>
      <c r="K64" s="5"/>
      <c r="L64" s="3">
        <f t="shared" si="3"/>
        <v>0.560135135135135</v>
      </c>
      <c r="M64" s="5">
        <f t="shared" si="5"/>
        <v>0.471162162162162</v>
      </c>
      <c r="N64" s="5">
        <f t="shared" si="0"/>
        <v>348.66</v>
      </c>
      <c r="O64" s="5"/>
      <c r="P64" s="5">
        <v>8.8</v>
      </c>
      <c r="Q64" s="5"/>
      <c r="R64" s="5">
        <v>86.5</v>
      </c>
      <c r="S64" s="5"/>
      <c r="T64" s="5">
        <v>5.2</v>
      </c>
      <c r="U64" s="5"/>
      <c r="V64" s="5">
        <f>9.5+14.3+7.4+10.6+5.7</f>
        <v>47.5</v>
      </c>
      <c r="W64" s="5"/>
      <c r="X64" s="3">
        <v>2.6</v>
      </c>
      <c r="Y64" s="5"/>
      <c r="Z64" s="5">
        <v>126.5</v>
      </c>
      <c r="AA64" s="5"/>
      <c r="AB64" s="5"/>
      <c r="AC64" s="5"/>
      <c r="AD64" s="5"/>
      <c r="AE64" s="5"/>
      <c r="AF64" s="5">
        <v>8</v>
      </c>
      <c r="AG64" s="3">
        <v>5</v>
      </c>
      <c r="AH64" s="5"/>
      <c r="AI64" s="5"/>
      <c r="AJ64" s="5"/>
      <c r="AK64" s="5"/>
      <c r="AL64" s="5"/>
      <c r="AM64" s="5"/>
      <c r="AN64" s="20">
        <v>4</v>
      </c>
      <c r="AO64" s="5"/>
      <c r="AP64" s="5">
        <v>0.56</v>
      </c>
      <c r="AQ64" s="5">
        <v>4</v>
      </c>
      <c r="AR64" s="5">
        <v>50</v>
      </c>
      <c r="AS64" s="5"/>
      <c r="AT64" s="3">
        <v>35</v>
      </c>
      <c r="AU64" s="3">
        <v>1</v>
      </c>
      <c r="AV64" s="3">
        <v>1</v>
      </c>
      <c r="AW64" s="3">
        <v>0</v>
      </c>
      <c r="AX64" s="3">
        <v>1</v>
      </c>
    </row>
    <row r="65" s="1" customFormat="1" customHeight="1" spans="1:50">
      <c r="A65" s="18">
        <v>63</v>
      </c>
      <c r="B65" s="27">
        <v>44270</v>
      </c>
      <c r="C65" s="5"/>
      <c r="D65" s="23">
        <v>790</v>
      </c>
      <c r="E65" s="3">
        <v>447</v>
      </c>
      <c r="F65" s="3">
        <v>435</v>
      </c>
      <c r="G65" s="3"/>
      <c r="H65" s="3">
        <v>35</v>
      </c>
      <c r="I65" s="3"/>
      <c r="J65" s="3">
        <v>48</v>
      </c>
      <c r="K65" s="5"/>
      <c r="L65" s="3">
        <f t="shared" si="3"/>
        <v>0.565822784810127</v>
      </c>
      <c r="M65" s="5">
        <f t="shared" si="5"/>
        <v>0.531518987341772</v>
      </c>
      <c r="N65" s="5">
        <f t="shared" si="0"/>
        <v>419.9</v>
      </c>
      <c r="O65" s="5"/>
      <c r="P65" s="5">
        <v>10.7</v>
      </c>
      <c r="Q65" s="5"/>
      <c r="R65" s="5">
        <v>50</v>
      </c>
      <c r="S65" s="5"/>
      <c r="T65" s="5">
        <f>12+10.3+5.6+11+10.3+13.8+7+8.5+8+8.7+7.5+8+8.2</f>
        <v>118.9</v>
      </c>
      <c r="U65" s="5"/>
      <c r="V65" s="5"/>
      <c r="W65" s="5">
        <f>10.8+10.8+7.4+8.3</f>
        <v>37.3</v>
      </c>
      <c r="X65" s="3">
        <v>8.4</v>
      </c>
      <c r="Y65" s="5"/>
      <c r="Z65" s="5">
        <v>163.5</v>
      </c>
      <c r="AA65" s="5"/>
      <c r="AB65" s="5"/>
      <c r="AC65" s="5">
        <f>14+5.7+2.2</f>
        <v>21.9</v>
      </c>
      <c r="AD65" s="5"/>
      <c r="AE65" s="5"/>
      <c r="AF65" s="5"/>
      <c r="AG65" s="3">
        <v>5</v>
      </c>
      <c r="AH65" s="5"/>
      <c r="AI65" s="5"/>
      <c r="AJ65" s="5"/>
      <c r="AK65" s="5"/>
      <c r="AL65" s="5"/>
      <c r="AM65" s="5"/>
      <c r="AN65" s="21"/>
      <c r="AO65" s="5"/>
      <c r="AP65" s="5">
        <v>4.2</v>
      </c>
      <c r="AQ65" s="5"/>
      <c r="AR65" s="5"/>
      <c r="AS65" s="5"/>
      <c r="AT65" s="3">
        <v>35</v>
      </c>
      <c r="AU65" s="3">
        <v>1</v>
      </c>
      <c r="AV65" s="3">
        <v>1</v>
      </c>
      <c r="AW65" s="3">
        <v>0</v>
      </c>
      <c r="AX65" s="3">
        <v>1</v>
      </c>
    </row>
    <row r="66" s="1" customFormat="1" customHeight="1" spans="1:50">
      <c r="A66" s="18">
        <v>64</v>
      </c>
      <c r="B66" s="27">
        <v>44270</v>
      </c>
      <c r="C66" s="5"/>
      <c r="D66" s="23">
        <v>670</v>
      </c>
      <c r="E66" s="3">
        <v>361.5</v>
      </c>
      <c r="F66" s="3">
        <v>350</v>
      </c>
      <c r="G66" s="3"/>
      <c r="H66" s="3">
        <v>35</v>
      </c>
      <c r="I66" s="3"/>
      <c r="J66" s="3">
        <v>45</v>
      </c>
      <c r="K66" s="5"/>
      <c r="L66" s="3">
        <f t="shared" si="3"/>
        <v>0.53955223880597</v>
      </c>
      <c r="M66" s="5">
        <f t="shared" si="5"/>
        <v>0.260149253731343</v>
      </c>
      <c r="N66" s="5">
        <f t="shared" si="0"/>
        <v>174.3</v>
      </c>
      <c r="O66" s="5"/>
      <c r="P66" s="5">
        <v>7.3</v>
      </c>
      <c r="Q66" s="5"/>
      <c r="R66" s="5">
        <v>2.5</v>
      </c>
      <c r="S66" s="5"/>
      <c r="T66" s="5"/>
      <c r="U66" s="5"/>
      <c r="V66" s="5"/>
      <c r="W66" s="5"/>
      <c r="X66" s="3">
        <v>2.5</v>
      </c>
      <c r="Y66" s="5"/>
      <c r="Z66" s="5">
        <v>40</v>
      </c>
      <c r="AA66" s="5"/>
      <c r="AB66" s="5"/>
      <c r="AC66" s="5"/>
      <c r="AD66" s="5"/>
      <c r="AE66" s="5"/>
      <c r="AF66" s="5">
        <v>2</v>
      </c>
      <c r="AG66" s="3">
        <v>5</v>
      </c>
      <c r="AH66" s="5"/>
      <c r="AI66" s="5"/>
      <c r="AJ66" s="5"/>
      <c r="AK66" s="5"/>
      <c r="AL66" s="5"/>
      <c r="AM66" s="5"/>
      <c r="AN66" s="21"/>
      <c r="AO66" s="5"/>
      <c r="AP66" s="5">
        <v>1</v>
      </c>
      <c r="AQ66" s="5">
        <v>16</v>
      </c>
      <c r="AR66" s="5">
        <v>98</v>
      </c>
      <c r="AS66" s="5"/>
      <c r="AT66" s="3">
        <v>35</v>
      </c>
      <c r="AU66" s="3">
        <v>1</v>
      </c>
      <c r="AV66" s="3">
        <v>1</v>
      </c>
      <c r="AW66" s="3">
        <v>0</v>
      </c>
      <c r="AX66" s="3">
        <v>1</v>
      </c>
    </row>
    <row r="67" s="1" customFormat="1" customHeight="1" spans="1:50">
      <c r="A67" s="18">
        <v>65</v>
      </c>
      <c r="B67" s="27">
        <v>44272</v>
      </c>
      <c r="C67" s="5"/>
      <c r="D67" s="23">
        <v>750</v>
      </c>
      <c r="E67" s="3">
        <v>397</v>
      </c>
      <c r="F67" s="3">
        <v>387</v>
      </c>
      <c r="G67" s="3">
        <v>62</v>
      </c>
      <c r="H67" s="3">
        <v>35</v>
      </c>
      <c r="I67" s="3">
        <v>90</v>
      </c>
      <c r="J67" s="3">
        <v>53</v>
      </c>
      <c r="K67" s="5"/>
      <c r="L67" s="3">
        <f t="shared" si="3"/>
        <v>0.529333333333333</v>
      </c>
      <c r="M67" s="5">
        <f t="shared" si="5"/>
        <v>0.598986666666667</v>
      </c>
      <c r="N67" s="5">
        <f t="shared" si="0"/>
        <v>449.24</v>
      </c>
      <c r="O67" s="5"/>
      <c r="P67" s="5">
        <v>5.24</v>
      </c>
      <c r="Q67" s="5"/>
      <c r="R67" s="5">
        <v>97.5</v>
      </c>
      <c r="S67" s="5"/>
      <c r="T67" s="5">
        <v>80</v>
      </c>
      <c r="U67" s="5">
        <v>50</v>
      </c>
      <c r="V67" s="5">
        <v>60</v>
      </c>
      <c r="W67" s="5"/>
      <c r="X67" s="3">
        <v>3.5</v>
      </c>
      <c r="Y67" s="5"/>
      <c r="Z67" s="5">
        <v>144</v>
      </c>
      <c r="AA67" s="5"/>
      <c r="AB67" s="5"/>
      <c r="AC67" s="5"/>
      <c r="AD67" s="5"/>
      <c r="AE67" s="5"/>
      <c r="AF67" s="5"/>
      <c r="AG67" s="3">
        <v>5</v>
      </c>
      <c r="AH67" s="5"/>
      <c r="AI67" s="5"/>
      <c r="AJ67" s="5"/>
      <c r="AK67" s="5"/>
      <c r="AL67" s="5"/>
      <c r="AM67" s="5"/>
      <c r="AN67" s="22"/>
      <c r="AO67" s="5"/>
      <c r="AP67" s="5"/>
      <c r="AQ67" s="5">
        <v>4</v>
      </c>
      <c r="AR67" s="5"/>
      <c r="AS67" s="5"/>
      <c r="AT67" s="3">
        <v>35</v>
      </c>
      <c r="AU67" s="3">
        <v>1</v>
      </c>
      <c r="AV67" s="3">
        <v>1</v>
      </c>
      <c r="AW67" s="3">
        <v>0.1</v>
      </c>
      <c r="AX67" s="3">
        <v>1</v>
      </c>
    </row>
    <row r="68" s="1" customFormat="1" customHeight="1" spans="1:50">
      <c r="A68" s="18">
        <v>66</v>
      </c>
      <c r="B68" s="27">
        <v>44272</v>
      </c>
      <c r="C68" s="5"/>
      <c r="D68" s="23">
        <v>750</v>
      </c>
      <c r="E68" s="3">
        <v>382.5</v>
      </c>
      <c r="F68" s="3">
        <v>370</v>
      </c>
      <c r="G68" s="3"/>
      <c r="H68" s="3">
        <v>35</v>
      </c>
      <c r="I68" s="3"/>
      <c r="J68" s="3">
        <v>53</v>
      </c>
      <c r="K68" s="5"/>
      <c r="L68" s="3">
        <f t="shared" si="3"/>
        <v>0.51</v>
      </c>
      <c r="M68" s="5">
        <f t="shared" si="5"/>
        <v>0.209466666666667</v>
      </c>
      <c r="N68" s="5">
        <f t="shared" si="0"/>
        <v>157.1</v>
      </c>
      <c r="O68" s="5"/>
      <c r="P68" s="5">
        <v>50.3</v>
      </c>
      <c r="Q68" s="5"/>
      <c r="R68" s="5">
        <v>16.8</v>
      </c>
      <c r="S68" s="5"/>
      <c r="T68" s="5">
        <v>5.2</v>
      </c>
      <c r="U68" s="5"/>
      <c r="V68" s="5"/>
      <c r="W68" s="5"/>
      <c r="X68" s="3">
        <v>16.5</v>
      </c>
      <c r="Y68" s="5"/>
      <c r="Z68" s="5">
        <v>2.5</v>
      </c>
      <c r="AA68" s="5"/>
      <c r="AB68" s="5"/>
      <c r="AC68" s="5"/>
      <c r="AD68" s="5"/>
      <c r="AE68" s="5"/>
      <c r="AF68" s="5"/>
      <c r="AG68" s="3">
        <v>5</v>
      </c>
      <c r="AH68" s="5"/>
      <c r="AI68" s="5"/>
      <c r="AJ68" s="5"/>
      <c r="AK68" s="5"/>
      <c r="AL68" s="5"/>
      <c r="AM68" s="5"/>
      <c r="AN68" s="5">
        <v>3.2</v>
      </c>
      <c r="AO68" s="5"/>
      <c r="AP68" s="5">
        <v>2.6</v>
      </c>
      <c r="AQ68" s="5">
        <v>13</v>
      </c>
      <c r="AR68" s="5">
        <v>42</v>
      </c>
      <c r="AS68" s="5"/>
      <c r="AT68" s="3">
        <v>35</v>
      </c>
      <c r="AU68" s="3">
        <v>1</v>
      </c>
      <c r="AV68" s="3">
        <v>1</v>
      </c>
      <c r="AW68" s="3">
        <v>0.1</v>
      </c>
      <c r="AX68" s="3">
        <v>1</v>
      </c>
    </row>
    <row r="69" s="1" customFormat="1" customHeight="1" spans="1:50">
      <c r="A69" s="18">
        <v>67</v>
      </c>
      <c r="B69" s="27">
        <v>44272</v>
      </c>
      <c r="C69" s="5"/>
      <c r="D69" s="23">
        <v>750</v>
      </c>
      <c r="E69" s="3">
        <v>385</v>
      </c>
      <c r="F69" s="3">
        <v>375</v>
      </c>
      <c r="G69" s="3">
        <v>105</v>
      </c>
      <c r="H69" s="3">
        <v>35</v>
      </c>
      <c r="I69" s="3">
        <v>150</v>
      </c>
      <c r="J69" s="3">
        <v>53</v>
      </c>
      <c r="K69" s="5"/>
      <c r="L69" s="3">
        <f t="shared" si="3"/>
        <v>0.513333333333333</v>
      </c>
      <c r="M69" s="5">
        <f t="shared" si="5"/>
        <v>0.680533333333333</v>
      </c>
      <c r="N69" s="5">
        <f t="shared" si="0"/>
        <v>510.4</v>
      </c>
      <c r="O69" s="5"/>
      <c r="P69" s="5">
        <v>35</v>
      </c>
      <c r="Q69" s="5"/>
      <c r="R69" s="5">
        <v>93</v>
      </c>
      <c r="S69" s="5"/>
      <c r="T69" s="5">
        <v>9.3</v>
      </c>
      <c r="U69" s="5">
        <v>21.9</v>
      </c>
      <c r="V69" s="5">
        <f>8.3+8.2+8.3+8.8+8.9</f>
        <v>42.5</v>
      </c>
      <c r="W69" s="5">
        <f>10.5+5.6+10.6+6.7</f>
        <v>33.4</v>
      </c>
      <c r="X69" s="3">
        <v>3.1</v>
      </c>
      <c r="Y69" s="5"/>
      <c r="Z69" s="5">
        <v>242.5</v>
      </c>
      <c r="AA69" s="5"/>
      <c r="AB69" s="5"/>
      <c r="AC69" s="5">
        <v>21.2</v>
      </c>
      <c r="AD69" s="5"/>
      <c r="AE69" s="5"/>
      <c r="AF69" s="5"/>
      <c r="AG69" s="3">
        <v>5</v>
      </c>
      <c r="AH69" s="5"/>
      <c r="AI69" s="5"/>
      <c r="AJ69" s="5"/>
      <c r="AK69" s="5"/>
      <c r="AL69" s="5"/>
      <c r="AM69" s="5"/>
      <c r="AN69" s="20">
        <v>3.5</v>
      </c>
      <c r="AO69" s="5"/>
      <c r="AP69" s="5"/>
      <c r="AQ69" s="5"/>
      <c r="AR69" s="5"/>
      <c r="AS69" s="5"/>
      <c r="AT69" s="3">
        <v>35</v>
      </c>
      <c r="AU69" s="3">
        <v>1</v>
      </c>
      <c r="AV69" s="3">
        <v>1</v>
      </c>
      <c r="AW69" s="3">
        <v>0.1</v>
      </c>
      <c r="AX69" s="3">
        <v>1</v>
      </c>
    </row>
    <row r="70" s="1" customFormat="1" customHeight="1" spans="1:50">
      <c r="A70" s="18">
        <v>68</v>
      </c>
      <c r="B70" s="27">
        <v>44273</v>
      </c>
      <c r="C70" s="5"/>
      <c r="D70" s="23">
        <v>620</v>
      </c>
      <c r="E70" s="3">
        <v>346</v>
      </c>
      <c r="F70" s="3">
        <v>336</v>
      </c>
      <c r="G70" s="3"/>
      <c r="H70" s="3">
        <v>35</v>
      </c>
      <c r="I70" s="3"/>
      <c r="J70" s="3">
        <v>45</v>
      </c>
      <c r="K70" s="5"/>
      <c r="L70" s="3">
        <f t="shared" si="3"/>
        <v>0.558064516129032</v>
      </c>
      <c r="M70" s="5">
        <f t="shared" si="5"/>
        <v>0.362258064516129</v>
      </c>
      <c r="N70" s="5">
        <f t="shared" ref="N70:N76" si="6">SUM(O70:AR70)</f>
        <v>224.6</v>
      </c>
      <c r="O70" s="5"/>
      <c r="P70" s="5">
        <v>2.9</v>
      </c>
      <c r="Q70" s="5"/>
      <c r="R70" s="5">
        <v>1.5</v>
      </c>
      <c r="S70" s="5"/>
      <c r="T70" s="5">
        <f>11.2+6.1+13.3+9.8+8.4+8.1+7.4+12.8</f>
        <v>77.1</v>
      </c>
      <c r="U70" s="5"/>
      <c r="V70" s="5">
        <f>9.4+7.9+9.4+9.5</f>
        <v>36.2</v>
      </c>
      <c r="W70" s="5">
        <f>6.3+6.7+8.1</f>
        <v>21.1</v>
      </c>
      <c r="X70" s="3"/>
      <c r="Y70" s="5"/>
      <c r="Z70" s="5">
        <v>17</v>
      </c>
      <c r="AA70" s="5"/>
      <c r="AB70" s="5">
        <f>12.6+13.2+8</f>
        <v>33.8</v>
      </c>
      <c r="AC70" s="5"/>
      <c r="AD70" s="5"/>
      <c r="AE70" s="5"/>
      <c r="AF70" s="5"/>
      <c r="AG70" s="3">
        <v>5</v>
      </c>
      <c r="AH70" s="5"/>
      <c r="AI70" s="5"/>
      <c r="AJ70" s="5"/>
      <c r="AK70" s="5"/>
      <c r="AL70" s="5"/>
      <c r="AM70" s="5"/>
      <c r="AN70" s="21"/>
      <c r="AO70" s="5"/>
      <c r="AP70" s="5"/>
      <c r="AQ70" s="5">
        <v>28</v>
      </c>
      <c r="AR70" s="5">
        <v>2</v>
      </c>
      <c r="AS70" s="5"/>
      <c r="AT70" s="3">
        <v>35</v>
      </c>
      <c r="AU70" s="3">
        <v>1</v>
      </c>
      <c r="AV70" s="3">
        <v>1</v>
      </c>
      <c r="AW70" s="3">
        <v>0.1</v>
      </c>
      <c r="AX70" s="3">
        <v>1</v>
      </c>
    </row>
    <row r="71" s="1" customFormat="1" customHeight="1" spans="1:50">
      <c r="A71" s="18">
        <v>69</v>
      </c>
      <c r="B71" s="27">
        <v>44273</v>
      </c>
      <c r="C71" s="5"/>
      <c r="D71" s="23">
        <v>650</v>
      </c>
      <c r="E71" s="3">
        <v>330.5</v>
      </c>
      <c r="F71" s="3">
        <v>320</v>
      </c>
      <c r="G71" s="3"/>
      <c r="H71" s="3">
        <v>35</v>
      </c>
      <c r="I71" s="3"/>
      <c r="J71" s="3">
        <v>45</v>
      </c>
      <c r="K71" s="5"/>
      <c r="L71" s="3">
        <f t="shared" si="3"/>
        <v>0.508461538461538</v>
      </c>
      <c r="M71" s="5">
        <f t="shared" si="5"/>
        <v>0.735184615384615</v>
      </c>
      <c r="N71" s="5">
        <f t="shared" si="6"/>
        <v>477.87</v>
      </c>
      <c r="O71" s="5">
        <v>0.6</v>
      </c>
      <c r="P71" s="5">
        <f>53+6.3</f>
        <v>59.3</v>
      </c>
      <c r="Q71" s="5">
        <v>12.5</v>
      </c>
      <c r="R71" s="5">
        <v>35</v>
      </c>
      <c r="S71" s="5"/>
      <c r="T71" s="5">
        <f>10.2+8.4+6.4+9.7+5.8+6+5.1+9.1+9+4.6+4.67+12.5+3.65+0.35</f>
        <v>95.47</v>
      </c>
      <c r="U71" s="5">
        <v>12.2</v>
      </c>
      <c r="V71" s="5">
        <f>6.3+6.5+7.5+7.9+8.4</f>
        <v>36.6</v>
      </c>
      <c r="W71" s="5">
        <f>5.9+4.1+6.2+5.2</f>
        <v>21.4</v>
      </c>
      <c r="X71" s="3"/>
      <c r="Y71" s="5"/>
      <c r="Z71" s="5">
        <v>164</v>
      </c>
      <c r="AA71" s="5"/>
      <c r="AB71" s="5"/>
      <c r="AC71" s="5"/>
      <c r="AD71" s="5"/>
      <c r="AE71" s="5">
        <v>6.4</v>
      </c>
      <c r="AF71" s="5">
        <v>2.8</v>
      </c>
      <c r="AG71" s="3">
        <v>5</v>
      </c>
      <c r="AH71" s="5"/>
      <c r="AI71" s="5"/>
      <c r="AJ71" s="5"/>
      <c r="AK71" s="5"/>
      <c r="AL71" s="5"/>
      <c r="AM71" s="5"/>
      <c r="AN71" s="22"/>
      <c r="AO71" s="5"/>
      <c r="AP71" s="5">
        <v>5.6</v>
      </c>
      <c r="AQ71" s="5">
        <v>8</v>
      </c>
      <c r="AR71" s="5">
        <v>13</v>
      </c>
      <c r="AS71" s="5"/>
      <c r="AT71" s="3">
        <v>35</v>
      </c>
      <c r="AU71" s="3">
        <v>1</v>
      </c>
      <c r="AV71" s="3">
        <v>1</v>
      </c>
      <c r="AW71" s="3">
        <v>0.1</v>
      </c>
      <c r="AX71" s="3">
        <v>1</v>
      </c>
    </row>
    <row r="72" s="1" customFormat="1" customHeight="1" spans="1:50">
      <c r="A72" s="18">
        <v>70</v>
      </c>
      <c r="B72" s="27">
        <v>44273</v>
      </c>
      <c r="C72" s="5"/>
      <c r="D72" s="23">
        <v>780</v>
      </c>
      <c r="E72" s="3">
        <v>428.5</v>
      </c>
      <c r="F72" s="3">
        <v>418</v>
      </c>
      <c r="G72" s="3"/>
      <c r="H72" s="3">
        <v>35</v>
      </c>
      <c r="I72" s="3"/>
      <c r="J72" s="3">
        <v>49</v>
      </c>
      <c r="K72" s="5"/>
      <c r="L72" s="3">
        <f t="shared" si="3"/>
        <v>0.549358974358974</v>
      </c>
      <c r="M72" s="5">
        <f t="shared" si="5"/>
        <v>0.586153846153846</v>
      </c>
      <c r="N72" s="5">
        <f t="shared" si="6"/>
        <v>457.2</v>
      </c>
      <c r="O72" s="5">
        <v>2.4</v>
      </c>
      <c r="P72" s="5">
        <v>15</v>
      </c>
      <c r="Q72" s="5"/>
      <c r="R72" s="5">
        <v>61</v>
      </c>
      <c r="S72" s="5"/>
      <c r="T72" s="5"/>
      <c r="U72" s="5">
        <v>5.6</v>
      </c>
      <c r="V72" s="5"/>
      <c r="W72" s="5"/>
      <c r="X72" s="3">
        <v>1.6</v>
      </c>
      <c r="Y72" s="5"/>
      <c r="Z72" s="5">
        <v>280.5</v>
      </c>
      <c r="AA72" s="5">
        <v>6.2</v>
      </c>
      <c r="AB72" s="5"/>
      <c r="AC72" s="5">
        <v>19.3</v>
      </c>
      <c r="AD72" s="5"/>
      <c r="AE72" s="5"/>
      <c r="AF72" s="5">
        <v>5.6</v>
      </c>
      <c r="AG72" s="3">
        <v>5</v>
      </c>
      <c r="AH72" s="5"/>
      <c r="AI72" s="5"/>
      <c r="AJ72" s="5"/>
      <c r="AK72" s="5"/>
      <c r="AL72" s="5"/>
      <c r="AM72" s="5"/>
      <c r="AN72" s="5">
        <v>3</v>
      </c>
      <c r="AO72" s="5"/>
      <c r="AP72" s="5"/>
      <c r="AQ72" s="5">
        <v>19</v>
      </c>
      <c r="AR72" s="5">
        <v>33</v>
      </c>
      <c r="AS72" s="5"/>
      <c r="AT72" s="3">
        <v>35</v>
      </c>
      <c r="AU72" s="3">
        <v>1</v>
      </c>
      <c r="AV72" s="3">
        <v>1</v>
      </c>
      <c r="AW72" s="3">
        <v>0.1</v>
      </c>
      <c r="AX72" s="3">
        <v>1</v>
      </c>
    </row>
    <row r="73" s="1" customFormat="1" customHeight="1" spans="1:50">
      <c r="A73" s="18">
        <v>71</v>
      </c>
      <c r="B73" s="27">
        <v>44277</v>
      </c>
      <c r="C73" s="5"/>
      <c r="D73" s="23">
        <v>800</v>
      </c>
      <c r="E73" s="3">
        <v>427</v>
      </c>
      <c r="F73" s="3">
        <v>415</v>
      </c>
      <c r="G73" s="3">
        <v>65</v>
      </c>
      <c r="H73" s="3">
        <v>35</v>
      </c>
      <c r="I73" s="3">
        <v>85</v>
      </c>
      <c r="J73" s="3">
        <v>55</v>
      </c>
      <c r="K73" s="5"/>
      <c r="L73" s="3">
        <f t="shared" si="3"/>
        <v>0.53375</v>
      </c>
      <c r="M73" s="5">
        <f t="shared" si="5"/>
        <v>0.431425</v>
      </c>
      <c r="N73" s="5">
        <f t="shared" si="6"/>
        <v>345.14</v>
      </c>
      <c r="O73" s="5">
        <v>1</v>
      </c>
      <c r="P73" s="5">
        <v>17.2</v>
      </c>
      <c r="Q73" s="5"/>
      <c r="R73" s="5">
        <v>48.5</v>
      </c>
      <c r="S73" s="5">
        <v>2</v>
      </c>
      <c r="T73" s="5">
        <f>11+10.7+10+8+9.3</f>
        <v>49</v>
      </c>
      <c r="U73" s="5"/>
      <c r="V73" s="5">
        <f>6.2+7.1+6.3</f>
        <v>19.6</v>
      </c>
      <c r="W73" s="5">
        <f>5.5+5.1+3.9</f>
        <v>14.5</v>
      </c>
      <c r="X73" s="3"/>
      <c r="Y73" s="5"/>
      <c r="Z73" s="5">
        <v>160.5</v>
      </c>
      <c r="AA73" s="5"/>
      <c r="AB73" s="5">
        <v>5.2</v>
      </c>
      <c r="AC73" s="5">
        <v>10.2</v>
      </c>
      <c r="AD73" s="5"/>
      <c r="AE73" s="5"/>
      <c r="AF73" s="5">
        <v>1.44</v>
      </c>
      <c r="AG73" s="3">
        <v>5</v>
      </c>
      <c r="AH73" s="5"/>
      <c r="AI73" s="5"/>
      <c r="AJ73" s="5"/>
      <c r="AK73" s="5"/>
      <c r="AL73" s="5"/>
      <c r="AM73" s="5"/>
      <c r="AN73" s="5"/>
      <c r="AO73" s="5"/>
      <c r="AP73" s="5"/>
      <c r="AQ73" s="5">
        <v>5</v>
      </c>
      <c r="AR73" s="5">
        <v>6</v>
      </c>
      <c r="AS73" s="5"/>
      <c r="AT73" s="3">
        <v>35</v>
      </c>
      <c r="AU73" s="3">
        <v>1</v>
      </c>
      <c r="AV73" s="3">
        <v>1</v>
      </c>
      <c r="AW73" s="3">
        <v>0.1</v>
      </c>
      <c r="AX73" s="3">
        <v>1</v>
      </c>
    </row>
    <row r="74" s="1" customFormat="1" customHeight="1" spans="1:50">
      <c r="A74" s="18">
        <v>72</v>
      </c>
      <c r="B74" s="27">
        <v>44277</v>
      </c>
      <c r="C74" s="5"/>
      <c r="D74" s="23">
        <v>800</v>
      </c>
      <c r="E74" s="3">
        <v>405</v>
      </c>
      <c r="F74" s="3">
        <v>395</v>
      </c>
      <c r="G74" s="3"/>
      <c r="H74" s="3">
        <v>35</v>
      </c>
      <c r="I74" s="3"/>
      <c r="J74" s="3">
        <v>55</v>
      </c>
      <c r="K74" s="5"/>
      <c r="L74" s="3">
        <f t="shared" si="3"/>
        <v>0.50625</v>
      </c>
      <c r="M74" s="5">
        <f t="shared" si="5"/>
        <v>0.65285</v>
      </c>
      <c r="N74" s="5">
        <f t="shared" si="6"/>
        <v>522.28</v>
      </c>
      <c r="O74" s="5">
        <v>3.26</v>
      </c>
      <c r="P74" s="5">
        <f>8.45+5.93</f>
        <v>14.38</v>
      </c>
      <c r="Q74" s="5">
        <v>1.3</v>
      </c>
      <c r="R74" s="5">
        <v>116</v>
      </c>
      <c r="S74" s="5"/>
      <c r="T74" s="5">
        <f>4.58+1.26+10.8+13.9+10.7+6+6.28</f>
        <v>53.52</v>
      </c>
      <c r="U74" s="5"/>
      <c r="V74" s="5"/>
      <c r="W74" s="5">
        <v>8.79</v>
      </c>
      <c r="X74" s="3"/>
      <c r="Y74" s="5"/>
      <c r="Z74" s="5">
        <v>165</v>
      </c>
      <c r="AA74" s="5"/>
      <c r="AB74" s="5">
        <v>21</v>
      </c>
      <c r="AC74" s="5">
        <v>11.2</v>
      </c>
      <c r="AD74" s="5"/>
      <c r="AE74" s="5">
        <f>12.4+5.2+5.57</f>
        <v>23.17</v>
      </c>
      <c r="AF74" s="5">
        <v>2.7</v>
      </c>
      <c r="AG74" s="3">
        <v>5</v>
      </c>
      <c r="AH74" s="5"/>
      <c r="AI74" s="5"/>
      <c r="AJ74" s="5"/>
      <c r="AK74" s="5"/>
      <c r="AL74" s="5"/>
      <c r="AM74" s="5"/>
      <c r="AN74" s="20">
        <v>3.96</v>
      </c>
      <c r="AO74" s="5"/>
      <c r="AP74" s="5"/>
      <c r="AQ74" s="5">
        <v>9</v>
      </c>
      <c r="AR74" s="5">
        <v>84</v>
      </c>
      <c r="AS74" s="5"/>
      <c r="AT74" s="3">
        <v>35</v>
      </c>
      <c r="AU74" s="3">
        <v>1</v>
      </c>
      <c r="AV74" s="3">
        <v>1</v>
      </c>
      <c r="AW74" s="3">
        <v>0.1</v>
      </c>
      <c r="AX74" s="3">
        <v>1</v>
      </c>
    </row>
    <row r="75" s="2" customFormat="1" customHeight="1" spans="1:50">
      <c r="A75" s="18">
        <v>73</v>
      </c>
      <c r="B75" s="28">
        <v>44277</v>
      </c>
      <c r="C75" s="6"/>
      <c r="D75" s="25">
        <v>800</v>
      </c>
      <c r="E75" s="4">
        <v>410</v>
      </c>
      <c r="F75" s="4">
        <v>400</v>
      </c>
      <c r="G75" s="4"/>
      <c r="H75" s="4">
        <v>35</v>
      </c>
      <c r="I75" s="4"/>
      <c r="J75" s="4">
        <v>55</v>
      </c>
      <c r="K75" s="6"/>
      <c r="L75" s="4">
        <f t="shared" si="3"/>
        <v>0.5125</v>
      </c>
      <c r="M75" s="6">
        <f t="shared" si="5"/>
        <v>0.6932125</v>
      </c>
      <c r="N75" s="6">
        <f t="shared" si="6"/>
        <v>554.57</v>
      </c>
      <c r="O75" s="6"/>
      <c r="P75" s="6">
        <f>10.5+24.7+9.9+10.2+18.8</f>
        <v>74.1</v>
      </c>
      <c r="Q75" s="6">
        <v>2.5</v>
      </c>
      <c r="R75" s="6">
        <v>216.8</v>
      </c>
      <c r="S75" s="6">
        <v>1.4</v>
      </c>
      <c r="T75" s="6">
        <f>9+8.4+6.7+13.7+15.1</f>
        <v>52.9</v>
      </c>
      <c r="U75" s="6">
        <f>12.5+6.6</f>
        <v>19.1</v>
      </c>
      <c r="V75" s="6">
        <f>7.2+13.6+7.3</f>
        <v>28.1</v>
      </c>
      <c r="W75" s="6">
        <f>8.9+4.2+5.5</f>
        <v>18.6</v>
      </c>
      <c r="X75" s="4"/>
      <c r="Y75" s="6">
        <v>2.78</v>
      </c>
      <c r="Z75" s="6">
        <v>6.2</v>
      </c>
      <c r="AA75" s="6">
        <f>5.8+10.6</f>
        <v>16.4</v>
      </c>
      <c r="AB75" s="6">
        <v>5</v>
      </c>
      <c r="AC75" s="6">
        <f>6.3+1.2+4.4</f>
        <v>11.9</v>
      </c>
      <c r="AD75" s="6"/>
      <c r="AE75" s="6">
        <f>5.9+6.5+5.4</f>
        <v>17.8</v>
      </c>
      <c r="AF75" s="6">
        <f>0.49+3+5.5</f>
        <v>8.99</v>
      </c>
      <c r="AG75" s="4">
        <v>5</v>
      </c>
      <c r="AH75" s="6"/>
      <c r="AI75" s="6"/>
      <c r="AJ75" s="6"/>
      <c r="AK75" s="6"/>
      <c r="AL75" s="6"/>
      <c r="AM75" s="6"/>
      <c r="AN75" s="38"/>
      <c r="AO75" s="6"/>
      <c r="AP75" s="6"/>
      <c r="AQ75" s="6">
        <v>13</v>
      </c>
      <c r="AR75" s="6">
        <v>54</v>
      </c>
      <c r="AS75" s="6"/>
      <c r="AT75" s="4">
        <v>35</v>
      </c>
      <c r="AU75" s="4">
        <v>1</v>
      </c>
      <c r="AV75" s="4">
        <v>1</v>
      </c>
      <c r="AW75" s="4">
        <v>0.1</v>
      </c>
      <c r="AX75" s="4">
        <v>1</v>
      </c>
    </row>
    <row r="76" s="5" customFormat="1" customHeight="1" spans="1:50">
      <c r="A76" s="18">
        <v>74</v>
      </c>
      <c r="B76" s="27">
        <v>44279</v>
      </c>
      <c r="C76" s="3" t="s">
        <v>54</v>
      </c>
      <c r="D76" s="23">
        <v>730</v>
      </c>
      <c r="E76" s="3">
        <v>427</v>
      </c>
      <c r="F76" s="3">
        <v>415</v>
      </c>
      <c r="G76" s="5">
        <v>22</v>
      </c>
      <c r="H76" s="5">
        <v>33</v>
      </c>
      <c r="I76" s="5">
        <v>40</v>
      </c>
      <c r="J76" s="3">
        <v>41</v>
      </c>
      <c r="L76" s="3">
        <f t="shared" si="3"/>
        <v>0.584931506849315</v>
      </c>
      <c r="M76" s="5">
        <f t="shared" si="5"/>
        <v>0.0863013698630137</v>
      </c>
      <c r="N76" s="5">
        <f t="shared" si="6"/>
        <v>63</v>
      </c>
      <c r="X76" s="3"/>
      <c r="AG76" s="3">
        <v>5</v>
      </c>
      <c r="AN76" s="3"/>
      <c r="AQ76" s="5">
        <v>12</v>
      </c>
      <c r="AR76" s="5">
        <v>46</v>
      </c>
      <c r="AT76" s="3">
        <v>35</v>
      </c>
      <c r="AU76" s="3">
        <v>1</v>
      </c>
      <c r="AV76" s="3">
        <v>1</v>
      </c>
      <c r="AW76" s="3">
        <v>0.1</v>
      </c>
      <c r="AX76" s="3">
        <v>1</v>
      </c>
    </row>
    <row r="77" s="5" customFormat="1" customHeight="1" spans="1:50">
      <c r="A77" s="18">
        <v>75</v>
      </c>
      <c r="B77" s="27">
        <v>44279</v>
      </c>
      <c r="C77" s="3" t="s">
        <v>54</v>
      </c>
      <c r="D77" s="23">
        <v>700</v>
      </c>
      <c r="E77" s="3">
        <v>380</v>
      </c>
      <c r="F77" s="3">
        <v>370</v>
      </c>
      <c r="G77" s="5">
        <v>22</v>
      </c>
      <c r="H77" s="5">
        <v>33</v>
      </c>
      <c r="I77" s="5">
        <v>40</v>
      </c>
      <c r="J77" s="3">
        <v>41</v>
      </c>
      <c r="L77" s="3">
        <f t="shared" si="3"/>
        <v>0.542857142857143</v>
      </c>
      <c r="M77" s="5">
        <f t="shared" ref="M77:M108" si="7">N77/D77</f>
        <v>0</v>
      </c>
      <c r="N77" s="5">
        <f t="shared" ref="N77:N108" si="8">SUM(O77:AR77)</f>
        <v>0</v>
      </c>
      <c r="O77" s="5" t="s">
        <v>56</v>
      </c>
      <c r="X77" s="3"/>
      <c r="AT77" s="3">
        <v>36</v>
      </c>
      <c r="AU77" s="5">
        <v>1</v>
      </c>
      <c r="AV77" s="5">
        <v>1</v>
      </c>
      <c r="AW77" s="5">
        <v>0.1</v>
      </c>
      <c r="AX77" s="5">
        <v>1</v>
      </c>
    </row>
    <row r="78" s="5" customFormat="1" customHeight="1" spans="1:50">
      <c r="A78" s="18">
        <v>76</v>
      </c>
      <c r="B78" s="27">
        <v>44279</v>
      </c>
      <c r="C78" s="3" t="s">
        <v>54</v>
      </c>
      <c r="D78" s="23">
        <v>720</v>
      </c>
      <c r="E78" s="3">
        <v>405</v>
      </c>
      <c r="F78" s="3">
        <v>395</v>
      </c>
      <c r="G78" s="5">
        <v>22</v>
      </c>
      <c r="H78" s="5">
        <v>33</v>
      </c>
      <c r="I78" s="5">
        <v>40</v>
      </c>
      <c r="J78" s="3">
        <v>41</v>
      </c>
      <c r="L78" s="3">
        <f t="shared" si="3"/>
        <v>0.5625</v>
      </c>
      <c r="M78" s="5">
        <f t="shared" si="7"/>
        <v>0</v>
      </c>
      <c r="N78" s="5">
        <f t="shared" si="8"/>
        <v>0</v>
      </c>
      <c r="X78" s="3"/>
      <c r="AT78" s="3">
        <v>36</v>
      </c>
      <c r="AU78" s="5">
        <v>1</v>
      </c>
      <c r="AV78" s="5">
        <v>1</v>
      </c>
      <c r="AW78" s="5">
        <v>0.1</v>
      </c>
      <c r="AX78" s="5">
        <v>1</v>
      </c>
    </row>
    <row r="79" s="5" customFormat="1" customHeight="1" spans="1:50">
      <c r="A79" s="18">
        <v>77</v>
      </c>
      <c r="B79" s="27">
        <v>44282</v>
      </c>
      <c r="C79" s="3" t="s">
        <v>54</v>
      </c>
      <c r="D79" s="23">
        <v>670</v>
      </c>
      <c r="E79" s="3">
        <v>307</v>
      </c>
      <c r="F79" s="3">
        <v>300</v>
      </c>
      <c r="G79" s="5">
        <v>22</v>
      </c>
      <c r="H79" s="5">
        <v>33</v>
      </c>
      <c r="I79" s="5">
        <v>40</v>
      </c>
      <c r="J79" s="3">
        <v>41</v>
      </c>
      <c r="L79" s="3">
        <f t="shared" si="3"/>
        <v>0.458208955223881</v>
      </c>
      <c r="M79" s="5">
        <f t="shared" si="7"/>
        <v>0</v>
      </c>
      <c r="N79" s="5">
        <f t="shared" si="8"/>
        <v>0</v>
      </c>
      <c r="X79" s="3"/>
      <c r="AT79" s="3">
        <v>36</v>
      </c>
      <c r="AU79" s="5">
        <v>1</v>
      </c>
      <c r="AV79" s="5">
        <v>1</v>
      </c>
      <c r="AW79" s="5">
        <v>0.1</v>
      </c>
      <c r="AX79" s="5">
        <v>1</v>
      </c>
    </row>
    <row r="80" s="5" customFormat="1" customHeight="1" spans="1:50">
      <c r="A80" s="18">
        <v>78</v>
      </c>
      <c r="B80" s="27">
        <v>44282</v>
      </c>
      <c r="C80" s="3" t="s">
        <v>54</v>
      </c>
      <c r="D80" s="23">
        <v>700</v>
      </c>
      <c r="E80" s="3">
        <v>360</v>
      </c>
      <c r="F80" s="3">
        <v>350</v>
      </c>
      <c r="G80" s="5">
        <v>22</v>
      </c>
      <c r="H80" s="5">
        <v>33</v>
      </c>
      <c r="I80" s="5">
        <v>40</v>
      </c>
      <c r="J80" s="3">
        <v>41</v>
      </c>
      <c r="L80" s="3">
        <f t="shared" si="3"/>
        <v>0.514285714285714</v>
      </c>
      <c r="M80" s="5">
        <f t="shared" si="7"/>
        <v>0</v>
      </c>
      <c r="N80" s="5">
        <f t="shared" si="8"/>
        <v>0</v>
      </c>
      <c r="X80" s="3"/>
      <c r="AT80" s="3">
        <v>36</v>
      </c>
      <c r="AU80" s="5">
        <v>1</v>
      </c>
      <c r="AV80" s="5">
        <v>1</v>
      </c>
      <c r="AW80" s="5">
        <v>0.1</v>
      </c>
      <c r="AX80" s="5">
        <v>1</v>
      </c>
    </row>
    <row r="81" s="5" customFormat="1" customHeight="1" spans="1:50">
      <c r="A81" s="18">
        <v>79</v>
      </c>
      <c r="B81" s="27">
        <v>44282</v>
      </c>
      <c r="C81" s="3" t="s">
        <v>54</v>
      </c>
      <c r="D81" s="23">
        <v>730</v>
      </c>
      <c r="E81" s="3">
        <v>400</v>
      </c>
      <c r="F81" s="3">
        <v>390</v>
      </c>
      <c r="G81" s="5">
        <v>22</v>
      </c>
      <c r="H81" s="5">
        <v>33</v>
      </c>
      <c r="I81" s="5">
        <v>40</v>
      </c>
      <c r="J81" s="3">
        <v>41</v>
      </c>
      <c r="L81" s="3">
        <f t="shared" si="3"/>
        <v>0.547945205479452</v>
      </c>
      <c r="M81" s="5">
        <f t="shared" si="7"/>
        <v>0.0575342465753425</v>
      </c>
      <c r="N81" s="5">
        <f t="shared" si="8"/>
        <v>42</v>
      </c>
      <c r="R81" s="5">
        <v>42</v>
      </c>
      <c r="X81" s="3"/>
      <c r="AT81" s="3">
        <v>36</v>
      </c>
      <c r="AU81" s="5">
        <v>1</v>
      </c>
      <c r="AV81" s="5">
        <v>1</v>
      </c>
      <c r="AW81" s="5">
        <v>0.1</v>
      </c>
      <c r="AX81" s="5">
        <v>1</v>
      </c>
    </row>
    <row r="82" s="5" customFormat="1" customHeight="1" spans="1:50">
      <c r="A82" s="18">
        <v>80</v>
      </c>
      <c r="B82" s="27">
        <v>44283</v>
      </c>
      <c r="C82" s="3" t="s">
        <v>54</v>
      </c>
      <c r="D82" s="23">
        <v>670</v>
      </c>
      <c r="E82" s="3">
        <v>335</v>
      </c>
      <c r="F82" s="3">
        <v>325</v>
      </c>
      <c r="G82" s="5">
        <v>22</v>
      </c>
      <c r="H82" s="5">
        <v>33</v>
      </c>
      <c r="I82" s="5">
        <v>40</v>
      </c>
      <c r="J82" s="3">
        <v>41</v>
      </c>
      <c r="L82" s="3">
        <f t="shared" si="3"/>
        <v>0.5</v>
      </c>
      <c r="M82" s="5">
        <f t="shared" si="7"/>
        <v>0.632835820895522</v>
      </c>
      <c r="N82" s="5">
        <f t="shared" si="8"/>
        <v>424</v>
      </c>
      <c r="P82" s="5">
        <v>17.5</v>
      </c>
      <c r="R82" s="5">
        <v>104.5</v>
      </c>
      <c r="X82" s="3"/>
      <c r="AB82" s="5">
        <v>302</v>
      </c>
      <c r="AT82" s="3">
        <v>36</v>
      </c>
      <c r="AU82" s="5">
        <v>1</v>
      </c>
      <c r="AV82" s="5">
        <v>1</v>
      </c>
      <c r="AW82" s="5">
        <v>0.1</v>
      </c>
      <c r="AX82" s="5">
        <v>1</v>
      </c>
    </row>
    <row r="83" s="5" customFormat="1" customHeight="1" spans="1:50">
      <c r="A83" s="18">
        <v>81</v>
      </c>
      <c r="B83" s="27">
        <v>44283</v>
      </c>
      <c r="C83" s="3" t="s">
        <v>54</v>
      </c>
      <c r="D83" s="23">
        <v>660</v>
      </c>
      <c r="E83" s="3">
        <v>342</v>
      </c>
      <c r="F83" s="3">
        <v>332</v>
      </c>
      <c r="G83" s="5">
        <v>22</v>
      </c>
      <c r="H83" s="5">
        <v>33</v>
      </c>
      <c r="I83" s="5">
        <v>40</v>
      </c>
      <c r="J83" s="3">
        <v>41</v>
      </c>
      <c r="L83" s="3">
        <f t="shared" si="3"/>
        <v>0.518181818181818</v>
      </c>
      <c r="M83" s="5">
        <f t="shared" si="7"/>
        <v>0.559818181818182</v>
      </c>
      <c r="N83" s="5">
        <f t="shared" si="8"/>
        <v>369.48</v>
      </c>
      <c r="P83" s="5">
        <v>16.6</v>
      </c>
      <c r="R83" s="5">
        <v>68</v>
      </c>
      <c r="T83" s="5">
        <f>9.47+9.6+5.89+2.5</f>
        <v>27.46</v>
      </c>
      <c r="V83" s="5">
        <v>11.6</v>
      </c>
      <c r="W83" s="5">
        <v>9.6</v>
      </c>
      <c r="X83" s="3">
        <v>4.72</v>
      </c>
      <c r="AB83" s="5">
        <v>156.5</v>
      </c>
      <c r="AC83" s="5">
        <v>17</v>
      </c>
      <c r="AE83" s="5">
        <v>4</v>
      </c>
      <c r="AQ83" s="5">
        <v>8</v>
      </c>
      <c r="AR83" s="5">
        <v>46</v>
      </c>
      <c r="AT83" s="3">
        <v>36</v>
      </c>
      <c r="AU83" s="5">
        <v>1</v>
      </c>
      <c r="AV83" s="5">
        <v>1</v>
      </c>
      <c r="AW83" s="5">
        <v>0.1</v>
      </c>
      <c r="AX83" s="5">
        <v>1</v>
      </c>
    </row>
    <row r="84" s="5" customFormat="1" customHeight="1" spans="1:50">
      <c r="A84" s="18">
        <v>82</v>
      </c>
      <c r="B84" s="27">
        <v>44283</v>
      </c>
      <c r="C84" s="3" t="s">
        <v>54</v>
      </c>
      <c r="D84" s="23">
        <v>660</v>
      </c>
      <c r="E84" s="3">
        <v>335</v>
      </c>
      <c r="F84" s="3">
        <v>325</v>
      </c>
      <c r="G84" s="5">
        <v>22</v>
      </c>
      <c r="H84" s="5">
        <v>33</v>
      </c>
      <c r="I84" s="5">
        <v>40</v>
      </c>
      <c r="J84" s="3">
        <v>41</v>
      </c>
      <c r="L84" s="3">
        <f t="shared" si="3"/>
        <v>0.507575757575758</v>
      </c>
      <c r="M84" s="5">
        <f t="shared" si="7"/>
        <v>0.892333333333333</v>
      </c>
      <c r="N84" s="5">
        <f t="shared" si="8"/>
        <v>588.94</v>
      </c>
      <c r="P84" s="5">
        <v>7.8</v>
      </c>
      <c r="R84" s="5">
        <v>74</v>
      </c>
      <c r="T84" s="5">
        <f>11.3+9.9+8.8+9.7+4.97+12.3+8+14.3+1.8+12.4+8.2+7.4+7.7+3.27</f>
        <v>120.04</v>
      </c>
      <c r="U84" s="5">
        <f>7.3</f>
        <v>7.3</v>
      </c>
      <c r="V84" s="5">
        <f>6+5.7+12.5+7.6+7.3+7.3+0.9</f>
        <v>47.3</v>
      </c>
      <c r="W84" s="5">
        <f>8.6+5.1+4.6+5+5+5.3+4.2</f>
        <v>37.8</v>
      </c>
      <c r="X84" s="3"/>
      <c r="Y84" s="5">
        <v>5</v>
      </c>
      <c r="AB84" s="5">
        <v>234</v>
      </c>
      <c r="AC84" s="5">
        <v>23.6</v>
      </c>
      <c r="AN84" s="5">
        <v>5.1</v>
      </c>
      <c r="AQ84" s="5">
        <v>5</v>
      </c>
      <c r="AR84" s="5">
        <v>22</v>
      </c>
      <c r="AT84" s="3">
        <v>36</v>
      </c>
      <c r="AU84" s="5">
        <v>1</v>
      </c>
      <c r="AV84" s="5">
        <v>1</v>
      </c>
      <c r="AW84" s="5">
        <v>0.1</v>
      </c>
      <c r="AX84" s="5">
        <v>1</v>
      </c>
    </row>
    <row r="85" s="5" customFormat="1" customHeight="1" spans="1:50">
      <c r="A85" s="18">
        <v>83</v>
      </c>
      <c r="B85" s="27">
        <v>44283</v>
      </c>
      <c r="C85" s="3" t="s">
        <v>54</v>
      </c>
      <c r="D85" s="23">
        <v>660</v>
      </c>
      <c r="E85" s="3">
        <v>370</v>
      </c>
      <c r="F85" s="3">
        <v>360</v>
      </c>
      <c r="G85" s="5">
        <v>22</v>
      </c>
      <c r="H85" s="5">
        <v>33</v>
      </c>
      <c r="I85" s="5">
        <v>40</v>
      </c>
      <c r="J85" s="3">
        <v>41</v>
      </c>
      <c r="L85" s="3">
        <f t="shared" si="3"/>
        <v>0.560606060606061</v>
      </c>
      <c r="M85" s="5">
        <f t="shared" si="7"/>
        <v>0.632666666666667</v>
      </c>
      <c r="N85" s="5">
        <f t="shared" si="8"/>
        <v>417.56</v>
      </c>
      <c r="R85" s="5">
        <v>98.5</v>
      </c>
      <c r="U85" s="5">
        <v>5.77</v>
      </c>
      <c r="X85" s="3"/>
      <c r="AA85" s="5">
        <v>3.4</v>
      </c>
      <c r="AB85" s="5">
        <v>223</v>
      </c>
      <c r="AC85" s="5">
        <f>13+12.1+8.79</f>
        <v>33.89</v>
      </c>
      <c r="AQ85" s="5">
        <v>16</v>
      </c>
      <c r="AR85" s="5">
        <v>37</v>
      </c>
      <c r="AT85" s="3">
        <v>36</v>
      </c>
      <c r="AU85" s="5">
        <v>1</v>
      </c>
      <c r="AV85" s="5">
        <v>1</v>
      </c>
      <c r="AW85" s="5">
        <v>0.1</v>
      </c>
      <c r="AX85" s="5">
        <v>1</v>
      </c>
    </row>
    <row r="86" s="5" customFormat="1" customHeight="1" spans="1:50">
      <c r="A86" s="18">
        <v>84</v>
      </c>
      <c r="B86" s="27">
        <v>44284</v>
      </c>
      <c r="C86" s="3" t="s">
        <v>55</v>
      </c>
      <c r="D86" s="23">
        <v>850</v>
      </c>
      <c r="E86" s="3">
        <v>440.5</v>
      </c>
      <c r="F86" s="3">
        <v>432.5</v>
      </c>
      <c r="G86" s="5">
        <v>22</v>
      </c>
      <c r="H86" s="3">
        <v>53</v>
      </c>
      <c r="I86" s="5">
        <v>48</v>
      </c>
      <c r="J86" s="3">
        <v>52</v>
      </c>
      <c r="L86" s="3">
        <f t="shared" si="3"/>
        <v>0.518235294117647</v>
      </c>
      <c r="M86" s="5">
        <f t="shared" si="7"/>
        <v>0.343082352941176</v>
      </c>
      <c r="N86" s="5">
        <f t="shared" si="8"/>
        <v>291.62</v>
      </c>
      <c r="R86" s="5">
        <v>5.8</v>
      </c>
      <c r="T86" s="5">
        <f>15.5+15+9.52+14.7+15.6+16.3+9.7+17.4+8.3+15.3+6.4</f>
        <v>143.72</v>
      </c>
      <c r="V86" s="5">
        <f>12.5+12.3+8.3+7.6+13.5+11.8</f>
        <v>66</v>
      </c>
      <c r="W86" s="5">
        <f>14+9.7+4.5+17.6</f>
        <v>45.8</v>
      </c>
      <c r="X86" s="3">
        <v>7.8</v>
      </c>
      <c r="AB86" s="5">
        <v>7</v>
      </c>
      <c r="AF86" s="5">
        <v>5.5</v>
      </c>
      <c r="AR86" s="5">
        <v>10</v>
      </c>
      <c r="AT86" s="3">
        <v>100</v>
      </c>
      <c r="AU86" s="5">
        <v>0</v>
      </c>
      <c r="AV86" s="5">
        <v>1</v>
      </c>
      <c r="AW86" s="5">
        <v>0.1</v>
      </c>
      <c r="AX86" s="5">
        <v>1</v>
      </c>
    </row>
    <row r="87" s="5" customFormat="1" customHeight="1" spans="1:50">
      <c r="A87" s="18">
        <v>85</v>
      </c>
      <c r="B87" s="27">
        <v>44284</v>
      </c>
      <c r="C87" s="3" t="s">
        <v>55</v>
      </c>
      <c r="D87" s="23">
        <v>850</v>
      </c>
      <c r="E87" s="3">
        <v>412.5</v>
      </c>
      <c r="F87" s="3">
        <v>401</v>
      </c>
      <c r="G87" s="5">
        <v>22</v>
      </c>
      <c r="H87" s="3">
        <v>48</v>
      </c>
      <c r="I87" s="5">
        <v>50</v>
      </c>
      <c r="J87" s="3">
        <v>55</v>
      </c>
      <c r="L87" s="3">
        <f t="shared" si="3"/>
        <v>0.485294117647059</v>
      </c>
      <c r="M87" s="5">
        <f t="shared" si="7"/>
        <v>0.406941176470588</v>
      </c>
      <c r="N87" s="5">
        <f t="shared" si="8"/>
        <v>345.9</v>
      </c>
      <c r="P87" s="5">
        <v>6.2</v>
      </c>
      <c r="R87" s="5">
        <v>50</v>
      </c>
      <c r="V87" s="5">
        <v>14.2</v>
      </c>
      <c r="X87" s="3">
        <v>4.2</v>
      </c>
      <c r="Y87" s="5">
        <v>6</v>
      </c>
      <c r="Z87" s="5">
        <v>12.7</v>
      </c>
      <c r="AB87" s="5">
        <v>112.5</v>
      </c>
      <c r="AC87" s="5">
        <f>51+31+30</f>
        <v>112</v>
      </c>
      <c r="AF87" s="5">
        <v>4</v>
      </c>
      <c r="AN87" s="5">
        <v>4.1</v>
      </c>
      <c r="AQ87" s="5">
        <v>7</v>
      </c>
      <c r="AR87" s="5">
        <v>13</v>
      </c>
      <c r="AT87" s="3">
        <v>100</v>
      </c>
      <c r="AU87" s="5">
        <v>0</v>
      </c>
      <c r="AV87" s="5">
        <v>1</v>
      </c>
      <c r="AW87" s="5">
        <v>0.1</v>
      </c>
      <c r="AX87" s="5">
        <v>1</v>
      </c>
    </row>
    <row r="88" s="5" customFormat="1" customHeight="1" spans="1:50">
      <c r="A88" s="18">
        <v>86</v>
      </c>
      <c r="B88" s="27">
        <v>44285</v>
      </c>
      <c r="C88" s="3" t="s">
        <v>57</v>
      </c>
      <c r="D88" s="23">
        <v>400</v>
      </c>
      <c r="E88" s="3">
        <v>183</v>
      </c>
      <c r="F88" s="3">
        <v>174</v>
      </c>
      <c r="G88" s="5">
        <v>22</v>
      </c>
      <c r="H88" s="3">
        <v>12</v>
      </c>
      <c r="I88" s="5">
        <v>18</v>
      </c>
      <c r="J88" s="3">
        <v>30</v>
      </c>
      <c r="L88" s="3">
        <f t="shared" si="3"/>
        <v>0.4575</v>
      </c>
      <c r="M88" s="5">
        <f t="shared" si="7"/>
        <v>1.259</v>
      </c>
      <c r="N88" s="5">
        <f t="shared" si="8"/>
        <v>503.6</v>
      </c>
      <c r="P88" s="5">
        <f>24.5+27.5</f>
        <v>52</v>
      </c>
      <c r="R88" s="5">
        <f>13.3+13.2+17.2</f>
        <v>43.7</v>
      </c>
      <c r="T88" s="5">
        <f>9.6+13.1+6.2+5.7+13.4+14.8+13.4+9.1+8.1+6.2+8.3+6.4+9.4+8.6</f>
        <v>132.3</v>
      </c>
      <c r="U88" s="5">
        <v>8.8</v>
      </c>
      <c r="V88" s="5">
        <f>13.3+5.7+13.1+3.4+5.4+3.9+8.8+7.9+0</f>
        <v>61.5</v>
      </c>
      <c r="W88" s="5">
        <f>8.1+13.1+2.2+2.2+2.9+2.4+3.1+1.5</f>
        <v>35.5</v>
      </c>
      <c r="X88" s="3"/>
      <c r="AB88" s="5">
        <v>101</v>
      </c>
      <c r="AC88" s="5">
        <v>50</v>
      </c>
      <c r="AF88" s="5">
        <f>5.8+3.3</f>
        <v>9.1</v>
      </c>
      <c r="AN88" s="5">
        <v>2.3</v>
      </c>
      <c r="AP88" s="5">
        <v>0.4</v>
      </c>
      <c r="AQ88" s="5">
        <v>2</v>
      </c>
      <c r="AR88" s="5">
        <v>5</v>
      </c>
      <c r="AT88" s="3">
        <v>22</v>
      </c>
      <c r="AU88" s="5">
        <v>1</v>
      </c>
      <c r="AV88" s="5">
        <v>1</v>
      </c>
      <c r="AW88" s="5">
        <v>0.1</v>
      </c>
      <c r="AX88" s="5">
        <v>1</v>
      </c>
    </row>
    <row r="89" s="5" customFormat="1" customHeight="1" spans="1:50">
      <c r="A89" s="18">
        <v>87</v>
      </c>
      <c r="B89" s="27">
        <v>44285</v>
      </c>
      <c r="C89" s="3" t="s">
        <v>57</v>
      </c>
      <c r="D89" s="23">
        <v>400</v>
      </c>
      <c r="E89" s="3">
        <v>200</v>
      </c>
      <c r="F89" s="3">
        <v>192</v>
      </c>
      <c r="G89" s="5">
        <v>22</v>
      </c>
      <c r="H89" s="3">
        <v>12</v>
      </c>
      <c r="I89" s="5">
        <v>18</v>
      </c>
      <c r="J89" s="3">
        <v>30</v>
      </c>
      <c r="L89" s="3">
        <f t="shared" si="3"/>
        <v>0.5</v>
      </c>
      <c r="M89" s="5">
        <f t="shared" si="7"/>
        <v>0.60175</v>
      </c>
      <c r="N89" s="5">
        <f t="shared" si="8"/>
        <v>240.7</v>
      </c>
      <c r="R89" s="5">
        <v>5</v>
      </c>
      <c r="T89" s="5">
        <v>49.7</v>
      </c>
      <c r="X89" s="3"/>
      <c r="AB89" s="5">
        <v>186</v>
      </c>
      <c r="AT89" s="3">
        <v>23</v>
      </c>
      <c r="AU89" s="5">
        <v>1</v>
      </c>
      <c r="AV89" s="5">
        <v>1</v>
      </c>
      <c r="AW89" s="5">
        <v>0.1</v>
      </c>
      <c r="AX89" s="5">
        <v>1</v>
      </c>
    </row>
    <row r="90" s="5" customFormat="1" customHeight="1" spans="1:50">
      <c r="A90" s="18">
        <v>88</v>
      </c>
      <c r="B90" s="27">
        <v>44285</v>
      </c>
      <c r="C90" s="3" t="s">
        <v>57</v>
      </c>
      <c r="D90" s="23">
        <v>380</v>
      </c>
      <c r="E90" s="3">
        <v>188</v>
      </c>
      <c r="F90" s="3">
        <v>182</v>
      </c>
      <c r="G90" s="5">
        <v>22</v>
      </c>
      <c r="H90" s="3">
        <v>12</v>
      </c>
      <c r="I90" s="5">
        <v>18</v>
      </c>
      <c r="J90" s="3">
        <v>30</v>
      </c>
      <c r="L90" s="3">
        <f t="shared" si="3"/>
        <v>0.494736842105263</v>
      </c>
      <c r="M90" s="5">
        <f t="shared" si="7"/>
        <v>0.852236842105263</v>
      </c>
      <c r="N90" s="5">
        <f t="shared" si="8"/>
        <v>323.85</v>
      </c>
      <c r="R90" s="5">
        <v>92.5</v>
      </c>
      <c r="T90" s="5">
        <f>8+9.25+2.5+6.8+8+10.3</f>
        <v>44.85</v>
      </c>
      <c r="V90" s="5">
        <f>3.5+9.5+5.8</f>
        <v>18.8</v>
      </c>
      <c r="W90" s="5">
        <f>2.3+2.7+2.7+8.6+4.6</f>
        <v>20.9</v>
      </c>
      <c r="X90" s="3">
        <v>5.7</v>
      </c>
      <c r="Y90" s="5">
        <v>2.6</v>
      </c>
      <c r="AB90" s="5">
        <v>138.5</v>
      </c>
      <c r="AT90" s="3">
        <v>23</v>
      </c>
      <c r="AU90" s="5">
        <v>1</v>
      </c>
      <c r="AV90" s="5">
        <v>1</v>
      </c>
      <c r="AW90" s="5">
        <v>0.1</v>
      </c>
      <c r="AX90" s="5">
        <v>1</v>
      </c>
    </row>
    <row r="91" s="5" customFormat="1" customHeight="1" spans="1:50">
      <c r="A91" s="18">
        <v>89</v>
      </c>
      <c r="B91" s="27">
        <v>44285</v>
      </c>
      <c r="C91" s="3" t="s">
        <v>57</v>
      </c>
      <c r="D91" s="23">
        <v>370</v>
      </c>
      <c r="E91" s="3">
        <v>189</v>
      </c>
      <c r="F91" s="3">
        <v>183</v>
      </c>
      <c r="G91" s="5">
        <v>22</v>
      </c>
      <c r="H91" s="3">
        <v>12</v>
      </c>
      <c r="I91" s="5">
        <v>18</v>
      </c>
      <c r="J91" s="3">
        <v>30</v>
      </c>
      <c r="L91" s="3">
        <f t="shared" si="3"/>
        <v>0.510810810810811</v>
      </c>
      <c r="M91" s="5">
        <f t="shared" si="7"/>
        <v>1.09021621621622</v>
      </c>
      <c r="N91" s="5">
        <f t="shared" si="8"/>
        <v>403.38</v>
      </c>
      <c r="P91" s="5">
        <v>7.2</v>
      </c>
      <c r="R91" s="5">
        <v>99</v>
      </c>
      <c r="U91" s="5">
        <v>3</v>
      </c>
      <c r="X91" s="3">
        <v>2.38</v>
      </c>
      <c r="Y91" s="5">
        <v>3.2</v>
      </c>
      <c r="AB91" s="5">
        <v>220</v>
      </c>
      <c r="AF91" s="5">
        <v>5.3</v>
      </c>
      <c r="AP91" s="5">
        <f>5.3</f>
        <v>5.3</v>
      </c>
      <c r="AQ91" s="5">
        <v>35</v>
      </c>
      <c r="AR91" s="5">
        <v>23</v>
      </c>
      <c r="AT91" s="3">
        <v>23</v>
      </c>
      <c r="AU91" s="5">
        <v>1</v>
      </c>
      <c r="AV91" s="5">
        <v>1</v>
      </c>
      <c r="AW91" s="5">
        <v>0.1</v>
      </c>
      <c r="AX91" s="5">
        <v>1</v>
      </c>
    </row>
    <row r="92" s="5" customFormat="1" customHeight="1" spans="1:50">
      <c r="A92" s="18">
        <v>90</v>
      </c>
      <c r="B92" s="27">
        <v>44291</v>
      </c>
      <c r="C92" s="3" t="s">
        <v>54</v>
      </c>
      <c r="D92" s="23">
        <v>750</v>
      </c>
      <c r="E92" s="3">
        <f>447</f>
        <v>447</v>
      </c>
      <c r="F92" s="3">
        <v>437</v>
      </c>
      <c r="G92" s="5">
        <v>22</v>
      </c>
      <c r="H92" s="3">
        <v>30</v>
      </c>
      <c r="I92" s="5">
        <v>45</v>
      </c>
      <c r="J92" s="3">
        <v>46</v>
      </c>
      <c r="L92" s="3">
        <f t="shared" si="3"/>
        <v>0.596</v>
      </c>
      <c r="M92" s="5">
        <f t="shared" si="7"/>
        <v>0.262533333333333</v>
      </c>
      <c r="N92" s="5">
        <f t="shared" si="8"/>
        <v>196.9</v>
      </c>
      <c r="R92" s="5">
        <v>33</v>
      </c>
      <c r="X92" s="3">
        <v>98.9</v>
      </c>
      <c r="AB92" s="5">
        <v>65</v>
      </c>
      <c r="AT92" s="3">
        <v>36</v>
      </c>
      <c r="AU92" s="5">
        <v>1</v>
      </c>
      <c r="AV92" s="5">
        <v>1</v>
      </c>
      <c r="AW92" s="5">
        <v>0.1</v>
      </c>
      <c r="AX92" s="5">
        <v>1</v>
      </c>
    </row>
    <row r="93" s="5" customFormat="1" customHeight="1" spans="1:50">
      <c r="A93" s="18">
        <v>91</v>
      </c>
      <c r="B93" s="27">
        <v>44291</v>
      </c>
      <c r="C93" s="3" t="s">
        <v>54</v>
      </c>
      <c r="D93" s="23">
        <v>750</v>
      </c>
      <c r="E93" s="3">
        <v>443.5</v>
      </c>
      <c r="F93" s="3">
        <v>433</v>
      </c>
      <c r="G93" s="5">
        <v>22</v>
      </c>
      <c r="H93" s="3">
        <v>30</v>
      </c>
      <c r="I93" s="5">
        <v>45</v>
      </c>
      <c r="J93" s="3">
        <v>46</v>
      </c>
      <c r="L93" s="3">
        <f t="shared" si="3"/>
        <v>0.591333333333333</v>
      </c>
      <c r="M93" s="5">
        <f t="shared" si="7"/>
        <v>0.356106666666667</v>
      </c>
      <c r="N93" s="5">
        <f t="shared" si="8"/>
        <v>267.08</v>
      </c>
      <c r="R93" s="5">
        <v>27.5</v>
      </c>
      <c r="T93" s="5">
        <v>6.2</v>
      </c>
      <c r="U93" s="5">
        <v>5.6</v>
      </c>
      <c r="X93" s="3"/>
      <c r="Z93" s="5">
        <v>12.3</v>
      </c>
      <c r="AB93" s="5">
        <v>156</v>
      </c>
      <c r="AN93" s="5">
        <v>1.98</v>
      </c>
      <c r="AQ93" s="5">
        <v>19.5</v>
      </c>
      <c r="AR93" s="5">
        <v>38</v>
      </c>
      <c r="AT93" s="3">
        <v>36</v>
      </c>
      <c r="AU93" s="5">
        <v>1</v>
      </c>
      <c r="AV93" s="5">
        <v>1</v>
      </c>
      <c r="AW93" s="5">
        <v>0.1</v>
      </c>
      <c r="AX93" s="5">
        <v>1</v>
      </c>
    </row>
    <row r="94" s="5" customFormat="1" customHeight="1" spans="1:50">
      <c r="A94" s="18">
        <v>92</v>
      </c>
      <c r="B94" s="27">
        <v>44292</v>
      </c>
      <c r="C94" s="3" t="s">
        <v>54</v>
      </c>
      <c r="D94" s="23">
        <v>710</v>
      </c>
      <c r="E94" s="3">
        <v>440</v>
      </c>
      <c r="F94" s="3">
        <v>430</v>
      </c>
      <c r="G94" s="5">
        <v>22</v>
      </c>
      <c r="H94" s="3">
        <v>30</v>
      </c>
      <c r="I94" s="5">
        <v>40</v>
      </c>
      <c r="J94" s="3">
        <v>46</v>
      </c>
      <c r="L94" s="3">
        <f t="shared" si="3"/>
        <v>0.619718309859155</v>
      </c>
      <c r="M94" s="5">
        <f t="shared" si="7"/>
        <v>0.471830985915493</v>
      </c>
      <c r="N94" s="5">
        <f t="shared" si="8"/>
        <v>335</v>
      </c>
      <c r="P94" s="5">
        <v>3</v>
      </c>
      <c r="R94" s="5">
        <v>28</v>
      </c>
      <c r="V94" s="5">
        <v>54.5</v>
      </c>
      <c r="X94" s="3"/>
      <c r="Z94" s="5">
        <v>3</v>
      </c>
      <c r="AB94" s="5">
        <v>246.5</v>
      </c>
      <c r="AT94" s="3">
        <v>36</v>
      </c>
      <c r="AU94" s="5">
        <v>1</v>
      </c>
      <c r="AV94" s="5">
        <v>1</v>
      </c>
      <c r="AW94" s="5">
        <v>0.1</v>
      </c>
      <c r="AX94" s="5">
        <v>1</v>
      </c>
    </row>
    <row r="95" s="5" customFormat="1" customHeight="1" spans="1:50">
      <c r="A95" s="18">
        <v>93</v>
      </c>
      <c r="B95" s="27">
        <v>44292</v>
      </c>
      <c r="C95" s="3" t="s">
        <v>54</v>
      </c>
      <c r="D95" s="23">
        <v>720</v>
      </c>
      <c r="E95" s="3">
        <v>394.5</v>
      </c>
      <c r="F95" s="3">
        <v>383</v>
      </c>
      <c r="G95" s="5">
        <v>22</v>
      </c>
      <c r="H95" s="3">
        <v>30</v>
      </c>
      <c r="I95" s="5">
        <v>40</v>
      </c>
      <c r="J95" s="3">
        <v>46</v>
      </c>
      <c r="L95" s="3">
        <f t="shared" si="3"/>
        <v>0.547916666666667</v>
      </c>
      <c r="M95" s="5">
        <f t="shared" si="7"/>
        <v>0.281583333333333</v>
      </c>
      <c r="N95" s="5">
        <f t="shared" si="8"/>
        <v>202.74</v>
      </c>
      <c r="O95" s="5">
        <f>11.15+10.8</f>
        <v>21.95</v>
      </c>
      <c r="P95" s="5">
        <v>33.9</v>
      </c>
      <c r="R95" s="5">
        <v>134</v>
      </c>
      <c r="X95" s="3">
        <v>2.89</v>
      </c>
      <c r="AB95" s="5">
        <v>10</v>
      </c>
      <c r="AT95" s="3">
        <v>36</v>
      </c>
      <c r="AU95" s="5">
        <v>1</v>
      </c>
      <c r="AV95" s="5">
        <v>1</v>
      </c>
      <c r="AW95" s="5">
        <v>0.1</v>
      </c>
      <c r="AX95" s="5">
        <v>1</v>
      </c>
    </row>
    <row r="96" s="5" customFormat="1" customHeight="1" spans="1:50">
      <c r="A96" s="18">
        <v>94</v>
      </c>
      <c r="B96" s="27">
        <v>44292</v>
      </c>
      <c r="C96" s="3" t="s">
        <v>54</v>
      </c>
      <c r="D96" s="23">
        <v>720</v>
      </c>
      <c r="E96" s="3">
        <v>410</v>
      </c>
      <c r="F96" s="3">
        <v>400</v>
      </c>
      <c r="G96" s="5">
        <v>22</v>
      </c>
      <c r="H96" s="3">
        <v>30</v>
      </c>
      <c r="I96" s="5">
        <v>40</v>
      </c>
      <c r="J96" s="3">
        <v>46</v>
      </c>
      <c r="L96" s="3">
        <f t="shared" si="3"/>
        <v>0.569444444444444</v>
      </c>
      <c r="M96" s="5">
        <f t="shared" si="7"/>
        <v>0.506291666666667</v>
      </c>
      <c r="N96" s="5">
        <f t="shared" si="8"/>
        <v>364.53</v>
      </c>
      <c r="P96" s="5">
        <f>3+5.7+1.98+17.5+5+0.87+1.75</f>
        <v>35.8</v>
      </c>
      <c r="Q96" s="5">
        <f>6.9</f>
        <v>6.9</v>
      </c>
      <c r="R96" s="5">
        <v>33</v>
      </c>
      <c r="S96" s="5">
        <f>3.89+3.49+0.7</f>
        <v>8.08</v>
      </c>
      <c r="T96" s="5">
        <f>8.3+7.2+7.3+7.49</f>
        <v>30.29</v>
      </c>
      <c r="U96" s="5">
        <f>11.7+5.5+7.3+8.1+2.6</f>
        <v>35.2</v>
      </c>
      <c r="V96" s="5">
        <f>8.1+7.4+0.49</f>
        <v>15.99</v>
      </c>
      <c r="W96" s="5">
        <f>7+6.9+2.2</f>
        <v>16.1</v>
      </c>
      <c r="X96" s="3">
        <v>10.1</v>
      </c>
      <c r="Y96" s="5">
        <f>2.6+5.98</f>
        <v>8.58</v>
      </c>
      <c r="AA96" s="5">
        <f>9.7+9.7+10.1+9.6</f>
        <v>39.1</v>
      </c>
      <c r="AB96" s="5">
        <v>25</v>
      </c>
      <c r="AC96" s="5">
        <f>13.6+6.1+21.6</f>
        <v>41.3</v>
      </c>
      <c r="AE96" s="5">
        <f>10.4+7.9+4.3</f>
        <v>22.6</v>
      </c>
      <c r="AF96" s="5">
        <v>5.49</v>
      </c>
      <c r="AQ96" s="5">
        <v>7</v>
      </c>
      <c r="AR96" s="5">
        <v>24</v>
      </c>
      <c r="AT96" s="3">
        <v>36</v>
      </c>
      <c r="AU96" s="5">
        <v>1</v>
      </c>
      <c r="AV96" s="5">
        <v>1</v>
      </c>
      <c r="AW96" s="5">
        <v>0.1</v>
      </c>
      <c r="AX96" s="5">
        <v>1</v>
      </c>
    </row>
    <row r="97" s="5" customFormat="1" customHeight="1" spans="1:50">
      <c r="A97" s="18">
        <v>95</v>
      </c>
      <c r="B97" s="27">
        <v>44296</v>
      </c>
      <c r="C97" s="3" t="s">
        <v>57</v>
      </c>
      <c r="D97" s="23">
        <v>410</v>
      </c>
      <c r="E97" s="3">
        <v>250</v>
      </c>
      <c r="F97" s="3">
        <v>242</v>
      </c>
      <c r="G97" s="5">
        <v>22</v>
      </c>
      <c r="H97" s="3">
        <v>14</v>
      </c>
      <c r="I97" s="5">
        <v>19</v>
      </c>
      <c r="J97" s="3">
        <v>32</v>
      </c>
      <c r="L97" s="3">
        <f t="shared" si="3"/>
        <v>0.609756097560976</v>
      </c>
      <c r="M97" s="5">
        <f t="shared" si="7"/>
        <v>0.727560975609756</v>
      </c>
      <c r="N97" s="5">
        <f t="shared" si="8"/>
        <v>298.3</v>
      </c>
      <c r="R97" s="5">
        <v>25</v>
      </c>
      <c r="X97" s="3"/>
      <c r="Y97" s="5">
        <v>2.9</v>
      </c>
      <c r="Z97" s="5">
        <v>13.3</v>
      </c>
      <c r="AA97" s="5">
        <f>9.1+8.2+7.3+7.5</f>
        <v>32.1</v>
      </c>
      <c r="AB97" s="5">
        <v>216</v>
      </c>
      <c r="AQ97" s="5">
        <v>9</v>
      </c>
      <c r="AT97" s="3">
        <v>20</v>
      </c>
      <c r="AU97" s="5">
        <v>1</v>
      </c>
      <c r="AV97" s="5">
        <v>1</v>
      </c>
      <c r="AW97" s="5">
        <v>0.1</v>
      </c>
      <c r="AX97" s="5">
        <v>1</v>
      </c>
    </row>
    <row r="98" s="5" customFormat="1" customHeight="1" spans="1:50">
      <c r="A98" s="18">
        <v>96</v>
      </c>
      <c r="B98" s="27">
        <v>44296</v>
      </c>
      <c r="C98" s="3" t="s">
        <v>57</v>
      </c>
      <c r="D98" s="23">
        <v>410</v>
      </c>
      <c r="E98" s="3">
        <v>241</v>
      </c>
      <c r="F98" s="3">
        <v>232</v>
      </c>
      <c r="G98" s="5">
        <v>22</v>
      </c>
      <c r="H98" s="3">
        <v>14</v>
      </c>
      <c r="I98" s="5">
        <v>19</v>
      </c>
      <c r="J98" s="3">
        <v>32</v>
      </c>
      <c r="L98" s="3">
        <f t="shared" si="3"/>
        <v>0.58780487804878</v>
      </c>
      <c r="M98" s="5">
        <f t="shared" si="7"/>
        <v>1.15314634146341</v>
      </c>
      <c r="N98" s="5">
        <f t="shared" si="8"/>
        <v>472.79</v>
      </c>
      <c r="R98" s="5">
        <v>85</v>
      </c>
      <c r="T98" s="5">
        <f>7.99+14.3+9.4+7.4+14+16.4</f>
        <v>69.49</v>
      </c>
      <c r="V98" s="5">
        <f>15.3+9.5</f>
        <v>24.8</v>
      </c>
      <c r="W98" s="5">
        <f>11.2+6+7.9</f>
        <v>25.1</v>
      </c>
      <c r="X98" s="3"/>
      <c r="AA98" s="5">
        <f>5.3+5.9+11.7</f>
        <v>22.9</v>
      </c>
      <c r="AB98" s="5">
        <v>238.5</v>
      </c>
      <c r="AQ98" s="5">
        <v>7</v>
      </c>
      <c r="AT98" s="3">
        <v>20</v>
      </c>
      <c r="AU98" s="5">
        <v>1</v>
      </c>
      <c r="AV98" s="5">
        <v>1</v>
      </c>
      <c r="AW98" s="5">
        <v>0.1</v>
      </c>
      <c r="AX98" s="5">
        <v>1</v>
      </c>
    </row>
    <row r="99" s="5" customFormat="1" customHeight="1" spans="1:50">
      <c r="A99" s="18">
        <v>97</v>
      </c>
      <c r="B99" s="27">
        <v>44296</v>
      </c>
      <c r="C99" s="3" t="s">
        <v>57</v>
      </c>
      <c r="D99" s="23">
        <v>410</v>
      </c>
      <c r="E99" s="3">
        <v>222</v>
      </c>
      <c r="F99" s="3">
        <v>212</v>
      </c>
      <c r="G99" s="5">
        <v>22</v>
      </c>
      <c r="H99" s="3">
        <v>14</v>
      </c>
      <c r="I99" s="5">
        <v>19</v>
      </c>
      <c r="J99" s="3">
        <v>32</v>
      </c>
      <c r="L99" s="3">
        <f t="shared" si="3"/>
        <v>0.541463414634146</v>
      </c>
      <c r="M99" s="5">
        <f t="shared" si="7"/>
        <v>0.51790243902439</v>
      </c>
      <c r="N99" s="5">
        <f t="shared" si="8"/>
        <v>212.34</v>
      </c>
      <c r="R99" s="5">
        <v>2.5</v>
      </c>
      <c r="X99" s="3">
        <f>1.38+28</f>
        <v>29.38</v>
      </c>
      <c r="AB99" s="5">
        <v>116.5</v>
      </c>
      <c r="AF99" s="5">
        <v>5.96</v>
      </c>
      <c r="AQ99" s="5">
        <v>26</v>
      </c>
      <c r="AR99" s="5">
        <v>32</v>
      </c>
      <c r="AT99" s="3">
        <v>20</v>
      </c>
      <c r="AU99" s="5">
        <v>1</v>
      </c>
      <c r="AV99" s="5">
        <v>1</v>
      </c>
      <c r="AW99" s="5">
        <v>0.1</v>
      </c>
      <c r="AX99" s="5">
        <v>1</v>
      </c>
    </row>
    <row r="100" s="5" customFormat="1" customHeight="1" spans="1:50">
      <c r="A100" s="18">
        <v>98</v>
      </c>
      <c r="B100" s="27">
        <v>44296</v>
      </c>
      <c r="C100" s="3" t="s">
        <v>57</v>
      </c>
      <c r="D100" s="23">
        <v>420</v>
      </c>
      <c r="E100" s="3">
        <v>214</v>
      </c>
      <c r="F100" s="3">
        <v>204</v>
      </c>
      <c r="G100" s="5">
        <v>22</v>
      </c>
      <c r="H100" s="3">
        <v>14</v>
      </c>
      <c r="I100" s="5">
        <v>19</v>
      </c>
      <c r="J100" s="3">
        <v>32</v>
      </c>
      <c r="L100" s="3">
        <f t="shared" ref="L100:L149" si="9">E100/D100</f>
        <v>0.509523809523809</v>
      </c>
      <c r="M100" s="5">
        <f t="shared" si="7"/>
        <v>0.989095238095238</v>
      </c>
      <c r="N100" s="5">
        <f t="shared" si="8"/>
        <v>415.42</v>
      </c>
      <c r="P100" s="5">
        <f>13.7+24.5+25.8</f>
        <v>64</v>
      </c>
      <c r="R100" s="5">
        <v>21.5</v>
      </c>
      <c r="U100" s="5">
        <v>4.39</v>
      </c>
      <c r="V100" s="5">
        <f>10.9+8.1+8.66+5.7+4.6+8.97</f>
        <v>46.93</v>
      </c>
      <c r="X100" s="3"/>
      <c r="AB100" s="5">
        <v>240.5</v>
      </c>
      <c r="AC100" s="5">
        <f>9+6.2+21</f>
        <v>36.2</v>
      </c>
      <c r="AG100" s="5">
        <v>1.9</v>
      </c>
      <c r="AT100" s="3">
        <v>20</v>
      </c>
      <c r="AU100" s="5">
        <v>1</v>
      </c>
      <c r="AV100" s="5">
        <v>1</v>
      </c>
      <c r="AW100" s="5">
        <v>0.1</v>
      </c>
      <c r="AX100" s="5">
        <v>1</v>
      </c>
    </row>
    <row r="101" s="5" customFormat="1" customHeight="1" spans="1:50">
      <c r="A101" s="18">
        <v>99</v>
      </c>
      <c r="B101" s="27">
        <v>44298</v>
      </c>
      <c r="C101" s="3" t="s">
        <v>57</v>
      </c>
      <c r="D101" s="23">
        <v>500</v>
      </c>
      <c r="E101" s="3">
        <v>258</v>
      </c>
      <c r="F101" s="3">
        <v>248</v>
      </c>
      <c r="G101" s="5">
        <v>22</v>
      </c>
      <c r="H101" s="3">
        <v>14</v>
      </c>
      <c r="I101" s="5">
        <v>19</v>
      </c>
      <c r="J101" s="3">
        <v>32</v>
      </c>
      <c r="L101" s="3">
        <f t="shared" si="9"/>
        <v>0.516</v>
      </c>
      <c r="M101" s="5">
        <f t="shared" si="7"/>
        <v>0.95628</v>
      </c>
      <c r="N101" s="5">
        <f t="shared" si="8"/>
        <v>478.14</v>
      </c>
      <c r="P101" s="5">
        <v>4</v>
      </c>
      <c r="R101" s="5">
        <v>100</v>
      </c>
      <c r="S101" s="5">
        <v>1.89</v>
      </c>
      <c r="T101" s="5">
        <f>9.56+6.1+9.2+6.9+8.76+10.8+6+8.08+6.9+7.57+5.9+3.4</f>
        <v>89.17</v>
      </c>
      <c r="U101" s="5">
        <v>5.8</v>
      </c>
      <c r="V101" s="5">
        <f>10.9+8.1+8.66+5.7+4.6+8.97</f>
        <v>46.93</v>
      </c>
      <c r="W101" s="5">
        <f>11.7+3+6.76</f>
        <v>21.46</v>
      </c>
      <c r="X101" s="3">
        <v>2.09</v>
      </c>
      <c r="AA101" s="5">
        <v>2.4</v>
      </c>
      <c r="AB101" s="5">
        <v>196</v>
      </c>
      <c r="AE101" s="5">
        <v>4.4</v>
      </c>
      <c r="AR101" s="5">
        <v>4</v>
      </c>
      <c r="AT101" s="3">
        <v>20</v>
      </c>
      <c r="AU101" s="5">
        <v>1</v>
      </c>
      <c r="AV101" s="5">
        <v>1</v>
      </c>
      <c r="AW101" s="5">
        <v>0.1</v>
      </c>
      <c r="AX101" s="5">
        <v>1</v>
      </c>
    </row>
    <row r="102" s="5" customFormat="1" customHeight="1" spans="1:50">
      <c r="A102" s="18">
        <v>100</v>
      </c>
      <c r="B102" s="27">
        <v>44298</v>
      </c>
      <c r="C102" s="3" t="s">
        <v>57</v>
      </c>
      <c r="D102" s="23">
        <v>500</v>
      </c>
      <c r="E102" s="3">
        <v>258</v>
      </c>
      <c r="F102" s="3">
        <v>249</v>
      </c>
      <c r="G102" s="5">
        <v>22</v>
      </c>
      <c r="H102" s="3">
        <v>14</v>
      </c>
      <c r="I102" s="5">
        <v>19</v>
      </c>
      <c r="J102" s="3">
        <v>32</v>
      </c>
      <c r="L102" s="3">
        <f t="shared" si="9"/>
        <v>0.516</v>
      </c>
      <c r="M102" s="5">
        <f t="shared" si="7"/>
        <v>0.4908</v>
      </c>
      <c r="N102" s="5">
        <f t="shared" si="8"/>
        <v>245.4</v>
      </c>
      <c r="R102" s="5">
        <v>62</v>
      </c>
      <c r="T102" s="5">
        <f>11.5+3.9+2.95</f>
        <v>18.35</v>
      </c>
      <c r="U102" s="5">
        <v>2.7</v>
      </c>
      <c r="V102" s="5">
        <v>13.9</v>
      </c>
      <c r="W102" s="5">
        <v>4.7</v>
      </c>
      <c r="X102" s="3"/>
      <c r="AB102" s="5">
        <v>128.09</v>
      </c>
      <c r="AC102" s="5">
        <v>3.5</v>
      </c>
      <c r="AF102" s="5">
        <v>8.66</v>
      </c>
      <c r="AN102" s="5">
        <v>2.47</v>
      </c>
      <c r="AP102" s="5">
        <v>1.03</v>
      </c>
      <c r="AT102" s="3">
        <v>20</v>
      </c>
      <c r="AU102" s="5">
        <v>1</v>
      </c>
      <c r="AV102" s="5">
        <v>1</v>
      </c>
      <c r="AW102" s="5">
        <v>0.1</v>
      </c>
      <c r="AX102" s="5">
        <v>1</v>
      </c>
    </row>
    <row r="103" s="5" customFormat="1" customHeight="1" spans="1:50">
      <c r="A103" s="18">
        <v>101</v>
      </c>
      <c r="B103" s="27">
        <v>44298</v>
      </c>
      <c r="C103" s="3" t="s">
        <v>57</v>
      </c>
      <c r="D103" s="23">
        <v>500</v>
      </c>
      <c r="E103" s="3">
        <v>298</v>
      </c>
      <c r="F103" s="3">
        <v>288</v>
      </c>
      <c r="G103" s="5">
        <v>22</v>
      </c>
      <c r="H103" s="3">
        <v>14</v>
      </c>
      <c r="I103" s="5">
        <v>19</v>
      </c>
      <c r="J103" s="3">
        <v>32</v>
      </c>
      <c r="L103" s="3">
        <f t="shared" si="9"/>
        <v>0.596</v>
      </c>
      <c r="M103" s="5">
        <f t="shared" si="7"/>
        <v>0.68422</v>
      </c>
      <c r="N103" s="5">
        <f t="shared" si="8"/>
        <v>342.11</v>
      </c>
      <c r="R103" s="5">
        <v>101.5</v>
      </c>
      <c r="U103" s="5">
        <f>7.4+6.7</f>
        <v>14.1</v>
      </c>
      <c r="X103" s="3">
        <v>1.16</v>
      </c>
      <c r="AB103" s="5">
        <v>205</v>
      </c>
      <c r="AF103" s="5">
        <v>1.35</v>
      </c>
      <c r="AQ103" s="5">
        <v>5</v>
      </c>
      <c r="AR103" s="5">
        <v>14</v>
      </c>
      <c r="AT103" s="3">
        <v>20</v>
      </c>
      <c r="AU103" s="5">
        <v>1</v>
      </c>
      <c r="AV103" s="5">
        <v>1</v>
      </c>
      <c r="AW103" s="5">
        <v>0.1</v>
      </c>
      <c r="AX103" s="5">
        <v>1</v>
      </c>
    </row>
    <row r="104" s="5" customFormat="1" customHeight="1" spans="1:50">
      <c r="A104" s="18">
        <v>102</v>
      </c>
      <c r="B104" s="27">
        <v>44302</v>
      </c>
      <c r="C104" s="3" t="s">
        <v>54</v>
      </c>
      <c r="D104" s="23">
        <v>800</v>
      </c>
      <c r="E104" s="3">
        <v>420</v>
      </c>
      <c r="F104" s="3">
        <v>410</v>
      </c>
      <c r="G104" s="5">
        <v>22</v>
      </c>
      <c r="H104" s="3">
        <v>35</v>
      </c>
      <c r="I104" s="5">
        <v>40</v>
      </c>
      <c r="J104" s="3">
        <v>50</v>
      </c>
      <c r="L104" s="3">
        <f t="shared" si="9"/>
        <v>0.525</v>
      </c>
      <c r="M104" s="5">
        <f t="shared" si="7"/>
        <v>0.27655</v>
      </c>
      <c r="N104" s="5">
        <f t="shared" si="8"/>
        <v>221.24</v>
      </c>
      <c r="P104" s="5">
        <v>0.55</v>
      </c>
      <c r="R104" s="5">
        <v>15</v>
      </c>
      <c r="U104" s="5">
        <v>3.8</v>
      </c>
      <c r="X104" s="3">
        <v>0.71</v>
      </c>
      <c r="AB104" s="5">
        <v>181.5</v>
      </c>
      <c r="AC104" s="5">
        <v>2.68</v>
      </c>
      <c r="AQ104" s="5">
        <v>5</v>
      </c>
      <c r="AR104" s="5">
        <v>12</v>
      </c>
      <c r="AT104" s="3">
        <v>38</v>
      </c>
      <c r="AU104" s="5">
        <v>1</v>
      </c>
      <c r="AV104" s="5">
        <v>1</v>
      </c>
      <c r="AW104" s="5">
        <v>0.1</v>
      </c>
      <c r="AX104" s="5">
        <v>1</v>
      </c>
    </row>
    <row r="105" s="5" customFormat="1" customHeight="1" spans="1:50">
      <c r="A105" s="18">
        <v>103</v>
      </c>
      <c r="B105" s="27">
        <v>44302</v>
      </c>
      <c r="C105" s="3" t="s">
        <v>54</v>
      </c>
      <c r="D105" s="23">
        <v>800</v>
      </c>
      <c r="E105" s="3">
        <v>475</v>
      </c>
      <c r="F105" s="3">
        <v>465</v>
      </c>
      <c r="G105" s="5">
        <v>22</v>
      </c>
      <c r="H105" s="3">
        <v>35</v>
      </c>
      <c r="I105" s="5">
        <v>40</v>
      </c>
      <c r="J105" s="3">
        <v>50</v>
      </c>
      <c r="L105" s="3">
        <f t="shared" si="9"/>
        <v>0.59375</v>
      </c>
      <c r="M105" s="5">
        <f t="shared" si="7"/>
        <v>0.56285</v>
      </c>
      <c r="N105" s="5">
        <f t="shared" si="8"/>
        <v>450.28</v>
      </c>
      <c r="P105" s="5">
        <f>9.9+18.8+2.51</f>
        <v>31.21</v>
      </c>
      <c r="R105" s="5">
        <v>75</v>
      </c>
      <c r="T105" s="5">
        <f>12.6+13.1+11.7+8.19+7.7+10.5</f>
        <v>63.79</v>
      </c>
      <c r="U105" s="5">
        <v>0.39</v>
      </c>
      <c r="V105" s="5">
        <f>5.79+3.2+8.2+4.1+4.5+6.4</f>
        <v>32.19</v>
      </c>
      <c r="W105" s="5">
        <f>9.5+5.9+3.8+3.5+2.89</f>
        <v>25.59</v>
      </c>
      <c r="X105" s="3">
        <f>2.27+1.67+0.31</f>
        <v>4.25</v>
      </c>
      <c r="Z105" s="5">
        <v>5</v>
      </c>
      <c r="AB105" s="5">
        <v>136</v>
      </c>
      <c r="AC105" s="5">
        <v>3.6</v>
      </c>
      <c r="AE105" s="5">
        <v>18</v>
      </c>
      <c r="AF105" s="5">
        <f>6.48+0.28</f>
        <v>6.76</v>
      </c>
      <c r="AN105" s="5">
        <v>2.3</v>
      </c>
      <c r="AP105" s="5">
        <v>7.2</v>
      </c>
      <c r="AQ105" s="5">
        <v>23</v>
      </c>
      <c r="AR105" s="5">
        <v>16</v>
      </c>
      <c r="AT105" s="3">
        <v>38</v>
      </c>
      <c r="AU105" s="5">
        <v>1</v>
      </c>
      <c r="AV105" s="5">
        <v>1</v>
      </c>
      <c r="AW105" s="5">
        <v>0.1</v>
      </c>
      <c r="AX105" s="5">
        <v>1</v>
      </c>
    </row>
    <row r="106" s="5" customFormat="1" customHeight="1" spans="1:50">
      <c r="A106" s="18">
        <v>104</v>
      </c>
      <c r="B106" s="27">
        <v>44302</v>
      </c>
      <c r="C106" s="3" t="s">
        <v>54</v>
      </c>
      <c r="D106" s="23">
        <v>800</v>
      </c>
      <c r="E106" s="3">
        <v>432</v>
      </c>
      <c r="F106" s="3">
        <v>422</v>
      </c>
      <c r="G106" s="5">
        <v>22</v>
      </c>
      <c r="H106" s="3">
        <v>35</v>
      </c>
      <c r="I106" s="5">
        <v>40</v>
      </c>
      <c r="J106" s="3">
        <v>50</v>
      </c>
      <c r="L106" s="3">
        <f t="shared" si="9"/>
        <v>0.54</v>
      </c>
      <c r="M106" s="5">
        <f t="shared" si="7"/>
        <v>0.6058625</v>
      </c>
      <c r="N106" s="5">
        <f t="shared" si="8"/>
        <v>484.69</v>
      </c>
      <c r="P106" s="5">
        <v>13</v>
      </c>
      <c r="R106" s="5">
        <v>160</v>
      </c>
      <c r="T106" s="5">
        <f>6.77+2.6+1.86</f>
        <v>11.23</v>
      </c>
      <c r="U106" s="5">
        <v>4.99</v>
      </c>
      <c r="X106" s="3">
        <v>8.6</v>
      </c>
      <c r="Z106" s="5">
        <v>9.1</v>
      </c>
      <c r="AB106" s="5">
        <v>231</v>
      </c>
      <c r="AC106" s="5">
        <v>9.4</v>
      </c>
      <c r="AE106" s="5">
        <v>3</v>
      </c>
      <c r="AF106" s="5">
        <v>6.5</v>
      </c>
      <c r="AP106" s="5">
        <v>0.87</v>
      </c>
      <c r="AQ106" s="5">
        <v>3</v>
      </c>
      <c r="AR106" s="5">
        <v>24</v>
      </c>
      <c r="AT106" s="3">
        <v>38</v>
      </c>
      <c r="AU106" s="5">
        <v>1</v>
      </c>
      <c r="AV106" s="5">
        <v>1</v>
      </c>
      <c r="AW106" s="5">
        <v>0.1</v>
      </c>
      <c r="AX106" s="5">
        <v>1</v>
      </c>
    </row>
    <row r="107" s="5" customFormat="1" customHeight="1" spans="1:50">
      <c r="A107" s="18">
        <v>105</v>
      </c>
      <c r="B107" s="27">
        <v>44304</v>
      </c>
      <c r="C107" s="3" t="s">
        <v>54</v>
      </c>
      <c r="D107" s="23">
        <v>700</v>
      </c>
      <c r="E107" s="3">
        <v>375</v>
      </c>
      <c r="F107" s="3">
        <v>365</v>
      </c>
      <c r="G107" s="5">
        <v>22</v>
      </c>
      <c r="H107" s="3">
        <v>35</v>
      </c>
      <c r="I107" s="5">
        <v>40</v>
      </c>
      <c r="J107" s="3">
        <v>45</v>
      </c>
      <c r="L107" s="3">
        <f t="shared" si="9"/>
        <v>0.535714285714286</v>
      </c>
      <c r="M107" s="5">
        <f t="shared" si="7"/>
        <v>0.655028571428572</v>
      </c>
      <c r="N107" s="5">
        <f t="shared" si="8"/>
        <v>458.52</v>
      </c>
      <c r="P107" s="5">
        <v>7.7</v>
      </c>
      <c r="R107" s="5">
        <v>68.5</v>
      </c>
      <c r="T107" s="5">
        <f>4.2+4.37+3.75</f>
        <v>12.32</v>
      </c>
      <c r="U107" s="5">
        <v>13.4</v>
      </c>
      <c r="X107" s="3"/>
      <c r="Z107" s="5">
        <v>3.5</v>
      </c>
      <c r="AB107" s="5">
        <v>316</v>
      </c>
      <c r="AC107" s="5">
        <v>6.1</v>
      </c>
      <c r="AQ107" s="5">
        <v>1</v>
      </c>
      <c r="AR107" s="5">
        <v>30</v>
      </c>
      <c r="AT107" s="3">
        <v>38</v>
      </c>
      <c r="AU107" s="5">
        <v>1</v>
      </c>
      <c r="AV107" s="5">
        <v>1</v>
      </c>
      <c r="AW107" s="5">
        <v>0.1</v>
      </c>
      <c r="AX107" s="5">
        <v>1</v>
      </c>
    </row>
    <row r="108" s="5" customFormat="1" customHeight="1" spans="1:50">
      <c r="A108" s="18">
        <v>106</v>
      </c>
      <c r="B108" s="27">
        <v>44304</v>
      </c>
      <c r="C108" s="3" t="s">
        <v>54</v>
      </c>
      <c r="D108" s="23">
        <v>700</v>
      </c>
      <c r="E108" s="3">
        <v>421</v>
      </c>
      <c r="F108" s="3">
        <v>411</v>
      </c>
      <c r="G108" s="5">
        <v>22</v>
      </c>
      <c r="H108" s="3">
        <v>35</v>
      </c>
      <c r="I108" s="5">
        <v>40</v>
      </c>
      <c r="J108" s="3">
        <v>45</v>
      </c>
      <c r="L108" s="3">
        <f t="shared" si="9"/>
        <v>0.601428571428571</v>
      </c>
      <c r="M108" s="5">
        <f t="shared" si="7"/>
        <v>0.4075</v>
      </c>
      <c r="N108" s="5">
        <f t="shared" si="8"/>
        <v>285.25</v>
      </c>
      <c r="R108" s="5">
        <v>15</v>
      </c>
      <c r="T108" s="5">
        <f>10+6.8+9.9+11.3+7.9+6.19+8.58+8</f>
        <v>68.67</v>
      </c>
      <c r="V108" s="5">
        <f>10.4+3.79+6.1+7.36+6.46</f>
        <v>34.11</v>
      </c>
      <c r="W108" s="5">
        <f>11.4+5.5+9.7</f>
        <v>26.6</v>
      </c>
      <c r="X108" s="3"/>
      <c r="AB108" s="5">
        <v>74</v>
      </c>
      <c r="AC108" s="5">
        <v>34</v>
      </c>
      <c r="AF108" s="5">
        <v>4.87</v>
      </c>
      <c r="AQ108" s="5">
        <v>10</v>
      </c>
      <c r="AR108" s="5">
        <v>18</v>
      </c>
      <c r="AT108" s="3">
        <v>38</v>
      </c>
      <c r="AU108" s="5">
        <v>1</v>
      </c>
      <c r="AV108" s="5">
        <v>1</v>
      </c>
      <c r="AW108" s="5">
        <v>0.1</v>
      </c>
      <c r="AX108" s="5">
        <v>1</v>
      </c>
    </row>
    <row r="109" s="5" customFormat="1" customHeight="1" spans="1:50">
      <c r="A109" s="18">
        <v>107</v>
      </c>
      <c r="B109" s="27">
        <v>44304</v>
      </c>
      <c r="C109" s="3" t="s">
        <v>54</v>
      </c>
      <c r="D109" s="23">
        <v>700</v>
      </c>
      <c r="E109" s="3">
        <v>404</v>
      </c>
      <c r="F109" s="3">
        <v>394</v>
      </c>
      <c r="G109" s="5">
        <v>22</v>
      </c>
      <c r="H109" s="3">
        <v>35</v>
      </c>
      <c r="I109" s="5">
        <v>40</v>
      </c>
      <c r="J109" s="3">
        <v>45</v>
      </c>
      <c r="L109" s="3">
        <f t="shared" si="9"/>
        <v>0.577142857142857</v>
      </c>
      <c r="M109" s="5">
        <f t="shared" ref="M109:M140" si="10">N109/D109</f>
        <v>0.343271428571429</v>
      </c>
      <c r="N109" s="5">
        <f t="shared" ref="N109:N149" si="11">SUM(O109:AR109)</f>
        <v>240.29</v>
      </c>
      <c r="P109" s="5">
        <v>5.6</v>
      </c>
      <c r="R109" s="5">
        <v>2.2</v>
      </c>
      <c r="T109" s="5">
        <f>8.5+9.2+13.5+10.1+7.1+10+8.8</f>
        <v>67.2</v>
      </c>
      <c r="U109" s="5">
        <v>11.1</v>
      </c>
      <c r="V109" s="5">
        <f>11.5+6.6+9.6+8.99</f>
        <v>36.69</v>
      </c>
      <c r="W109" s="5">
        <v>11.5</v>
      </c>
      <c r="X109" s="3">
        <v>3.3</v>
      </c>
      <c r="Y109" s="5">
        <v>6.4</v>
      </c>
      <c r="Z109" s="5">
        <v>1.8</v>
      </c>
      <c r="AA109" s="5">
        <v>17.6</v>
      </c>
      <c r="AC109" s="5">
        <f>25.3+32</f>
        <v>57.3</v>
      </c>
      <c r="AE109" s="5">
        <v>11.6</v>
      </c>
      <c r="AQ109" s="5">
        <v>3</v>
      </c>
      <c r="AR109" s="5">
        <v>5</v>
      </c>
      <c r="AT109" s="3">
        <v>38</v>
      </c>
      <c r="AU109" s="5">
        <v>1</v>
      </c>
      <c r="AV109" s="5">
        <v>1</v>
      </c>
      <c r="AW109" s="5">
        <v>0.1</v>
      </c>
      <c r="AX109" s="5">
        <v>1</v>
      </c>
    </row>
    <row r="110" s="5" customFormat="1" customHeight="1" spans="1:50">
      <c r="A110" s="18">
        <v>108</v>
      </c>
      <c r="B110" s="27">
        <v>44306</v>
      </c>
      <c r="C110" s="3" t="s">
        <v>57</v>
      </c>
      <c r="D110" s="23">
        <v>500</v>
      </c>
      <c r="E110" s="3">
        <v>260</v>
      </c>
      <c r="F110" s="3">
        <v>250</v>
      </c>
      <c r="G110" s="5">
        <v>22</v>
      </c>
      <c r="H110" s="3">
        <v>14</v>
      </c>
      <c r="I110" s="5">
        <v>21</v>
      </c>
      <c r="J110" s="3">
        <v>31</v>
      </c>
      <c r="L110" s="3">
        <f t="shared" si="9"/>
        <v>0.52</v>
      </c>
      <c r="M110" s="5">
        <f t="shared" si="10"/>
        <v>0.8432</v>
      </c>
      <c r="N110" s="5">
        <f t="shared" si="11"/>
        <v>421.6</v>
      </c>
      <c r="P110" s="5">
        <v>18</v>
      </c>
      <c r="R110" s="5">
        <v>14.2</v>
      </c>
      <c r="S110" s="5">
        <v>2.5</v>
      </c>
      <c r="T110" s="5">
        <f>6.4+4+2.7</f>
        <v>13.1</v>
      </c>
      <c r="U110" s="5">
        <v>12</v>
      </c>
      <c r="X110" s="3">
        <v>6.8</v>
      </c>
      <c r="AB110" s="5">
        <v>300</v>
      </c>
      <c r="AC110" s="5">
        <v>4.8</v>
      </c>
      <c r="AE110" s="5">
        <v>4.7</v>
      </c>
      <c r="AQ110" s="5">
        <v>8</v>
      </c>
      <c r="AR110" s="5">
        <v>37.5</v>
      </c>
      <c r="AT110" s="3">
        <v>20</v>
      </c>
      <c r="AU110" s="5">
        <v>1</v>
      </c>
      <c r="AV110" s="5">
        <v>1</v>
      </c>
      <c r="AW110" s="5">
        <v>0.1</v>
      </c>
      <c r="AX110" s="5">
        <v>1</v>
      </c>
    </row>
    <row r="111" s="5" customFormat="1" customHeight="1" spans="1:50">
      <c r="A111" s="18">
        <v>109</v>
      </c>
      <c r="B111" s="27">
        <v>44306</v>
      </c>
      <c r="C111" s="3" t="s">
        <v>57</v>
      </c>
      <c r="D111" s="23">
        <v>500</v>
      </c>
      <c r="E111" s="3">
        <v>263</v>
      </c>
      <c r="F111" s="3">
        <v>253</v>
      </c>
      <c r="G111" s="5">
        <v>22</v>
      </c>
      <c r="H111" s="3">
        <v>14</v>
      </c>
      <c r="I111" s="5">
        <v>21</v>
      </c>
      <c r="J111" s="3">
        <v>31</v>
      </c>
      <c r="L111" s="3">
        <f t="shared" si="9"/>
        <v>0.526</v>
      </c>
      <c r="M111" s="5">
        <f t="shared" si="10"/>
        <v>0.58478</v>
      </c>
      <c r="N111" s="5">
        <f t="shared" si="11"/>
        <v>292.39</v>
      </c>
      <c r="P111" s="5">
        <f>29.7+8.4</f>
        <v>38.1</v>
      </c>
      <c r="R111" s="5">
        <v>40</v>
      </c>
      <c r="T111" s="5">
        <v>15.5</v>
      </c>
      <c r="U111" s="5">
        <v>6.3</v>
      </c>
      <c r="W111" s="5">
        <v>7.8</v>
      </c>
      <c r="X111" s="3">
        <v>4.82</v>
      </c>
      <c r="AB111" s="5">
        <v>150</v>
      </c>
      <c r="AE111" s="5">
        <v>4.87</v>
      </c>
      <c r="AQ111" s="5">
        <v>2</v>
      </c>
      <c r="AR111" s="5">
        <v>23</v>
      </c>
      <c r="AT111" s="3">
        <v>20</v>
      </c>
      <c r="AU111" s="5">
        <v>1</v>
      </c>
      <c r="AV111" s="5">
        <v>1</v>
      </c>
      <c r="AW111" s="5">
        <v>0.1</v>
      </c>
      <c r="AX111" s="5">
        <v>1</v>
      </c>
    </row>
    <row r="112" s="5" customFormat="1" customHeight="1" spans="1:50">
      <c r="A112" s="18">
        <v>110</v>
      </c>
      <c r="B112" s="27">
        <v>44306</v>
      </c>
      <c r="C112" s="3" t="s">
        <v>57</v>
      </c>
      <c r="D112" s="23">
        <v>500</v>
      </c>
      <c r="E112" s="3">
        <v>265</v>
      </c>
      <c r="F112" s="3">
        <v>255</v>
      </c>
      <c r="G112" s="5">
        <v>22</v>
      </c>
      <c r="H112" s="3">
        <v>14</v>
      </c>
      <c r="I112" s="5">
        <v>21</v>
      </c>
      <c r="J112" s="3">
        <v>31</v>
      </c>
      <c r="L112" s="3">
        <f t="shared" si="9"/>
        <v>0.53</v>
      </c>
      <c r="M112" s="5">
        <f t="shared" si="10"/>
        <v>0.8</v>
      </c>
      <c r="N112" s="5">
        <f t="shared" si="11"/>
        <v>400</v>
      </c>
      <c r="P112" s="5">
        <v>5.87</v>
      </c>
      <c r="R112" s="5">
        <v>23.8</v>
      </c>
      <c r="T112" s="5">
        <f>30+33.7+4.93</f>
        <v>68.63</v>
      </c>
      <c r="V112" s="5">
        <f>38+6.7+6.1</f>
        <v>50.8</v>
      </c>
      <c r="W112" s="5">
        <v>40.6</v>
      </c>
      <c r="X112" s="3"/>
      <c r="AB112" s="5">
        <v>200</v>
      </c>
      <c r="AE112" s="5">
        <v>8.3</v>
      </c>
      <c r="AR112" s="5">
        <v>2</v>
      </c>
      <c r="AT112" s="3">
        <v>20</v>
      </c>
      <c r="AU112" s="5">
        <v>1</v>
      </c>
      <c r="AV112" s="5">
        <v>1</v>
      </c>
      <c r="AW112" s="5">
        <v>0.1</v>
      </c>
      <c r="AX112" s="5">
        <v>1</v>
      </c>
    </row>
    <row r="113" s="5" customFormat="1" customHeight="1" spans="1:50">
      <c r="A113" s="18">
        <v>111</v>
      </c>
      <c r="B113" s="27">
        <v>44308</v>
      </c>
      <c r="C113" s="3" t="s">
        <v>55</v>
      </c>
      <c r="D113" s="23">
        <v>900</v>
      </c>
      <c r="E113" s="3">
        <v>450</v>
      </c>
      <c r="F113" s="3">
        <v>438</v>
      </c>
      <c r="G113" s="5">
        <v>22</v>
      </c>
      <c r="H113" s="3">
        <v>35</v>
      </c>
      <c r="I113" s="5">
        <v>50</v>
      </c>
      <c r="J113" s="3">
        <v>55</v>
      </c>
      <c r="L113" s="3">
        <f t="shared" si="9"/>
        <v>0.5</v>
      </c>
      <c r="M113" s="5">
        <f t="shared" si="10"/>
        <v>0.0824444444444444</v>
      </c>
      <c r="N113" s="5">
        <f t="shared" si="11"/>
        <v>74.2</v>
      </c>
      <c r="R113" s="5">
        <v>13.5</v>
      </c>
      <c r="T113" s="5">
        <v>10.4</v>
      </c>
      <c r="V113" s="5">
        <v>10.3</v>
      </c>
      <c r="X113" s="3"/>
      <c r="AR113" s="5">
        <v>40</v>
      </c>
      <c r="AT113" s="3">
        <v>96</v>
      </c>
      <c r="AU113" s="5">
        <v>0</v>
      </c>
      <c r="AV113" s="5">
        <v>1</v>
      </c>
      <c r="AW113" s="5">
        <v>0.1</v>
      </c>
      <c r="AX113" s="5">
        <v>1</v>
      </c>
    </row>
    <row r="114" s="5" customFormat="1" customHeight="1" spans="1:50">
      <c r="A114" s="18">
        <v>112</v>
      </c>
      <c r="B114" s="27">
        <v>44308</v>
      </c>
      <c r="C114" s="3" t="s">
        <v>57</v>
      </c>
      <c r="D114" s="23">
        <v>700</v>
      </c>
      <c r="E114" s="3">
        <v>390</v>
      </c>
      <c r="F114" s="3">
        <v>380</v>
      </c>
      <c r="G114" s="5">
        <v>22</v>
      </c>
      <c r="H114" s="3">
        <v>30</v>
      </c>
      <c r="I114" s="5">
        <v>40</v>
      </c>
      <c r="J114" s="3">
        <v>43</v>
      </c>
      <c r="L114" s="3">
        <f t="shared" si="9"/>
        <v>0.557142857142857</v>
      </c>
      <c r="M114" s="5">
        <f t="shared" si="10"/>
        <v>0.0343571428571429</v>
      </c>
      <c r="N114" s="5">
        <f t="shared" si="11"/>
        <v>24.05</v>
      </c>
      <c r="R114" s="5">
        <v>4</v>
      </c>
      <c r="T114" s="5">
        <v>12.8</v>
      </c>
      <c r="X114" s="3"/>
      <c r="Z114" s="5">
        <v>7.25</v>
      </c>
      <c r="AT114" s="3">
        <v>38</v>
      </c>
      <c r="AU114" s="5">
        <v>1</v>
      </c>
      <c r="AV114" s="5">
        <v>1</v>
      </c>
      <c r="AW114" s="5">
        <v>0.1</v>
      </c>
      <c r="AX114" s="5">
        <v>1</v>
      </c>
    </row>
    <row r="115" s="5" customFormat="1" customHeight="1" spans="1:50">
      <c r="A115" s="18">
        <v>113</v>
      </c>
      <c r="B115" s="27">
        <v>44310</v>
      </c>
      <c r="C115" s="3" t="s">
        <v>54</v>
      </c>
      <c r="D115" s="23">
        <v>680</v>
      </c>
      <c r="E115" s="3">
        <v>366</v>
      </c>
      <c r="F115" s="3">
        <v>358</v>
      </c>
      <c r="G115" s="5">
        <v>22</v>
      </c>
      <c r="H115" s="3">
        <v>30</v>
      </c>
      <c r="I115" s="5">
        <v>40</v>
      </c>
      <c r="J115" s="3">
        <v>43</v>
      </c>
      <c r="L115" s="3">
        <f t="shared" si="9"/>
        <v>0.538235294117647</v>
      </c>
      <c r="M115" s="5">
        <f t="shared" si="10"/>
        <v>0.0111029411764706</v>
      </c>
      <c r="N115" s="5">
        <f t="shared" si="11"/>
        <v>7.55</v>
      </c>
      <c r="R115" s="5">
        <v>7.55</v>
      </c>
      <c r="X115" s="3"/>
      <c r="AT115" s="3">
        <v>38</v>
      </c>
      <c r="AU115" s="5">
        <v>1</v>
      </c>
      <c r="AV115" s="5">
        <v>1</v>
      </c>
      <c r="AW115" s="5">
        <v>0.1</v>
      </c>
      <c r="AX115" s="5">
        <v>1</v>
      </c>
    </row>
    <row r="116" s="5" customFormat="1" customHeight="1" spans="1:50">
      <c r="A116" s="18">
        <v>114</v>
      </c>
      <c r="B116" s="27">
        <v>44310</v>
      </c>
      <c r="C116" s="3" t="s">
        <v>54</v>
      </c>
      <c r="D116" s="23">
        <v>680</v>
      </c>
      <c r="E116" s="3">
        <v>407</v>
      </c>
      <c r="F116" s="3">
        <v>397</v>
      </c>
      <c r="G116" s="5">
        <v>22</v>
      </c>
      <c r="H116" s="3">
        <v>30</v>
      </c>
      <c r="I116" s="5">
        <v>40</v>
      </c>
      <c r="J116" s="3">
        <v>43</v>
      </c>
      <c r="L116" s="3">
        <f t="shared" si="9"/>
        <v>0.598529411764706</v>
      </c>
      <c r="M116" s="5">
        <f t="shared" si="10"/>
        <v>1.43014705882353</v>
      </c>
      <c r="N116" s="5">
        <f t="shared" si="11"/>
        <v>972.5</v>
      </c>
      <c r="P116" s="5">
        <v>120</v>
      </c>
      <c r="R116" s="5">
        <v>80</v>
      </c>
      <c r="T116" s="5">
        <v>180</v>
      </c>
      <c r="V116" s="5">
        <v>120</v>
      </c>
      <c r="W116" s="5">
        <v>120</v>
      </c>
      <c r="X116" s="3">
        <v>30</v>
      </c>
      <c r="AA116" s="5">
        <v>60</v>
      </c>
      <c r="AC116" s="5">
        <v>80</v>
      </c>
      <c r="AF116" s="5">
        <v>25</v>
      </c>
      <c r="AG116" s="5">
        <v>7.5</v>
      </c>
      <c r="AQ116" s="5">
        <v>30</v>
      </c>
      <c r="AR116" s="5">
        <v>120</v>
      </c>
      <c r="AT116" s="3">
        <v>38</v>
      </c>
      <c r="AU116" s="5">
        <v>1</v>
      </c>
      <c r="AV116" s="5">
        <v>1</v>
      </c>
      <c r="AW116" s="5">
        <v>0.1</v>
      </c>
      <c r="AX116" s="5">
        <v>1</v>
      </c>
    </row>
    <row r="117" s="5" customFormat="1" customHeight="1" spans="1:50">
      <c r="A117" s="18">
        <v>115</v>
      </c>
      <c r="B117" s="27">
        <v>44310</v>
      </c>
      <c r="C117" s="3" t="s">
        <v>54</v>
      </c>
      <c r="D117" s="23">
        <v>670</v>
      </c>
      <c r="E117" s="3">
        <v>383</v>
      </c>
      <c r="F117" s="3">
        <v>373</v>
      </c>
      <c r="G117" s="5">
        <v>22</v>
      </c>
      <c r="H117" s="3">
        <v>30</v>
      </c>
      <c r="I117" s="5">
        <v>40</v>
      </c>
      <c r="J117" s="3">
        <v>43</v>
      </c>
      <c r="L117" s="3">
        <f t="shared" si="9"/>
        <v>0.571641791044776</v>
      </c>
      <c r="M117" s="5">
        <f t="shared" si="10"/>
        <v>0.462686567164179</v>
      </c>
      <c r="N117" s="5">
        <f t="shared" si="11"/>
        <v>310</v>
      </c>
      <c r="P117" s="5">
        <v>40</v>
      </c>
      <c r="R117" s="5">
        <v>40</v>
      </c>
      <c r="X117" s="3">
        <v>30</v>
      </c>
      <c r="AQ117" s="5">
        <v>50</v>
      </c>
      <c r="AR117" s="5">
        <v>150</v>
      </c>
      <c r="AT117" s="3">
        <v>38</v>
      </c>
      <c r="AU117" s="5">
        <v>1</v>
      </c>
      <c r="AV117" s="5">
        <v>1</v>
      </c>
      <c r="AW117" s="5">
        <v>0.1</v>
      </c>
      <c r="AX117" s="5">
        <v>1</v>
      </c>
    </row>
    <row r="118" s="5" customFormat="1" customHeight="1" spans="1:50">
      <c r="A118" s="18">
        <v>116</v>
      </c>
      <c r="B118" s="27">
        <v>44310</v>
      </c>
      <c r="C118" s="3" t="s">
        <v>54</v>
      </c>
      <c r="D118" s="23">
        <v>670</v>
      </c>
      <c r="E118" s="3">
        <v>410</v>
      </c>
      <c r="F118" s="3">
        <v>400</v>
      </c>
      <c r="G118" s="5">
        <v>22</v>
      </c>
      <c r="H118" s="3">
        <v>30</v>
      </c>
      <c r="I118" s="5">
        <v>40</v>
      </c>
      <c r="J118" s="3">
        <v>43</v>
      </c>
      <c r="L118" s="3">
        <f t="shared" si="9"/>
        <v>0.611940298507463</v>
      </c>
      <c r="M118" s="5">
        <f t="shared" si="10"/>
        <v>0.103731343283582</v>
      </c>
      <c r="N118" s="5">
        <f t="shared" si="11"/>
        <v>69.5</v>
      </c>
      <c r="R118" s="5">
        <v>15</v>
      </c>
      <c r="V118" s="5">
        <v>54.5</v>
      </c>
      <c r="X118" s="3"/>
      <c r="AT118" s="3">
        <v>38</v>
      </c>
      <c r="AU118" s="5">
        <v>1</v>
      </c>
      <c r="AV118" s="5">
        <v>1</v>
      </c>
      <c r="AW118" s="5">
        <v>0.1</v>
      </c>
      <c r="AX118" s="5">
        <v>1</v>
      </c>
    </row>
    <row r="119" s="5" customFormat="1" customHeight="1" spans="1:50">
      <c r="A119" s="18">
        <v>117</v>
      </c>
      <c r="B119" s="27">
        <v>44312</v>
      </c>
      <c r="C119" s="3" t="s">
        <v>57</v>
      </c>
      <c r="D119" s="23">
        <v>680</v>
      </c>
      <c r="E119" s="3">
        <v>410</v>
      </c>
      <c r="F119" s="3">
        <v>400</v>
      </c>
      <c r="G119" s="5">
        <v>22</v>
      </c>
      <c r="H119" s="3">
        <v>30</v>
      </c>
      <c r="I119" s="5">
        <v>40</v>
      </c>
      <c r="J119" s="3">
        <v>32</v>
      </c>
      <c r="L119" s="3">
        <f t="shared" si="9"/>
        <v>0.602941176470588</v>
      </c>
      <c r="M119" s="5">
        <f t="shared" si="10"/>
        <v>0.441176470588235</v>
      </c>
      <c r="N119" s="5">
        <f t="shared" si="11"/>
        <v>300</v>
      </c>
      <c r="V119" s="5">
        <v>100</v>
      </c>
      <c r="X119" s="3">
        <v>100</v>
      </c>
      <c r="Y119" s="5">
        <v>50</v>
      </c>
      <c r="Z119" s="5">
        <v>50</v>
      </c>
      <c r="AT119" s="3">
        <v>20</v>
      </c>
      <c r="AU119" s="5">
        <v>1</v>
      </c>
      <c r="AV119" s="5">
        <v>1</v>
      </c>
      <c r="AW119" s="5">
        <v>0.1</v>
      </c>
      <c r="AX119" s="5">
        <v>1</v>
      </c>
    </row>
    <row r="120" s="5" customFormat="1" customHeight="1" spans="1:50">
      <c r="A120" s="18">
        <v>118</v>
      </c>
      <c r="B120" s="27">
        <v>44312</v>
      </c>
      <c r="C120" s="3" t="s">
        <v>57</v>
      </c>
      <c r="D120" s="23">
        <v>720</v>
      </c>
      <c r="E120" s="3">
        <v>422</v>
      </c>
      <c r="F120" s="3">
        <v>412</v>
      </c>
      <c r="G120" s="5">
        <v>22</v>
      </c>
      <c r="H120" s="3">
        <v>30</v>
      </c>
      <c r="I120" s="5">
        <v>40</v>
      </c>
      <c r="J120" s="3">
        <v>32</v>
      </c>
      <c r="L120" s="3">
        <f t="shared" si="9"/>
        <v>0.586111111111111</v>
      </c>
      <c r="M120" s="5">
        <f t="shared" si="10"/>
        <v>0</v>
      </c>
      <c r="N120" s="5">
        <f t="shared" si="11"/>
        <v>0</v>
      </c>
      <c r="X120" s="3"/>
      <c r="AT120" s="3">
        <v>20</v>
      </c>
      <c r="AU120" s="5">
        <v>1</v>
      </c>
      <c r="AV120" s="5">
        <v>1</v>
      </c>
      <c r="AW120" s="5">
        <v>0.1</v>
      </c>
      <c r="AX120" s="5">
        <v>1</v>
      </c>
    </row>
    <row r="121" s="5" customFormat="1" customHeight="1" spans="1:50">
      <c r="A121" s="18">
        <v>119</v>
      </c>
      <c r="B121" s="27">
        <v>44312</v>
      </c>
      <c r="C121" s="3" t="s">
        <v>57</v>
      </c>
      <c r="D121" s="23">
        <v>600</v>
      </c>
      <c r="E121" s="3">
        <v>322.5</v>
      </c>
      <c r="F121" s="3">
        <v>312</v>
      </c>
      <c r="G121" s="5">
        <v>22</v>
      </c>
      <c r="H121" s="3">
        <v>30</v>
      </c>
      <c r="I121" s="5">
        <v>34</v>
      </c>
      <c r="J121" s="3">
        <v>32</v>
      </c>
      <c r="L121" s="3">
        <f t="shared" si="9"/>
        <v>0.5375</v>
      </c>
      <c r="M121" s="5">
        <f t="shared" si="10"/>
        <v>0</v>
      </c>
      <c r="N121" s="5">
        <f t="shared" si="11"/>
        <v>0</v>
      </c>
      <c r="X121" s="3"/>
      <c r="AT121" s="3">
        <v>20</v>
      </c>
      <c r="AU121" s="5">
        <v>1</v>
      </c>
      <c r="AV121" s="5">
        <v>1</v>
      </c>
      <c r="AW121" s="5">
        <v>0.1</v>
      </c>
      <c r="AX121" s="5">
        <v>1</v>
      </c>
    </row>
    <row r="122" s="5" customFormat="1" customHeight="1" spans="1:50">
      <c r="A122" s="18">
        <v>120</v>
      </c>
      <c r="B122" s="27">
        <v>44313</v>
      </c>
      <c r="C122" s="3" t="s">
        <v>57</v>
      </c>
      <c r="D122" s="23">
        <v>510</v>
      </c>
      <c r="E122" s="3">
        <v>240</v>
      </c>
      <c r="F122" s="3">
        <v>232</v>
      </c>
      <c r="G122" s="5">
        <v>22</v>
      </c>
      <c r="H122" s="3">
        <v>30</v>
      </c>
      <c r="I122" s="5">
        <v>20</v>
      </c>
      <c r="J122" s="3">
        <v>32</v>
      </c>
      <c r="L122" s="3">
        <f t="shared" si="9"/>
        <v>0.470588235294118</v>
      </c>
      <c r="M122" s="5">
        <f t="shared" si="10"/>
        <v>0</v>
      </c>
      <c r="N122" s="5">
        <f t="shared" si="11"/>
        <v>0</v>
      </c>
      <c r="X122" s="3"/>
      <c r="AT122" s="3">
        <v>20</v>
      </c>
      <c r="AU122" s="5">
        <v>1</v>
      </c>
      <c r="AV122" s="5">
        <v>1</v>
      </c>
      <c r="AW122" s="5">
        <v>0.1</v>
      </c>
      <c r="AX122" s="5">
        <v>1</v>
      </c>
    </row>
    <row r="123" s="5" customFormat="1" customHeight="1" spans="1:50">
      <c r="A123" s="18">
        <v>121</v>
      </c>
      <c r="B123" s="27">
        <v>44313</v>
      </c>
      <c r="C123" s="3" t="s">
        <v>57</v>
      </c>
      <c r="D123" s="23">
        <v>500</v>
      </c>
      <c r="E123" s="3">
        <v>280</v>
      </c>
      <c r="F123" s="3">
        <v>270</v>
      </c>
      <c r="G123" s="5">
        <v>22</v>
      </c>
      <c r="H123" s="3">
        <v>30</v>
      </c>
      <c r="I123" s="5">
        <v>20</v>
      </c>
      <c r="J123" s="3">
        <v>32</v>
      </c>
      <c r="L123" s="3">
        <f t="shared" si="9"/>
        <v>0.56</v>
      </c>
      <c r="M123" s="5">
        <f t="shared" si="10"/>
        <v>0</v>
      </c>
      <c r="N123" s="5">
        <f t="shared" si="11"/>
        <v>0</v>
      </c>
      <c r="X123" s="3"/>
      <c r="AT123" s="3">
        <v>20</v>
      </c>
      <c r="AU123" s="5">
        <v>1</v>
      </c>
      <c r="AV123" s="5">
        <v>1</v>
      </c>
      <c r="AW123" s="5">
        <v>0.1</v>
      </c>
      <c r="AX123" s="5">
        <v>1</v>
      </c>
    </row>
    <row r="124" s="5" customFormat="1" customHeight="1" spans="1:50">
      <c r="A124" s="18">
        <v>122</v>
      </c>
      <c r="B124" s="27">
        <v>44313</v>
      </c>
      <c r="C124" s="3" t="s">
        <v>57</v>
      </c>
      <c r="D124" s="23">
        <v>520</v>
      </c>
      <c r="E124" s="3">
        <v>296</v>
      </c>
      <c r="F124" s="3">
        <v>286</v>
      </c>
      <c r="G124" s="5">
        <v>22</v>
      </c>
      <c r="H124" s="3">
        <v>30</v>
      </c>
      <c r="I124" s="5">
        <v>20</v>
      </c>
      <c r="J124" s="3">
        <v>32</v>
      </c>
      <c r="L124" s="3">
        <f t="shared" si="9"/>
        <v>0.569230769230769</v>
      </c>
      <c r="M124" s="5">
        <f t="shared" si="10"/>
        <v>0</v>
      </c>
      <c r="N124" s="5">
        <f t="shared" si="11"/>
        <v>0</v>
      </c>
      <c r="X124" s="3"/>
      <c r="AT124" s="3">
        <v>20</v>
      </c>
      <c r="AU124" s="5">
        <v>1</v>
      </c>
      <c r="AV124" s="5">
        <v>1</v>
      </c>
      <c r="AW124" s="5">
        <v>0.1</v>
      </c>
      <c r="AX124" s="5">
        <v>1</v>
      </c>
    </row>
    <row r="125" s="6" customFormat="1" customHeight="1" spans="1:50">
      <c r="A125" s="18">
        <v>123</v>
      </c>
      <c r="B125" s="28">
        <v>44313</v>
      </c>
      <c r="C125" s="4" t="s">
        <v>57</v>
      </c>
      <c r="D125" s="25">
        <v>520</v>
      </c>
      <c r="E125" s="4">
        <v>293</v>
      </c>
      <c r="F125" s="4">
        <v>284</v>
      </c>
      <c r="G125" s="6">
        <v>22</v>
      </c>
      <c r="H125" s="4">
        <v>30</v>
      </c>
      <c r="I125" s="6">
        <v>20</v>
      </c>
      <c r="J125" s="4">
        <v>32</v>
      </c>
      <c r="L125" s="4">
        <f t="shared" si="9"/>
        <v>0.563461538461538</v>
      </c>
      <c r="M125" s="6">
        <f t="shared" si="10"/>
        <v>0</v>
      </c>
      <c r="N125" s="6">
        <f t="shared" si="11"/>
        <v>0</v>
      </c>
      <c r="X125" s="4"/>
      <c r="AT125" s="4">
        <v>20</v>
      </c>
      <c r="AU125" s="6">
        <v>1</v>
      </c>
      <c r="AV125" s="6">
        <v>1</v>
      </c>
      <c r="AW125" s="6">
        <v>0.1</v>
      </c>
      <c r="AX125" s="6">
        <v>1</v>
      </c>
    </row>
    <row r="126" s="7" customFormat="1" customHeight="1" spans="1:50">
      <c r="A126" s="18">
        <v>124</v>
      </c>
      <c r="B126" s="34">
        <v>44320</v>
      </c>
      <c r="C126" s="35" t="s">
        <v>57</v>
      </c>
      <c r="D126" s="36">
        <f t="shared" ref="D126:D129" si="12">2350/4</f>
        <v>587.5</v>
      </c>
      <c r="E126" s="36">
        <v>315</v>
      </c>
      <c r="F126" s="35">
        <v>305</v>
      </c>
      <c r="G126" s="35">
        <v>27.5</v>
      </c>
      <c r="H126" s="35">
        <v>35</v>
      </c>
      <c r="I126" s="35">
        <v>42</v>
      </c>
      <c r="J126" s="36">
        <v>45</v>
      </c>
      <c r="K126" s="37"/>
      <c r="L126" s="20">
        <f t="shared" si="9"/>
        <v>0.536170212765957</v>
      </c>
      <c r="M126" s="5">
        <f t="shared" si="10"/>
        <v>0.264731914893617</v>
      </c>
      <c r="N126" s="35">
        <f t="shared" si="11"/>
        <v>155.53</v>
      </c>
      <c r="O126" s="35"/>
      <c r="P126" s="35">
        <f>1.28+7.25</f>
        <v>8.53</v>
      </c>
      <c r="Q126" s="35"/>
      <c r="R126" s="35">
        <f>5+27.5</f>
        <v>32.5</v>
      </c>
      <c r="S126" s="35"/>
      <c r="T126" s="35"/>
      <c r="U126" s="35">
        <v>4.8</v>
      </c>
      <c r="V126" s="35">
        <v>5.5</v>
      </c>
      <c r="W126" s="35"/>
      <c r="X126" s="36">
        <f>6+4.78</f>
        <v>10.78</v>
      </c>
      <c r="Y126" s="35"/>
      <c r="Z126" s="35">
        <f>5.4+6.9</f>
        <v>12.3</v>
      </c>
      <c r="AA126" s="35">
        <v>4.6</v>
      </c>
      <c r="AB126" s="35">
        <v>67</v>
      </c>
      <c r="AC126" s="35"/>
      <c r="AD126" s="35"/>
      <c r="AE126" s="35">
        <f>7.65+1.87</f>
        <v>9.52</v>
      </c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6">
        <v>35</v>
      </c>
      <c r="AU126" s="35">
        <v>1</v>
      </c>
      <c r="AV126" s="35">
        <v>1</v>
      </c>
      <c r="AW126" s="35">
        <v>0.1</v>
      </c>
      <c r="AX126" s="35">
        <v>1</v>
      </c>
    </row>
    <row r="127" s="7" customFormat="1" customHeight="1" spans="1:50">
      <c r="A127" s="18">
        <v>125</v>
      </c>
      <c r="B127" s="34">
        <v>44320</v>
      </c>
      <c r="C127" s="35" t="s">
        <v>57</v>
      </c>
      <c r="D127" s="36">
        <f t="shared" si="12"/>
        <v>587.5</v>
      </c>
      <c r="E127" s="36">
        <v>291</v>
      </c>
      <c r="F127" s="35">
        <v>281</v>
      </c>
      <c r="G127" s="35">
        <v>27.5</v>
      </c>
      <c r="H127" s="35">
        <v>35</v>
      </c>
      <c r="I127" s="35">
        <v>42</v>
      </c>
      <c r="J127" s="36">
        <v>45</v>
      </c>
      <c r="K127" s="37"/>
      <c r="L127" s="20">
        <f t="shared" si="9"/>
        <v>0.49531914893617</v>
      </c>
      <c r="M127" s="5">
        <f t="shared" si="10"/>
        <v>0.893889361702127</v>
      </c>
      <c r="N127" s="35">
        <f t="shared" si="11"/>
        <v>525.16</v>
      </c>
      <c r="O127" s="35"/>
      <c r="P127" s="35">
        <f>6+18.6</f>
        <v>24.6</v>
      </c>
      <c r="Q127" s="35"/>
      <c r="R127" s="35">
        <f>56+7.5+27.5</f>
        <v>91</v>
      </c>
      <c r="S127" s="35"/>
      <c r="T127" s="35">
        <f>9.5+5.3+6.2+13.5+9.69+11.8+3.39+9.1+4.6+4.26+2.6</f>
        <v>79.94</v>
      </c>
      <c r="U127" s="35"/>
      <c r="V127" s="35">
        <f>7.2+8.68+7.1+8.3+5.38+6.6</f>
        <v>43.26</v>
      </c>
      <c r="W127" s="35">
        <f>5.5+11.8+6</f>
        <v>23.3</v>
      </c>
      <c r="X127" s="36">
        <v>5</v>
      </c>
      <c r="Y127" s="35"/>
      <c r="Z127" s="35"/>
      <c r="AA127" s="35"/>
      <c r="AB127" s="35">
        <v>162.5</v>
      </c>
      <c r="AC127" s="35">
        <v>13.7</v>
      </c>
      <c r="AD127" s="35"/>
      <c r="AE127" s="35"/>
      <c r="AF127" s="35">
        <f>4.32+1.96</f>
        <v>6.28</v>
      </c>
      <c r="AG127" s="35"/>
      <c r="AH127" s="35"/>
      <c r="AI127" s="35"/>
      <c r="AJ127" s="35"/>
      <c r="AK127" s="35"/>
      <c r="AL127" s="35"/>
      <c r="AM127" s="35"/>
      <c r="AN127" s="35">
        <v>2.58</v>
      </c>
      <c r="AO127" s="35"/>
      <c r="AP127" s="35"/>
      <c r="AQ127" s="35">
        <f>6+9+2+1</f>
        <v>18</v>
      </c>
      <c r="AR127" s="35">
        <f>43+1+11</f>
        <v>55</v>
      </c>
      <c r="AS127" s="35"/>
      <c r="AT127" s="36">
        <v>35</v>
      </c>
      <c r="AU127" s="35">
        <v>1</v>
      </c>
      <c r="AV127" s="35">
        <v>1</v>
      </c>
      <c r="AW127" s="35">
        <v>0.1</v>
      </c>
      <c r="AX127" s="35">
        <v>1</v>
      </c>
    </row>
    <row r="128" s="7" customFormat="1" customHeight="1" spans="1:50">
      <c r="A128" s="18">
        <v>126</v>
      </c>
      <c r="B128" s="34">
        <v>44320</v>
      </c>
      <c r="C128" s="35" t="s">
        <v>57</v>
      </c>
      <c r="D128" s="36">
        <f t="shared" si="12"/>
        <v>587.5</v>
      </c>
      <c r="E128" s="36">
        <v>365</v>
      </c>
      <c r="F128" s="35">
        <v>355</v>
      </c>
      <c r="G128" s="35">
        <v>27.5</v>
      </c>
      <c r="H128" s="35">
        <v>35</v>
      </c>
      <c r="I128" s="35">
        <v>42</v>
      </c>
      <c r="J128" s="36">
        <v>45</v>
      </c>
      <c r="K128" s="37"/>
      <c r="L128" s="20">
        <f t="shared" si="9"/>
        <v>0.621276595744681</v>
      </c>
      <c r="M128" s="5">
        <f t="shared" si="10"/>
        <v>0.31131914893617</v>
      </c>
      <c r="N128" s="35">
        <f t="shared" si="11"/>
        <v>182.9</v>
      </c>
      <c r="O128" s="35"/>
      <c r="P128" s="35"/>
      <c r="Q128" s="35"/>
      <c r="R128" s="35">
        <v>29</v>
      </c>
      <c r="S128" s="35"/>
      <c r="T128" s="35"/>
      <c r="U128" s="35"/>
      <c r="V128" s="35">
        <v>4.73</v>
      </c>
      <c r="W128" s="35"/>
      <c r="X128" s="36">
        <f>0.4+1.65+1.12</f>
        <v>3.17</v>
      </c>
      <c r="Y128" s="35"/>
      <c r="Z128" s="35"/>
      <c r="AA128" s="35"/>
      <c r="AB128" s="35">
        <v>146</v>
      </c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6">
        <v>35</v>
      </c>
      <c r="AU128" s="35">
        <v>0</v>
      </c>
      <c r="AV128" s="35">
        <v>1</v>
      </c>
      <c r="AW128" s="35">
        <v>0.1</v>
      </c>
      <c r="AX128" s="35">
        <v>1</v>
      </c>
    </row>
    <row r="129" s="7" customFormat="1" customHeight="1" spans="1:50">
      <c r="A129" s="18">
        <v>127</v>
      </c>
      <c r="B129" s="34">
        <v>44320</v>
      </c>
      <c r="C129" s="35" t="s">
        <v>57</v>
      </c>
      <c r="D129" s="36">
        <f t="shared" si="12"/>
        <v>587.5</v>
      </c>
      <c r="E129" s="36">
        <v>394.5</v>
      </c>
      <c r="F129" s="35">
        <f t="shared" ref="F129:F133" si="13">E129-10</f>
        <v>384.5</v>
      </c>
      <c r="G129" s="35">
        <v>27.5</v>
      </c>
      <c r="H129" s="35">
        <v>35</v>
      </c>
      <c r="I129" s="35">
        <v>42</v>
      </c>
      <c r="J129" s="36">
        <v>45</v>
      </c>
      <c r="K129" s="37"/>
      <c r="L129" s="20">
        <f t="shared" si="9"/>
        <v>0.671489361702128</v>
      </c>
      <c r="M129" s="5">
        <f t="shared" si="10"/>
        <v>0.343523404255319</v>
      </c>
      <c r="N129" s="35">
        <f t="shared" si="11"/>
        <v>201.82</v>
      </c>
      <c r="O129" s="35"/>
      <c r="P129" s="35">
        <f>7.5+5.1</f>
        <v>12.6</v>
      </c>
      <c r="Q129" s="35"/>
      <c r="R129" s="35">
        <f>10+15</f>
        <v>25</v>
      </c>
      <c r="S129" s="35">
        <v>1.19</v>
      </c>
      <c r="T129" s="35">
        <f>8.2+7.92+5.89+1</f>
        <v>23.01</v>
      </c>
      <c r="U129" s="35">
        <v>4.85</v>
      </c>
      <c r="V129" s="35">
        <f>12.4</f>
        <v>12.4</v>
      </c>
      <c r="W129" s="35">
        <v>4.89</v>
      </c>
      <c r="X129" s="36">
        <v>5.9</v>
      </c>
      <c r="Y129" s="35">
        <v>5.1</v>
      </c>
      <c r="Z129" s="35"/>
      <c r="AA129" s="35"/>
      <c r="AB129" s="35">
        <v>102.5</v>
      </c>
      <c r="AC129" s="35">
        <v>2.7</v>
      </c>
      <c r="AD129" s="35"/>
      <c r="AE129" s="35"/>
      <c r="AF129" s="35">
        <v>1.68</v>
      </c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6">
        <v>35</v>
      </c>
      <c r="AU129" s="35">
        <v>1</v>
      </c>
      <c r="AV129" s="35">
        <v>1</v>
      </c>
      <c r="AW129" s="35">
        <v>0.1</v>
      </c>
      <c r="AX129" s="35">
        <v>1</v>
      </c>
    </row>
    <row r="130" s="7" customFormat="1" customHeight="1" spans="1:50">
      <c r="A130" s="18">
        <v>128</v>
      </c>
      <c r="B130" s="34">
        <v>44321</v>
      </c>
      <c r="C130" s="35" t="s">
        <v>57</v>
      </c>
      <c r="D130" s="36">
        <v>500</v>
      </c>
      <c r="E130" s="36">
        <v>334</v>
      </c>
      <c r="F130" s="35">
        <v>322</v>
      </c>
      <c r="G130" s="35">
        <v>27.5</v>
      </c>
      <c r="H130" s="35">
        <v>30</v>
      </c>
      <c r="I130" s="35">
        <v>42</v>
      </c>
      <c r="J130" s="36">
        <v>40</v>
      </c>
      <c r="K130" s="37"/>
      <c r="L130" s="20">
        <f t="shared" si="9"/>
        <v>0.668</v>
      </c>
      <c r="M130" s="5">
        <f t="shared" si="10"/>
        <v>0.77448</v>
      </c>
      <c r="N130" s="35">
        <f t="shared" si="11"/>
        <v>387.24</v>
      </c>
      <c r="O130" s="35"/>
      <c r="P130" s="35">
        <f>27+4.8+7.5</f>
        <v>39.3</v>
      </c>
      <c r="Q130" s="35"/>
      <c r="R130" s="35">
        <f>10+110</f>
        <v>120</v>
      </c>
      <c r="S130" s="35"/>
      <c r="T130" s="35">
        <f>7.19+11.6+5.98+6.2+7.8+4+11.2+4.38+4.9</f>
        <v>63.25</v>
      </c>
      <c r="U130" s="35"/>
      <c r="V130" s="35">
        <f>14.4+6.38+6.56+7.88</f>
        <v>35.22</v>
      </c>
      <c r="W130" s="35">
        <f>8.5+8.1+10.55+5.8</f>
        <v>32.95</v>
      </c>
      <c r="X130" s="36">
        <v>2.29</v>
      </c>
      <c r="Y130" s="35"/>
      <c r="Z130" s="35"/>
      <c r="AA130" s="35"/>
      <c r="AB130" s="35">
        <f>5.16+2.9+9.37+6.5</f>
        <v>23.93</v>
      </c>
      <c r="AC130" s="35">
        <v>20.7</v>
      </c>
      <c r="AD130" s="35"/>
      <c r="AE130" s="35"/>
      <c r="AF130" s="35">
        <v>5.6</v>
      </c>
      <c r="AG130" s="35"/>
      <c r="AH130" s="35"/>
      <c r="AI130" s="35"/>
      <c r="AJ130" s="35"/>
      <c r="AK130" s="35"/>
      <c r="AL130" s="35"/>
      <c r="AM130" s="35"/>
      <c r="AN130" s="35">
        <v>2</v>
      </c>
      <c r="AO130" s="35"/>
      <c r="AP130" s="35"/>
      <c r="AQ130" s="35">
        <v>16</v>
      </c>
      <c r="AR130" s="35">
        <v>26</v>
      </c>
      <c r="AS130" s="35"/>
      <c r="AT130" s="36">
        <v>20</v>
      </c>
      <c r="AU130" s="35">
        <v>1</v>
      </c>
      <c r="AV130" s="35">
        <v>1</v>
      </c>
      <c r="AW130" s="35">
        <v>0.1</v>
      </c>
      <c r="AX130" s="35">
        <v>1</v>
      </c>
    </row>
    <row r="131" s="7" customFormat="1" customHeight="1" spans="1:50">
      <c r="A131" s="18">
        <v>129</v>
      </c>
      <c r="B131" s="34">
        <v>44321</v>
      </c>
      <c r="C131" s="35" t="s">
        <v>57</v>
      </c>
      <c r="D131" s="36">
        <v>500</v>
      </c>
      <c r="E131" s="36">
        <v>272</v>
      </c>
      <c r="F131" s="35">
        <v>260</v>
      </c>
      <c r="G131" s="35">
        <v>27.5</v>
      </c>
      <c r="H131" s="35">
        <v>30</v>
      </c>
      <c r="I131" s="35">
        <v>42</v>
      </c>
      <c r="J131" s="36">
        <v>40</v>
      </c>
      <c r="K131" s="37"/>
      <c r="L131" s="20">
        <f t="shared" si="9"/>
        <v>0.544</v>
      </c>
      <c r="M131" s="5">
        <f t="shared" si="10"/>
        <v>0.87526</v>
      </c>
      <c r="N131" s="35">
        <f t="shared" si="11"/>
        <v>437.63</v>
      </c>
      <c r="O131" s="35"/>
      <c r="P131" s="35">
        <f>10.78+5.1+12.3+17.3</f>
        <v>45.48</v>
      </c>
      <c r="Q131" s="35"/>
      <c r="R131" s="35">
        <f>4.59+47.5</f>
        <v>52.09</v>
      </c>
      <c r="S131" s="35"/>
      <c r="T131" s="35">
        <f>12.2+9.4+12.5+11.2+9.98+5.84+5.92+3.85+2.97</f>
        <v>73.86</v>
      </c>
      <c r="U131" s="35">
        <v>6.97</v>
      </c>
      <c r="V131" s="35">
        <f>4.73+12.3+5.44+12.9</f>
        <v>35.37</v>
      </c>
      <c r="W131" s="35">
        <f>3.9+7.9+3.32+4.9</f>
        <v>20.02</v>
      </c>
      <c r="X131" s="36">
        <f>5+5.9+2.2+3.3</f>
        <v>16.4</v>
      </c>
      <c r="Y131" s="35">
        <f>4.48+5.1</f>
        <v>9.58</v>
      </c>
      <c r="Z131" s="35"/>
      <c r="AA131" s="35"/>
      <c r="AB131" s="35">
        <v>136.5</v>
      </c>
      <c r="AC131" s="35"/>
      <c r="AD131" s="35"/>
      <c r="AE131" s="35"/>
      <c r="AF131" s="35">
        <v>4.3</v>
      </c>
      <c r="AG131" s="35"/>
      <c r="AH131" s="35"/>
      <c r="AI131" s="35"/>
      <c r="AJ131" s="35"/>
      <c r="AK131" s="35"/>
      <c r="AL131" s="35"/>
      <c r="AM131" s="35"/>
      <c r="AN131" s="35">
        <v>1.42</v>
      </c>
      <c r="AO131" s="35"/>
      <c r="AP131" s="35">
        <v>3.64</v>
      </c>
      <c r="AQ131" s="35">
        <v>13</v>
      </c>
      <c r="AR131" s="35">
        <f>14+5</f>
        <v>19</v>
      </c>
      <c r="AS131" s="35"/>
      <c r="AT131" s="36">
        <v>20</v>
      </c>
      <c r="AU131" s="35">
        <v>1</v>
      </c>
      <c r="AV131" s="35">
        <v>1</v>
      </c>
      <c r="AW131" s="35">
        <v>0.1</v>
      </c>
      <c r="AX131" s="35">
        <v>1</v>
      </c>
    </row>
    <row r="132" s="7" customFormat="1" customHeight="1" spans="1:50">
      <c r="A132" s="18">
        <v>130</v>
      </c>
      <c r="B132" s="34">
        <v>44321</v>
      </c>
      <c r="C132" s="35" t="s">
        <v>57</v>
      </c>
      <c r="D132" s="36">
        <v>500</v>
      </c>
      <c r="E132" s="36">
        <v>310</v>
      </c>
      <c r="F132" s="35">
        <f t="shared" si="13"/>
        <v>300</v>
      </c>
      <c r="G132" s="35">
        <v>27.5</v>
      </c>
      <c r="H132" s="35">
        <v>30</v>
      </c>
      <c r="I132" s="35">
        <v>42</v>
      </c>
      <c r="J132" s="36">
        <v>40</v>
      </c>
      <c r="K132" s="37"/>
      <c r="L132" s="20">
        <f t="shared" si="9"/>
        <v>0.62</v>
      </c>
      <c r="M132" s="5">
        <f t="shared" si="10"/>
        <v>0.41132</v>
      </c>
      <c r="N132" s="35">
        <f t="shared" si="11"/>
        <v>205.66</v>
      </c>
      <c r="O132" s="35"/>
      <c r="P132" s="35">
        <v>5.6</v>
      </c>
      <c r="Q132" s="35"/>
      <c r="R132" s="35">
        <v>50</v>
      </c>
      <c r="S132" s="35"/>
      <c r="T132" s="35"/>
      <c r="U132" s="35"/>
      <c r="V132" s="35"/>
      <c r="W132" s="35">
        <v>5.97</v>
      </c>
      <c r="X132" s="36">
        <f>7.5+1.59</f>
        <v>9.09</v>
      </c>
      <c r="Y132" s="35"/>
      <c r="Z132" s="35"/>
      <c r="AA132" s="35"/>
      <c r="AB132" s="35">
        <v>130</v>
      </c>
      <c r="AC132" s="35"/>
      <c r="AD132" s="35"/>
      <c r="AE132" s="35"/>
      <c r="AF132" s="35"/>
      <c r="AG132" s="35">
        <v>5</v>
      </c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6">
        <v>20</v>
      </c>
      <c r="AU132" s="35">
        <v>1</v>
      </c>
      <c r="AV132" s="35">
        <v>1</v>
      </c>
      <c r="AW132" s="35">
        <v>0.1</v>
      </c>
      <c r="AX132" s="35">
        <v>1</v>
      </c>
    </row>
    <row r="133" s="7" customFormat="1" customHeight="1" spans="1:50">
      <c r="A133" s="18">
        <v>131</v>
      </c>
      <c r="B133" s="34">
        <v>44321</v>
      </c>
      <c r="C133" s="35" t="s">
        <v>57</v>
      </c>
      <c r="D133" s="36">
        <v>500</v>
      </c>
      <c r="E133" s="36">
        <v>263</v>
      </c>
      <c r="F133" s="35">
        <f t="shared" si="13"/>
        <v>253</v>
      </c>
      <c r="G133" s="35">
        <v>27.5</v>
      </c>
      <c r="H133" s="35">
        <v>30</v>
      </c>
      <c r="I133" s="35">
        <v>42</v>
      </c>
      <c r="J133" s="36">
        <v>40</v>
      </c>
      <c r="K133" s="37"/>
      <c r="L133" s="20">
        <f t="shared" si="9"/>
        <v>0.526</v>
      </c>
      <c r="M133" s="5">
        <f t="shared" si="10"/>
        <v>0.223</v>
      </c>
      <c r="N133" s="35">
        <f t="shared" si="11"/>
        <v>111.5</v>
      </c>
      <c r="O133" s="35"/>
      <c r="P133" s="35">
        <f>0.5+2.2</f>
        <v>2.7</v>
      </c>
      <c r="Q133" s="35"/>
      <c r="R133" s="35">
        <v>5</v>
      </c>
      <c r="S133" s="35"/>
      <c r="T133" s="35"/>
      <c r="U133" s="35">
        <f>2.9</f>
        <v>2.9</v>
      </c>
      <c r="V133" s="35"/>
      <c r="W133" s="35"/>
      <c r="X133" s="36">
        <v>5</v>
      </c>
      <c r="Y133" s="35">
        <v>2.6</v>
      </c>
      <c r="Z133" s="35"/>
      <c r="AA133" s="35">
        <v>7.3</v>
      </c>
      <c r="AB133" s="35">
        <v>65</v>
      </c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>
        <v>4</v>
      </c>
      <c r="AR133" s="35">
        <v>17</v>
      </c>
      <c r="AS133" s="35"/>
      <c r="AT133" s="36">
        <v>20</v>
      </c>
      <c r="AU133" s="35">
        <v>1</v>
      </c>
      <c r="AV133" s="35">
        <v>1</v>
      </c>
      <c r="AW133" s="35">
        <v>0.1</v>
      </c>
      <c r="AX133" s="35">
        <v>1</v>
      </c>
    </row>
    <row r="134" s="7" customFormat="1" customHeight="1" spans="1:50">
      <c r="A134" s="18">
        <v>132</v>
      </c>
      <c r="B134" s="34">
        <v>44326</v>
      </c>
      <c r="C134" s="35" t="s">
        <v>57</v>
      </c>
      <c r="D134" s="36">
        <f t="shared" ref="D134:D137" si="14">2600/4</f>
        <v>650</v>
      </c>
      <c r="E134" s="36">
        <v>422</v>
      </c>
      <c r="F134" s="35">
        <v>410</v>
      </c>
      <c r="G134" s="35">
        <v>27.5</v>
      </c>
      <c r="H134" s="35">
        <v>35</v>
      </c>
      <c r="I134" s="35">
        <v>42</v>
      </c>
      <c r="J134" s="36">
        <v>50</v>
      </c>
      <c r="K134" s="37"/>
      <c r="L134" s="20">
        <f t="shared" si="9"/>
        <v>0.649230769230769</v>
      </c>
      <c r="M134" s="5">
        <f t="shared" si="10"/>
        <v>0.722923076923077</v>
      </c>
      <c r="N134" s="35">
        <f t="shared" si="11"/>
        <v>469.9</v>
      </c>
      <c r="O134" s="35"/>
      <c r="P134" s="35">
        <v>21</v>
      </c>
      <c r="Q134" s="35"/>
      <c r="R134" s="35">
        <v>101</v>
      </c>
      <c r="S134" s="35"/>
      <c r="T134" s="35">
        <f>6.1+7.2+9.2+9.9+8.3+4.1+5.7+2.1+7.7+4+4.1+6+4.1</f>
        <v>78.5</v>
      </c>
      <c r="U134" s="35">
        <v>4.1</v>
      </c>
      <c r="V134" s="35">
        <f>4.9+4.2+5.9+9.1</f>
        <v>24.1</v>
      </c>
      <c r="W134" s="35">
        <f>12.4+7.1</f>
        <v>19.5</v>
      </c>
      <c r="X134" s="36">
        <f>2.3+1.5</f>
        <v>3.8</v>
      </c>
      <c r="Y134" s="35"/>
      <c r="Z134" s="35"/>
      <c r="AA134" s="35"/>
      <c r="AB134" s="35">
        <v>153</v>
      </c>
      <c r="AC134" s="35">
        <v>2</v>
      </c>
      <c r="AD134" s="35"/>
      <c r="AE134" s="35"/>
      <c r="AF134" s="35">
        <v>3.9</v>
      </c>
      <c r="AG134" s="35"/>
      <c r="AH134" s="35"/>
      <c r="AI134" s="35"/>
      <c r="AJ134" s="35"/>
      <c r="AK134" s="35"/>
      <c r="AL134" s="35"/>
      <c r="AM134" s="35"/>
      <c r="AN134" s="35">
        <v>5.6</v>
      </c>
      <c r="AO134" s="35"/>
      <c r="AP134" s="35">
        <v>2.4</v>
      </c>
      <c r="AQ134" s="35">
        <f>6+11</f>
        <v>17</v>
      </c>
      <c r="AR134" s="35">
        <f>15+3+16</f>
        <v>34</v>
      </c>
      <c r="AS134" s="35"/>
      <c r="AT134" s="36">
        <v>30</v>
      </c>
      <c r="AU134" s="35">
        <v>1</v>
      </c>
      <c r="AV134" s="35">
        <v>1</v>
      </c>
      <c r="AW134" s="35">
        <v>0.1</v>
      </c>
      <c r="AX134" s="35">
        <v>1</v>
      </c>
    </row>
    <row r="135" s="7" customFormat="1" customHeight="1" spans="1:50">
      <c r="A135" s="18">
        <v>133</v>
      </c>
      <c r="B135" s="34">
        <v>44326</v>
      </c>
      <c r="C135" s="35" t="s">
        <v>57</v>
      </c>
      <c r="D135" s="36">
        <f t="shared" si="14"/>
        <v>650</v>
      </c>
      <c r="E135" s="36">
        <v>368</v>
      </c>
      <c r="F135" s="35">
        <f t="shared" ref="F135:F143" si="15">E135-10</f>
        <v>358</v>
      </c>
      <c r="G135" s="35">
        <v>27.5</v>
      </c>
      <c r="H135" s="35">
        <v>35</v>
      </c>
      <c r="I135" s="35">
        <v>42</v>
      </c>
      <c r="J135" s="36">
        <v>50</v>
      </c>
      <c r="K135" s="37"/>
      <c r="L135" s="20">
        <f t="shared" si="9"/>
        <v>0.566153846153846</v>
      </c>
      <c r="M135" s="5">
        <f t="shared" si="10"/>
        <v>0.506615384615385</v>
      </c>
      <c r="N135" s="35">
        <f t="shared" si="11"/>
        <v>329.3</v>
      </c>
      <c r="O135" s="35"/>
      <c r="P135" s="35">
        <f>5.1+20</f>
        <v>25.1</v>
      </c>
      <c r="Q135" s="35"/>
      <c r="R135" s="35">
        <f>9.4+84+5.93</f>
        <v>99.33</v>
      </c>
      <c r="S135" s="35"/>
      <c r="T135" s="35">
        <f>3.88+4.2+6.2+7.6+6.9</f>
        <v>28.78</v>
      </c>
      <c r="U135" s="35">
        <f>1.5+5.6</f>
        <v>7.1</v>
      </c>
      <c r="V135" s="35">
        <f>7.49+9.5</f>
        <v>16.99</v>
      </c>
      <c r="W135" s="35">
        <f>5.5+5.8</f>
        <v>11.3</v>
      </c>
      <c r="X135" s="36">
        <v>1</v>
      </c>
      <c r="Y135" s="35"/>
      <c r="Z135" s="35"/>
      <c r="AA135" s="35">
        <v>5</v>
      </c>
      <c r="AB135" s="35">
        <v>53.5</v>
      </c>
      <c r="AC135" s="35">
        <v>11.2</v>
      </c>
      <c r="AD135" s="35"/>
      <c r="AE135" s="35">
        <v>5.4</v>
      </c>
      <c r="AF135" s="35">
        <v>1.7</v>
      </c>
      <c r="AG135" s="35"/>
      <c r="AH135" s="35"/>
      <c r="AI135" s="35"/>
      <c r="AJ135" s="35"/>
      <c r="AK135" s="35"/>
      <c r="AL135" s="35"/>
      <c r="AM135" s="35"/>
      <c r="AN135" s="35">
        <v>0.9</v>
      </c>
      <c r="AO135" s="35"/>
      <c r="AP135" s="35"/>
      <c r="AQ135" s="35">
        <v>14</v>
      </c>
      <c r="AR135" s="35">
        <v>48</v>
      </c>
      <c r="AS135" s="35"/>
      <c r="AT135" s="36">
        <v>30</v>
      </c>
      <c r="AU135" s="35">
        <v>0</v>
      </c>
      <c r="AV135" s="35">
        <v>1</v>
      </c>
      <c r="AW135" s="35">
        <v>0.1</v>
      </c>
      <c r="AX135" s="35">
        <v>1</v>
      </c>
    </row>
    <row r="136" s="7" customFormat="1" customHeight="1" spans="1:50">
      <c r="A136" s="18">
        <v>134</v>
      </c>
      <c r="B136" s="34">
        <v>44326</v>
      </c>
      <c r="C136" s="35" t="s">
        <v>57</v>
      </c>
      <c r="D136" s="36">
        <f t="shared" si="14"/>
        <v>650</v>
      </c>
      <c r="E136" s="36">
        <v>396</v>
      </c>
      <c r="F136" s="35">
        <f t="shared" si="15"/>
        <v>386</v>
      </c>
      <c r="G136" s="35">
        <v>27.5</v>
      </c>
      <c r="H136" s="35">
        <v>35</v>
      </c>
      <c r="I136" s="35">
        <v>42</v>
      </c>
      <c r="J136" s="36">
        <v>50</v>
      </c>
      <c r="K136" s="37"/>
      <c r="L136" s="20">
        <f t="shared" si="9"/>
        <v>0.609230769230769</v>
      </c>
      <c r="M136" s="5">
        <f t="shared" si="10"/>
        <v>0.375753846153846</v>
      </c>
      <c r="N136" s="35">
        <f t="shared" si="11"/>
        <v>244.24</v>
      </c>
      <c r="O136" s="35"/>
      <c r="P136" s="35">
        <v>20</v>
      </c>
      <c r="Q136" s="35"/>
      <c r="R136" s="35">
        <v>30</v>
      </c>
      <c r="S136" s="35"/>
      <c r="T136" s="35">
        <f>10.2+6.37+5.3+10.3+6.2+3.6</f>
        <v>41.97</v>
      </c>
      <c r="U136" s="35">
        <v>2.92</v>
      </c>
      <c r="V136" s="35">
        <f>8.4+9.1+7</f>
        <v>24.5</v>
      </c>
      <c r="W136" s="35">
        <f>10.7+5</f>
        <v>15.7</v>
      </c>
      <c r="X136" s="36">
        <f>1.17+0.59</f>
        <v>1.76</v>
      </c>
      <c r="Y136" s="35"/>
      <c r="Z136" s="35"/>
      <c r="AA136" s="35"/>
      <c r="AB136" s="35">
        <v>62</v>
      </c>
      <c r="AC136" s="35">
        <v>6.8</v>
      </c>
      <c r="AD136" s="35"/>
      <c r="AE136" s="35"/>
      <c r="AF136" s="35">
        <v>3.44</v>
      </c>
      <c r="AG136" s="35"/>
      <c r="AH136" s="35"/>
      <c r="AI136" s="35"/>
      <c r="AJ136" s="35"/>
      <c r="AK136" s="35"/>
      <c r="AL136" s="35"/>
      <c r="AM136" s="35"/>
      <c r="AN136" s="35">
        <v>1.15</v>
      </c>
      <c r="AO136" s="35"/>
      <c r="AP136" s="35"/>
      <c r="AQ136" s="35">
        <v>10</v>
      </c>
      <c r="AR136" s="35">
        <v>24</v>
      </c>
      <c r="AS136" s="35"/>
      <c r="AT136" s="36">
        <v>30</v>
      </c>
      <c r="AU136" s="35">
        <v>0</v>
      </c>
      <c r="AV136" s="35">
        <v>1</v>
      </c>
      <c r="AW136" s="35">
        <v>0.1</v>
      </c>
      <c r="AX136" s="35">
        <v>1</v>
      </c>
    </row>
    <row r="137" s="7" customFormat="1" customHeight="1" spans="1:50">
      <c r="A137" s="18">
        <v>135</v>
      </c>
      <c r="B137" s="34">
        <v>44326</v>
      </c>
      <c r="C137" s="35" t="s">
        <v>57</v>
      </c>
      <c r="D137" s="36">
        <f t="shared" si="14"/>
        <v>650</v>
      </c>
      <c r="E137" s="36">
        <v>341</v>
      </c>
      <c r="F137" s="35">
        <v>330</v>
      </c>
      <c r="G137" s="35">
        <v>27.5</v>
      </c>
      <c r="H137" s="35">
        <v>35</v>
      </c>
      <c r="I137" s="35">
        <v>42</v>
      </c>
      <c r="J137" s="36">
        <v>50</v>
      </c>
      <c r="K137" s="37"/>
      <c r="L137" s="20">
        <f t="shared" si="9"/>
        <v>0.524615384615385</v>
      </c>
      <c r="M137" s="5">
        <f t="shared" si="10"/>
        <v>1.06669230769231</v>
      </c>
      <c r="N137" s="35">
        <f t="shared" si="11"/>
        <v>693.35</v>
      </c>
      <c r="O137" s="35"/>
      <c r="P137" s="35">
        <f>7.5+6.56</f>
        <v>14.06</v>
      </c>
      <c r="Q137" s="35"/>
      <c r="R137" s="35">
        <f>10+166</f>
        <v>176</v>
      </c>
      <c r="S137" s="35"/>
      <c r="T137" s="35">
        <v>1.5</v>
      </c>
      <c r="U137" s="35">
        <v>6.8</v>
      </c>
      <c r="V137" s="35">
        <v>6.63</v>
      </c>
      <c r="W137" s="35"/>
      <c r="X137" s="36">
        <f>6+2.4</f>
        <v>8.4</v>
      </c>
      <c r="Y137" s="35"/>
      <c r="Z137" s="35">
        <v>4.96</v>
      </c>
      <c r="AA137" s="35"/>
      <c r="AB137" s="35">
        <v>422</v>
      </c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>
        <v>6</v>
      </c>
      <c r="AR137" s="35">
        <v>47</v>
      </c>
      <c r="AS137" s="35"/>
      <c r="AT137" s="36">
        <v>30</v>
      </c>
      <c r="AU137" s="35">
        <v>1</v>
      </c>
      <c r="AV137" s="35">
        <v>1</v>
      </c>
      <c r="AW137" s="35">
        <v>0.1</v>
      </c>
      <c r="AX137" s="35">
        <v>1</v>
      </c>
    </row>
    <row r="138" s="7" customFormat="1" customHeight="1" spans="1:50">
      <c r="A138" s="18">
        <v>136</v>
      </c>
      <c r="B138" s="34">
        <v>44330</v>
      </c>
      <c r="C138" s="35" t="s">
        <v>55</v>
      </c>
      <c r="D138" s="36">
        <v>920</v>
      </c>
      <c r="E138" s="36">
        <v>539</v>
      </c>
      <c r="F138" s="35">
        <f t="shared" si="15"/>
        <v>529</v>
      </c>
      <c r="G138" s="35">
        <v>27.5</v>
      </c>
      <c r="H138" s="35">
        <v>50</v>
      </c>
      <c r="I138" s="35">
        <v>45</v>
      </c>
      <c r="J138" s="36">
        <v>55</v>
      </c>
      <c r="K138" s="37"/>
      <c r="L138" s="20">
        <f t="shared" si="9"/>
        <v>0.585869565217391</v>
      </c>
      <c r="M138" s="5">
        <f t="shared" si="10"/>
        <v>0.334152173913043</v>
      </c>
      <c r="N138" s="35">
        <f t="shared" si="11"/>
        <v>307.42</v>
      </c>
      <c r="O138" s="35"/>
      <c r="P138" s="35">
        <f>5+12.2</f>
        <v>17.2</v>
      </c>
      <c r="Q138" s="35"/>
      <c r="R138" s="35">
        <f>12.5+90</f>
        <v>102.5</v>
      </c>
      <c r="S138" s="35"/>
      <c r="T138" s="35"/>
      <c r="U138" s="35"/>
      <c r="V138" s="35"/>
      <c r="W138" s="35">
        <v>6.36</v>
      </c>
      <c r="X138" s="36">
        <v>5.4</v>
      </c>
      <c r="Y138" s="35"/>
      <c r="Z138" s="35">
        <v>8.5</v>
      </c>
      <c r="AA138" s="35"/>
      <c r="AB138" s="35">
        <v>120</v>
      </c>
      <c r="AC138" s="35"/>
      <c r="AD138" s="35"/>
      <c r="AE138" s="35"/>
      <c r="AF138" s="35">
        <v>1.58</v>
      </c>
      <c r="AG138" s="35"/>
      <c r="AH138" s="35"/>
      <c r="AI138" s="35"/>
      <c r="AJ138" s="35"/>
      <c r="AK138" s="35"/>
      <c r="AL138" s="35"/>
      <c r="AM138" s="35"/>
      <c r="AN138" s="35">
        <v>2.28</v>
      </c>
      <c r="AO138" s="35"/>
      <c r="AP138" s="35"/>
      <c r="AQ138" s="35">
        <v>8.6</v>
      </c>
      <c r="AR138" s="35">
        <v>35</v>
      </c>
      <c r="AS138" s="35"/>
      <c r="AT138" s="36">
        <v>75</v>
      </c>
      <c r="AU138" s="35">
        <v>0</v>
      </c>
      <c r="AV138" s="35">
        <v>1</v>
      </c>
      <c r="AW138" s="35">
        <v>0.1</v>
      </c>
      <c r="AX138" s="35">
        <v>1</v>
      </c>
    </row>
    <row r="139" s="7" customFormat="1" customHeight="1" spans="1:50">
      <c r="A139" s="18">
        <v>137</v>
      </c>
      <c r="B139" s="34">
        <v>44330</v>
      </c>
      <c r="C139" s="35" t="s">
        <v>55</v>
      </c>
      <c r="D139" s="36">
        <v>780</v>
      </c>
      <c r="E139" s="36">
        <v>430</v>
      </c>
      <c r="F139" s="35">
        <f t="shared" si="15"/>
        <v>420</v>
      </c>
      <c r="G139" s="35">
        <v>27.5</v>
      </c>
      <c r="H139" s="35">
        <v>50</v>
      </c>
      <c r="I139" s="35">
        <v>45</v>
      </c>
      <c r="J139" s="36">
        <v>50</v>
      </c>
      <c r="K139" s="37"/>
      <c r="L139" s="20">
        <f t="shared" si="9"/>
        <v>0.551282051282051</v>
      </c>
      <c r="M139" s="5">
        <f t="shared" si="10"/>
        <v>0.468525641025641</v>
      </c>
      <c r="N139" s="35">
        <f t="shared" si="11"/>
        <v>365.45</v>
      </c>
      <c r="O139" s="35"/>
      <c r="P139" s="35">
        <f>1.68+4.56</f>
        <v>6.24</v>
      </c>
      <c r="Q139" s="35"/>
      <c r="R139" s="35">
        <v>138</v>
      </c>
      <c r="S139" s="35"/>
      <c r="T139" s="35"/>
      <c r="U139" s="35">
        <f>2.43+1.58</f>
        <v>4.01</v>
      </c>
      <c r="V139" s="35"/>
      <c r="W139" s="35">
        <v>1.7</v>
      </c>
      <c r="X139" s="36"/>
      <c r="Y139" s="35"/>
      <c r="Z139" s="35"/>
      <c r="AA139" s="35"/>
      <c r="AB139" s="35">
        <v>215.5</v>
      </c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6">
        <v>75</v>
      </c>
      <c r="AU139" s="35">
        <v>0</v>
      </c>
      <c r="AV139" s="35">
        <v>1</v>
      </c>
      <c r="AW139" s="35">
        <v>0.1</v>
      </c>
      <c r="AX139" s="35">
        <v>1</v>
      </c>
    </row>
    <row r="140" s="7" customFormat="1" customHeight="1" spans="1:50">
      <c r="A140" s="18">
        <v>138</v>
      </c>
      <c r="B140" s="34">
        <v>44332</v>
      </c>
      <c r="C140" s="35" t="s">
        <v>55</v>
      </c>
      <c r="D140" s="36">
        <v>750</v>
      </c>
      <c r="E140" s="36">
        <v>418</v>
      </c>
      <c r="F140" s="35">
        <f t="shared" si="15"/>
        <v>408</v>
      </c>
      <c r="G140" s="35">
        <v>27.5</v>
      </c>
      <c r="H140" s="35">
        <v>50</v>
      </c>
      <c r="I140" s="35">
        <v>45</v>
      </c>
      <c r="J140" s="36">
        <v>50</v>
      </c>
      <c r="K140" s="37"/>
      <c r="L140" s="20">
        <f t="shared" si="9"/>
        <v>0.557333333333333</v>
      </c>
      <c r="M140" s="5">
        <f t="shared" si="10"/>
        <v>0.16892</v>
      </c>
      <c r="N140" s="35">
        <f t="shared" si="11"/>
        <v>126.69</v>
      </c>
      <c r="O140" s="35"/>
      <c r="P140" s="35">
        <v>7.26</v>
      </c>
      <c r="Q140" s="35"/>
      <c r="R140" s="35">
        <f>29</f>
        <v>29</v>
      </c>
      <c r="S140" s="35"/>
      <c r="T140" s="35">
        <f>6.08+5.2+10+2.3</f>
        <v>23.58</v>
      </c>
      <c r="U140" s="35">
        <f>5.3+6.8</f>
        <v>12.1</v>
      </c>
      <c r="V140" s="35">
        <v>7.37</v>
      </c>
      <c r="W140" s="35">
        <f>3.34+4</f>
        <v>7.34</v>
      </c>
      <c r="X140" s="36">
        <f>3.3+1.66+5</f>
        <v>9.96</v>
      </c>
      <c r="Y140" s="35">
        <v>5.53</v>
      </c>
      <c r="Z140" s="35">
        <f>9+8.7</f>
        <v>17.7</v>
      </c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>
        <v>0.85</v>
      </c>
      <c r="AQ140" s="35">
        <v>2</v>
      </c>
      <c r="AR140" s="35">
        <v>4</v>
      </c>
      <c r="AS140" s="35"/>
      <c r="AT140" s="36">
        <v>75</v>
      </c>
      <c r="AU140" s="35">
        <v>0</v>
      </c>
      <c r="AV140" s="35">
        <v>1</v>
      </c>
      <c r="AW140" s="35">
        <v>0.1</v>
      </c>
      <c r="AX140" s="35">
        <v>1</v>
      </c>
    </row>
    <row r="141" s="7" customFormat="1" customHeight="1" spans="1:50">
      <c r="A141" s="18">
        <v>139</v>
      </c>
      <c r="B141" s="34">
        <v>44332</v>
      </c>
      <c r="C141" s="35" t="s">
        <v>55</v>
      </c>
      <c r="D141" s="36">
        <v>750</v>
      </c>
      <c r="E141" s="36">
        <v>440</v>
      </c>
      <c r="F141" s="35">
        <f t="shared" si="15"/>
        <v>430</v>
      </c>
      <c r="G141" s="35">
        <v>27.5</v>
      </c>
      <c r="H141" s="35">
        <v>50</v>
      </c>
      <c r="I141" s="35">
        <v>45</v>
      </c>
      <c r="J141" s="36">
        <v>50</v>
      </c>
      <c r="K141" s="37"/>
      <c r="L141" s="20">
        <f t="shared" si="9"/>
        <v>0.586666666666667</v>
      </c>
      <c r="M141" s="5">
        <f t="shared" ref="M141:M163" si="16">N141/D141</f>
        <v>0.285706666666667</v>
      </c>
      <c r="N141" s="35">
        <f t="shared" si="11"/>
        <v>214.28</v>
      </c>
      <c r="O141" s="35"/>
      <c r="P141" s="35">
        <v>17.6</v>
      </c>
      <c r="Q141" s="35"/>
      <c r="R141" s="35"/>
      <c r="S141" s="35"/>
      <c r="T141" s="7">
        <f>4.4+8.1+7.3+12.5+8.2+8.2+2</f>
        <v>50.7</v>
      </c>
      <c r="U141" s="35">
        <v>17.7</v>
      </c>
      <c r="V141" s="35">
        <f>7.9+7.4+5.5+4+4.1+8.2+9.1</f>
        <v>46.2</v>
      </c>
      <c r="W141" s="35">
        <f>5.8+4.8+4.3+2.9+5.4+5.2</f>
        <v>28.4</v>
      </c>
      <c r="X141" s="36">
        <f>1.6+4.8</f>
        <v>6.4</v>
      </c>
      <c r="Y141" s="35"/>
      <c r="Z141" s="35"/>
      <c r="AA141" s="35"/>
      <c r="AB141" s="35">
        <v>6.2</v>
      </c>
      <c r="AC141" s="35"/>
      <c r="AD141" s="35"/>
      <c r="AE141" s="35"/>
      <c r="AF141" s="35">
        <v>8.5</v>
      </c>
      <c r="AG141" s="35"/>
      <c r="AH141" s="35"/>
      <c r="AI141" s="35"/>
      <c r="AJ141" s="35"/>
      <c r="AK141" s="35"/>
      <c r="AL141" s="35"/>
      <c r="AM141" s="35"/>
      <c r="AN141" s="35">
        <v>2.3</v>
      </c>
      <c r="AO141" s="35"/>
      <c r="AP141" s="35">
        <v>1.28</v>
      </c>
      <c r="AQ141" s="35">
        <v>20</v>
      </c>
      <c r="AR141" s="35">
        <v>9</v>
      </c>
      <c r="AS141" s="35"/>
      <c r="AT141" s="36">
        <v>75</v>
      </c>
      <c r="AU141" s="35">
        <v>0</v>
      </c>
      <c r="AV141" s="35">
        <v>1</v>
      </c>
      <c r="AW141" s="35">
        <v>0.1</v>
      </c>
      <c r="AX141" s="35">
        <v>1</v>
      </c>
    </row>
    <row r="142" s="7" customFormat="1" customHeight="1" spans="1:50">
      <c r="A142" s="18">
        <v>140</v>
      </c>
      <c r="B142" s="34">
        <v>44333</v>
      </c>
      <c r="C142" s="35" t="s">
        <v>55</v>
      </c>
      <c r="D142" s="36">
        <v>750</v>
      </c>
      <c r="E142" s="36">
        <v>453</v>
      </c>
      <c r="F142" s="35">
        <f t="shared" si="15"/>
        <v>443</v>
      </c>
      <c r="G142" s="35">
        <v>27.5</v>
      </c>
      <c r="H142" s="35">
        <v>50</v>
      </c>
      <c r="I142" s="35">
        <v>45</v>
      </c>
      <c r="J142" s="36">
        <v>50</v>
      </c>
      <c r="K142" s="37"/>
      <c r="L142" s="20">
        <f t="shared" si="9"/>
        <v>0.604</v>
      </c>
      <c r="M142" s="5">
        <f t="shared" si="16"/>
        <v>0.4822</v>
      </c>
      <c r="N142" s="35">
        <f t="shared" si="11"/>
        <v>361.65</v>
      </c>
      <c r="O142" s="35">
        <f>4.4+3.1</f>
        <v>7.5</v>
      </c>
      <c r="P142" s="35">
        <f>19.7+23.7+19.2</f>
        <v>62.6</v>
      </c>
      <c r="Q142" s="35">
        <v>1.68</v>
      </c>
      <c r="R142" s="35">
        <v>31.2</v>
      </c>
      <c r="S142" s="35">
        <v>1.6</v>
      </c>
      <c r="T142" s="35">
        <f>8.3+11.1+8.5+8+10.2+2.5</f>
        <v>48.6</v>
      </c>
      <c r="U142" s="35">
        <f>9.7+6.5</f>
        <v>16.2</v>
      </c>
      <c r="V142" s="35">
        <f>5.7+6.3+6.9+7.2</f>
        <v>26.1</v>
      </c>
      <c r="W142" s="35">
        <f>10.1+2.4+5.6+11.4</f>
        <v>29.5</v>
      </c>
      <c r="X142" s="36">
        <f>7.9+1+5.3+0.7</f>
        <v>14.9</v>
      </c>
      <c r="Y142" s="35">
        <v>5.1</v>
      </c>
      <c r="Z142" s="35"/>
      <c r="AA142" s="35">
        <f>9.2+9.2+5.9+4.7+5+7.9</f>
        <v>41.9</v>
      </c>
      <c r="AB142" s="35">
        <f>9.7+1.79+4.1</f>
        <v>15.59</v>
      </c>
      <c r="AC142" s="35"/>
      <c r="AD142" s="35">
        <v>9</v>
      </c>
      <c r="AE142" s="35"/>
      <c r="AF142" s="35">
        <v>5</v>
      </c>
      <c r="AG142" s="35"/>
      <c r="AH142" s="35"/>
      <c r="AI142" s="35"/>
      <c r="AJ142" s="35"/>
      <c r="AK142" s="35"/>
      <c r="AL142" s="35"/>
      <c r="AM142" s="35"/>
      <c r="AN142" s="35">
        <v>1.18</v>
      </c>
      <c r="AO142" s="35"/>
      <c r="AP142" s="35"/>
      <c r="AQ142" s="35">
        <v>21</v>
      </c>
      <c r="AR142" s="35">
        <v>23</v>
      </c>
      <c r="AS142" s="35"/>
      <c r="AT142" s="36">
        <v>75</v>
      </c>
      <c r="AU142" s="35">
        <v>0</v>
      </c>
      <c r="AV142" s="35">
        <v>1</v>
      </c>
      <c r="AW142" s="35">
        <v>0.1</v>
      </c>
      <c r="AX142" s="35">
        <v>1</v>
      </c>
    </row>
    <row r="143" s="7" customFormat="1" customHeight="1" spans="1:50">
      <c r="A143" s="18">
        <v>141</v>
      </c>
      <c r="B143" s="34">
        <v>44333</v>
      </c>
      <c r="C143" s="35" t="s">
        <v>55</v>
      </c>
      <c r="D143" s="36">
        <v>750</v>
      </c>
      <c r="E143" s="36">
        <v>420</v>
      </c>
      <c r="F143" s="35">
        <f t="shared" si="15"/>
        <v>410</v>
      </c>
      <c r="G143" s="35">
        <v>27.5</v>
      </c>
      <c r="H143" s="35">
        <v>50</v>
      </c>
      <c r="I143" s="35">
        <v>45</v>
      </c>
      <c r="J143" s="36">
        <v>50</v>
      </c>
      <c r="K143" s="37"/>
      <c r="L143" s="20">
        <f t="shared" si="9"/>
        <v>0.56</v>
      </c>
      <c r="M143" s="5">
        <f t="shared" si="16"/>
        <v>0.257373333333333</v>
      </c>
      <c r="N143" s="35">
        <f t="shared" si="11"/>
        <v>193.03</v>
      </c>
      <c r="O143" s="35"/>
      <c r="P143" s="35">
        <f>7.5+10.9+3.3</f>
        <v>21.7</v>
      </c>
      <c r="Q143" s="35">
        <v>3.1</v>
      </c>
      <c r="R143" s="35">
        <f>15+5.4+21</f>
        <v>41.4</v>
      </c>
      <c r="S143" s="35">
        <v>3.8</v>
      </c>
      <c r="T143" s="35">
        <f>4.6+9.7</f>
        <v>14.3</v>
      </c>
      <c r="U143" s="35">
        <v>4.9</v>
      </c>
      <c r="V143" s="35">
        <v>3.5</v>
      </c>
      <c r="W143" s="35">
        <f>6+9.2</f>
        <v>15.2</v>
      </c>
      <c r="X143" s="36">
        <v>0.6</v>
      </c>
      <c r="Y143" s="35"/>
      <c r="Z143" s="35">
        <f>4.8+5.1</f>
        <v>9.9</v>
      </c>
      <c r="AA143" s="35"/>
      <c r="AB143" s="35">
        <f>9.5+1.2+5.4+7.2</f>
        <v>23.3</v>
      </c>
      <c r="AC143" s="35">
        <v>14.23</v>
      </c>
      <c r="AD143" s="35">
        <v>6.9</v>
      </c>
      <c r="AE143" s="35">
        <v>10.8</v>
      </c>
      <c r="AF143" s="35">
        <v>1.9</v>
      </c>
      <c r="AG143" s="35"/>
      <c r="AH143" s="35"/>
      <c r="AI143" s="35"/>
      <c r="AJ143" s="35"/>
      <c r="AK143" s="35"/>
      <c r="AL143" s="35"/>
      <c r="AM143" s="35"/>
      <c r="AN143" s="35">
        <v>0.5</v>
      </c>
      <c r="AO143" s="35"/>
      <c r="AP143" s="35"/>
      <c r="AQ143" s="35">
        <v>6</v>
      </c>
      <c r="AR143" s="35">
        <v>11</v>
      </c>
      <c r="AS143" s="35"/>
      <c r="AT143" s="36">
        <v>75</v>
      </c>
      <c r="AU143" s="35">
        <v>0</v>
      </c>
      <c r="AV143" s="35">
        <v>1</v>
      </c>
      <c r="AW143" s="35">
        <v>0.1</v>
      </c>
      <c r="AX143" s="35">
        <v>1</v>
      </c>
    </row>
    <row r="144" s="7" customFormat="1" customHeight="1" spans="1:50">
      <c r="A144" s="18">
        <v>142</v>
      </c>
      <c r="B144" s="34">
        <v>44333</v>
      </c>
      <c r="C144" s="35" t="s">
        <v>57</v>
      </c>
      <c r="D144" s="36">
        <v>650</v>
      </c>
      <c r="E144" s="39">
        <v>357</v>
      </c>
      <c r="F144" s="35">
        <v>345</v>
      </c>
      <c r="G144" s="35">
        <v>27.5</v>
      </c>
      <c r="H144" s="35">
        <v>35</v>
      </c>
      <c r="I144" s="35">
        <v>45</v>
      </c>
      <c r="J144" s="36">
        <v>50</v>
      </c>
      <c r="K144" s="37"/>
      <c r="L144" s="20">
        <f t="shared" si="9"/>
        <v>0.549230769230769</v>
      </c>
      <c r="M144" s="5">
        <f t="shared" si="16"/>
        <v>0.331015384615385</v>
      </c>
      <c r="N144" s="35">
        <f t="shared" si="11"/>
        <v>215.16</v>
      </c>
      <c r="O144" s="35"/>
      <c r="P144" s="35">
        <f>6.6+3.4+6.2+7</f>
        <v>23.2</v>
      </c>
      <c r="Q144" s="35"/>
      <c r="R144" s="35">
        <f>16+15+15.5</f>
        <v>46.5</v>
      </c>
      <c r="S144" s="35">
        <f>2.6+6.8</f>
        <v>9.4</v>
      </c>
      <c r="T144" s="35">
        <f>9+8.3+9.5</f>
        <v>26.8</v>
      </c>
      <c r="U144" s="35">
        <f>6.6+8</f>
        <v>14.6</v>
      </c>
      <c r="V144" s="35"/>
      <c r="W144" s="35">
        <v>9.9</v>
      </c>
      <c r="X144" s="36">
        <f>5.23+6.63</f>
        <v>11.86</v>
      </c>
      <c r="Y144" s="35">
        <f>4.2+5</f>
        <v>9.2</v>
      </c>
      <c r="Z144" s="35">
        <v>12.3</v>
      </c>
      <c r="AA144" s="35">
        <f>10.7</f>
        <v>10.7</v>
      </c>
      <c r="AB144" s="35">
        <v>5.6</v>
      </c>
      <c r="AC144" s="35"/>
      <c r="AD144" s="35">
        <f>5+4.5+6.2</f>
        <v>15.7</v>
      </c>
      <c r="AE144" s="35">
        <f>8.1+7.6+3.7</f>
        <v>19.4</v>
      </c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6">
        <v>35</v>
      </c>
      <c r="AU144" s="35">
        <v>0</v>
      </c>
      <c r="AV144" s="35">
        <v>1</v>
      </c>
      <c r="AW144" s="35">
        <v>0.1</v>
      </c>
      <c r="AX144" s="35">
        <v>1</v>
      </c>
    </row>
    <row r="145" s="7" customFormat="1" customHeight="1" spans="1:50">
      <c r="A145" s="18">
        <v>143</v>
      </c>
      <c r="B145" s="34">
        <v>44334</v>
      </c>
      <c r="C145" s="35" t="s">
        <v>55</v>
      </c>
      <c r="D145" s="40">
        <v>675</v>
      </c>
      <c r="E145" s="36">
        <v>430</v>
      </c>
      <c r="F145" s="35">
        <f t="shared" ref="F145:F147" si="17">E145-10</f>
        <v>420</v>
      </c>
      <c r="G145" s="35">
        <v>27.5</v>
      </c>
      <c r="H145" s="35">
        <v>50</v>
      </c>
      <c r="I145" s="35">
        <v>45</v>
      </c>
      <c r="J145" s="47">
        <v>50</v>
      </c>
      <c r="K145" s="50"/>
      <c r="L145" s="20">
        <f t="shared" si="9"/>
        <v>0.637037037037037</v>
      </c>
      <c r="M145" s="5">
        <f t="shared" si="16"/>
        <v>0.0204444444444444</v>
      </c>
      <c r="N145" s="51">
        <f t="shared" si="11"/>
        <v>13.8</v>
      </c>
      <c r="O145" s="51"/>
      <c r="P145" s="51">
        <v>7.4</v>
      </c>
      <c r="Q145" s="51"/>
      <c r="R145" s="51"/>
      <c r="S145" s="51"/>
      <c r="T145" s="51"/>
      <c r="U145" s="51"/>
      <c r="V145" s="51"/>
      <c r="W145" s="51">
        <v>6.4</v>
      </c>
      <c r="X145" s="47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47">
        <v>75</v>
      </c>
      <c r="AU145" s="35">
        <v>0</v>
      </c>
      <c r="AV145" s="35">
        <v>1</v>
      </c>
      <c r="AW145" s="35">
        <v>0.1</v>
      </c>
      <c r="AX145" s="35">
        <v>1</v>
      </c>
    </row>
    <row r="146" s="7" customFormat="1" customHeight="1" spans="1:50">
      <c r="A146" s="18">
        <v>144</v>
      </c>
      <c r="B146" s="34">
        <v>44334</v>
      </c>
      <c r="C146" s="35" t="s">
        <v>55</v>
      </c>
      <c r="D146" s="40">
        <v>675</v>
      </c>
      <c r="E146" s="36">
        <v>400</v>
      </c>
      <c r="F146" s="35">
        <f t="shared" si="17"/>
        <v>390</v>
      </c>
      <c r="G146" s="35">
        <v>27.5</v>
      </c>
      <c r="H146" s="35">
        <v>50</v>
      </c>
      <c r="I146" s="35">
        <v>45</v>
      </c>
      <c r="J146" s="36">
        <v>50</v>
      </c>
      <c r="K146" s="35"/>
      <c r="L146" s="3">
        <f t="shared" si="9"/>
        <v>0.592592592592593</v>
      </c>
      <c r="M146" s="5">
        <f t="shared" si="16"/>
        <v>0.117925925925926</v>
      </c>
      <c r="N146" s="35">
        <f t="shared" si="11"/>
        <v>79.6</v>
      </c>
      <c r="O146" s="35">
        <v>19.3</v>
      </c>
      <c r="P146" s="35"/>
      <c r="Q146" s="35">
        <v>6.2</v>
      </c>
      <c r="R146" s="35"/>
      <c r="S146" s="35"/>
      <c r="T146" s="35"/>
      <c r="U146" s="35"/>
      <c r="V146" s="35"/>
      <c r="W146" s="35"/>
      <c r="X146" s="36">
        <f>11+2.5+12.5+4.5</f>
        <v>30.5</v>
      </c>
      <c r="Y146" s="35"/>
      <c r="Z146" s="35"/>
      <c r="AA146" s="35"/>
      <c r="AB146" s="35"/>
      <c r="AC146" s="35">
        <v>10.2</v>
      </c>
      <c r="AD146" s="35"/>
      <c r="AE146" s="35"/>
      <c r="AF146" s="35">
        <v>1.4</v>
      </c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>
        <v>7</v>
      </c>
      <c r="AR146" s="35">
        <v>5</v>
      </c>
      <c r="AS146" s="35"/>
      <c r="AT146" s="36">
        <v>75</v>
      </c>
      <c r="AU146" s="35">
        <v>0</v>
      </c>
      <c r="AV146" s="35">
        <v>1</v>
      </c>
      <c r="AW146" s="35">
        <v>0.1</v>
      </c>
      <c r="AX146" s="35">
        <v>1</v>
      </c>
    </row>
    <row r="147" s="7" customFormat="1" customHeight="1" spans="1:50">
      <c r="A147" s="18">
        <v>145</v>
      </c>
      <c r="B147" s="34">
        <v>44334</v>
      </c>
      <c r="C147" s="35" t="s">
        <v>57</v>
      </c>
      <c r="D147" s="36">
        <v>700</v>
      </c>
      <c r="E147" s="36">
        <v>370</v>
      </c>
      <c r="F147" s="35">
        <f t="shared" si="17"/>
        <v>360</v>
      </c>
      <c r="G147" s="35">
        <v>27.5</v>
      </c>
      <c r="H147" s="35">
        <v>35</v>
      </c>
      <c r="I147" s="35">
        <v>40</v>
      </c>
      <c r="J147" s="36">
        <v>45</v>
      </c>
      <c r="K147" s="35"/>
      <c r="L147" s="3">
        <f t="shared" si="9"/>
        <v>0.528571428571429</v>
      </c>
      <c r="M147" s="5">
        <f t="shared" si="16"/>
        <v>0.247285714285714</v>
      </c>
      <c r="N147" s="35">
        <f t="shared" si="11"/>
        <v>173.1</v>
      </c>
      <c r="O147" s="35"/>
      <c r="P147" s="35"/>
      <c r="Q147" s="35"/>
      <c r="R147" s="35">
        <f>6+7.5+9</f>
        <v>22.5</v>
      </c>
      <c r="S147" s="35"/>
      <c r="T147" s="35">
        <v>27.4</v>
      </c>
      <c r="U147" s="35"/>
      <c r="V147" s="35"/>
      <c r="W147" s="35">
        <f>4.2+5.2+5.7+5.3</f>
        <v>20.4</v>
      </c>
      <c r="X147" s="36">
        <v>5.5</v>
      </c>
      <c r="Y147" s="35">
        <f>8.1+7.4+8.8+8.9</f>
        <v>33.2</v>
      </c>
      <c r="Z147" s="35">
        <f>11.2+11.8</f>
        <v>23</v>
      </c>
      <c r="AA147" s="35">
        <f>8.6+8.1+9.3+9.1</f>
        <v>35.1</v>
      </c>
      <c r="AB147" s="35"/>
      <c r="AC147" s="35">
        <v>6</v>
      </c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6">
        <v>35</v>
      </c>
      <c r="AU147" s="35">
        <v>1</v>
      </c>
      <c r="AV147" s="35">
        <v>1</v>
      </c>
      <c r="AW147" s="35">
        <v>0.1</v>
      </c>
      <c r="AX147" s="35">
        <v>1</v>
      </c>
    </row>
    <row r="148" s="7" customFormat="1" customHeight="1" spans="1:50">
      <c r="A148" s="18">
        <v>146</v>
      </c>
      <c r="B148" s="34">
        <v>44340</v>
      </c>
      <c r="C148" s="35" t="s">
        <v>57</v>
      </c>
      <c r="D148" s="36">
        <v>800</v>
      </c>
      <c r="E148" s="36">
        <v>409.5</v>
      </c>
      <c r="F148" s="35">
        <v>399</v>
      </c>
      <c r="G148" s="35">
        <v>27.5</v>
      </c>
      <c r="H148" s="35">
        <v>35</v>
      </c>
      <c r="I148" s="35">
        <v>45</v>
      </c>
      <c r="J148" s="36">
        <v>50</v>
      </c>
      <c r="K148" s="35"/>
      <c r="L148" s="3">
        <f t="shared" si="9"/>
        <v>0.511875</v>
      </c>
      <c r="M148" s="5">
        <f t="shared" si="16"/>
        <v>0.4032375</v>
      </c>
      <c r="N148" s="35">
        <f t="shared" si="11"/>
        <v>322.59</v>
      </c>
      <c r="O148" s="35"/>
      <c r="P148" s="35"/>
      <c r="Q148" s="35"/>
      <c r="R148" s="35">
        <f>49.2+39</f>
        <v>88.2</v>
      </c>
      <c r="S148" s="35"/>
      <c r="T148" s="35">
        <f>33.3+3.8</f>
        <v>37.1</v>
      </c>
      <c r="U148" s="35">
        <f>10+10.2+13.7</f>
        <v>33.9</v>
      </c>
      <c r="V148" s="35">
        <f>9.5+14.8</f>
        <v>24.3</v>
      </c>
      <c r="W148" s="35"/>
      <c r="X148" s="36"/>
      <c r="Y148" s="35">
        <v>4.6</v>
      </c>
      <c r="Z148" s="35"/>
      <c r="AA148" s="35"/>
      <c r="AB148" s="35">
        <f>4.7+4.7+10.9</f>
        <v>20.3</v>
      </c>
      <c r="AC148" s="35">
        <f>20+23.2</f>
        <v>43.2</v>
      </c>
      <c r="AD148" s="35"/>
      <c r="AE148" s="35">
        <f>13.8+9.4+6.2+4.4</f>
        <v>33.8</v>
      </c>
      <c r="AF148" s="35">
        <f>1.6+2.1</f>
        <v>3.7</v>
      </c>
      <c r="AG148" s="35"/>
      <c r="AH148" s="35"/>
      <c r="AI148" s="35"/>
      <c r="AJ148" s="35"/>
      <c r="AK148" s="35"/>
      <c r="AL148" s="35"/>
      <c r="AM148" s="35"/>
      <c r="AN148" s="35">
        <v>1.29</v>
      </c>
      <c r="AO148" s="35"/>
      <c r="AP148" s="35">
        <v>1.2</v>
      </c>
      <c r="AQ148" s="35">
        <v>12</v>
      </c>
      <c r="AR148" s="35">
        <v>19</v>
      </c>
      <c r="AS148" s="35"/>
      <c r="AT148" s="36">
        <v>35</v>
      </c>
      <c r="AU148" s="35">
        <v>1</v>
      </c>
      <c r="AV148" s="35">
        <v>1</v>
      </c>
      <c r="AW148" s="35">
        <v>0.1</v>
      </c>
      <c r="AX148" s="35">
        <v>1</v>
      </c>
    </row>
    <row r="149" s="8" customFormat="1" customHeight="1" spans="1:50">
      <c r="A149" s="18">
        <v>147</v>
      </c>
      <c r="B149" s="41">
        <v>44340</v>
      </c>
      <c r="C149" s="42" t="s">
        <v>57</v>
      </c>
      <c r="D149" s="43">
        <v>600</v>
      </c>
      <c r="E149" s="43">
        <v>312</v>
      </c>
      <c r="F149" s="42">
        <v>300</v>
      </c>
      <c r="G149" s="42">
        <v>27.5</v>
      </c>
      <c r="H149" s="42">
        <v>35</v>
      </c>
      <c r="I149" s="42">
        <v>40</v>
      </c>
      <c r="J149" s="43">
        <v>44</v>
      </c>
      <c r="K149" s="42"/>
      <c r="L149" s="4">
        <f t="shared" si="9"/>
        <v>0.52</v>
      </c>
      <c r="M149" s="6">
        <f t="shared" si="16"/>
        <v>0.333583333333333</v>
      </c>
      <c r="N149" s="42">
        <f t="shared" si="11"/>
        <v>200.15</v>
      </c>
      <c r="O149" s="42">
        <f>5.2+5.95+5.5+5.25</f>
        <v>21.9</v>
      </c>
      <c r="P149" s="42">
        <f>12.6+8.5</f>
        <v>21.1</v>
      </c>
      <c r="Q149" s="42">
        <v>3.56</v>
      </c>
      <c r="R149" s="42">
        <v>9.6</v>
      </c>
      <c r="S149" s="42">
        <v>4</v>
      </c>
      <c r="T149" s="42">
        <f>8+8.58+10.5</f>
        <v>27.08</v>
      </c>
      <c r="U149" s="42">
        <v>10</v>
      </c>
      <c r="V149" s="42">
        <f>9.2</f>
        <v>9.2</v>
      </c>
      <c r="W149" s="42">
        <v>7.6</v>
      </c>
      <c r="X149" s="43">
        <f>0.9+4.48</f>
        <v>5.38</v>
      </c>
      <c r="Y149" s="42">
        <v>4.4</v>
      </c>
      <c r="Z149" s="42">
        <f>4.9+4.77</f>
        <v>9.67</v>
      </c>
      <c r="AA149" s="42">
        <f>7.46+7.8</f>
        <v>15.26</v>
      </c>
      <c r="AB149" s="42">
        <f>4.37+4.58</f>
        <v>8.95</v>
      </c>
      <c r="AC149" s="42">
        <v>6.19</v>
      </c>
      <c r="AD149" s="42">
        <f>5.56+5.94</f>
        <v>11.5</v>
      </c>
      <c r="AE149" s="42">
        <f>5.4+9.3</f>
        <v>14.7</v>
      </c>
      <c r="AF149" s="42"/>
      <c r="AG149" s="42"/>
      <c r="AH149" s="42"/>
      <c r="AI149" s="42"/>
      <c r="AJ149" s="42"/>
      <c r="AK149" s="42"/>
      <c r="AL149" s="42"/>
      <c r="AM149" s="42"/>
      <c r="AN149" s="42">
        <v>0.56</v>
      </c>
      <c r="AO149" s="42"/>
      <c r="AP149" s="42"/>
      <c r="AQ149" s="42"/>
      <c r="AR149" s="42">
        <v>9.5</v>
      </c>
      <c r="AS149" s="42"/>
      <c r="AT149" s="43">
        <v>35</v>
      </c>
      <c r="AU149" s="42">
        <v>0</v>
      </c>
      <c r="AV149" s="42">
        <v>1</v>
      </c>
      <c r="AW149" s="42">
        <v>0.1</v>
      </c>
      <c r="AX149" s="42">
        <v>1</v>
      </c>
    </row>
    <row r="150" s="7" customFormat="1" customHeight="1" spans="1:47">
      <c r="A150" s="18">
        <v>148</v>
      </c>
      <c r="B150" s="44">
        <v>44340</v>
      </c>
      <c r="C150" s="45" t="s">
        <v>58</v>
      </c>
      <c r="D150" s="46">
        <v>400</v>
      </c>
      <c r="E150" s="39">
        <v>228</v>
      </c>
      <c r="F150" s="7">
        <v>218</v>
      </c>
      <c r="G150" s="7">
        <v>25</v>
      </c>
      <c r="H150" s="7">
        <v>70</v>
      </c>
      <c r="I150" s="7">
        <v>40</v>
      </c>
      <c r="J150" s="46">
        <v>42</v>
      </c>
      <c r="L150" s="47">
        <f t="shared" ref="L150:L156" si="18">E150/D150</f>
        <v>0.57</v>
      </c>
      <c r="M150" s="5">
        <f t="shared" si="16"/>
        <v>0.482</v>
      </c>
      <c r="N150" s="51">
        <f t="shared" ref="N150:N154" si="19">SUM(O150:AR150)</f>
        <v>192.8</v>
      </c>
      <c r="O150" s="7">
        <v>2.56</v>
      </c>
      <c r="P150" s="7">
        <v>7.25</v>
      </c>
      <c r="Q150" s="7">
        <v>2.3</v>
      </c>
      <c r="R150" s="7">
        <v>30</v>
      </c>
      <c r="S150" s="7">
        <v>2.2</v>
      </c>
      <c r="T150" s="7">
        <f>6.7+4.56</f>
        <v>11.26</v>
      </c>
      <c r="U150" s="7">
        <v>8.3</v>
      </c>
      <c r="V150" s="7">
        <v>12</v>
      </c>
      <c r="W150" s="7">
        <v>10</v>
      </c>
      <c r="X150" s="46">
        <v>4.86</v>
      </c>
      <c r="Y150" s="7">
        <v>4.65</v>
      </c>
      <c r="AA150" s="7">
        <v>3.1</v>
      </c>
      <c r="AB150" s="7">
        <v>43</v>
      </c>
      <c r="AD150" s="7">
        <f>6.27+7</f>
        <v>13.27</v>
      </c>
      <c r="AE150" s="7">
        <f>11.9+7.9</f>
        <v>19.8</v>
      </c>
      <c r="AF150" s="7">
        <v>1.19</v>
      </c>
      <c r="AN150" s="7">
        <v>0.56</v>
      </c>
      <c r="AQ150" s="7">
        <v>3.5</v>
      </c>
      <c r="AR150" s="7">
        <v>13</v>
      </c>
      <c r="AT150" s="46">
        <v>30</v>
      </c>
      <c r="AU150" s="7">
        <v>1</v>
      </c>
    </row>
    <row r="151" s="7" customFormat="1" customHeight="1" spans="1:50">
      <c r="A151" s="18">
        <v>149</v>
      </c>
      <c r="B151" s="34">
        <v>44349</v>
      </c>
      <c r="C151" s="35" t="s">
        <v>55</v>
      </c>
      <c r="D151" s="36">
        <v>800</v>
      </c>
      <c r="E151" s="36">
        <v>438</v>
      </c>
      <c r="F151" s="35">
        <v>425</v>
      </c>
      <c r="G151" s="35">
        <v>30</v>
      </c>
      <c r="H151" s="35">
        <v>50</v>
      </c>
      <c r="I151" s="35">
        <v>50</v>
      </c>
      <c r="J151" s="36">
        <v>45</v>
      </c>
      <c r="K151" s="35"/>
      <c r="L151" s="36">
        <f t="shared" si="18"/>
        <v>0.5475</v>
      </c>
      <c r="M151" s="5">
        <f t="shared" si="16"/>
        <v>0.4034375</v>
      </c>
      <c r="N151" s="35">
        <f t="shared" si="19"/>
        <v>322.75</v>
      </c>
      <c r="O151" s="35">
        <f>5.3+6.55+3.75</f>
        <v>15.6</v>
      </c>
      <c r="P151" s="35">
        <v>18</v>
      </c>
      <c r="Q151" s="35">
        <v>2.8</v>
      </c>
      <c r="R151" s="35">
        <f>13+15.5+14+12.6+13.5</f>
        <v>68.6</v>
      </c>
      <c r="S151" s="35">
        <f>2.45+1.6</f>
        <v>4.05</v>
      </c>
      <c r="T151" s="35">
        <v>29.5</v>
      </c>
      <c r="U151" s="35">
        <f>6.7+7.5</f>
        <v>14.2</v>
      </c>
      <c r="V151" s="35">
        <v>16.4</v>
      </c>
      <c r="W151" s="35">
        <f>5.3+3.3</f>
        <v>8.6</v>
      </c>
      <c r="X151" s="36">
        <v>5</v>
      </c>
      <c r="Y151" s="35">
        <v>4.5</v>
      </c>
      <c r="Z151" s="35">
        <v>11</v>
      </c>
      <c r="AA151" s="35">
        <f>8+7.6</f>
        <v>15.6</v>
      </c>
      <c r="AB151" s="35">
        <f>5.4+4.65</f>
        <v>10.05</v>
      </c>
      <c r="AC151" s="35">
        <f>10.7+4</f>
        <v>14.7</v>
      </c>
      <c r="AD151" s="35">
        <v>18.8</v>
      </c>
      <c r="AE151" s="35">
        <v>17.8</v>
      </c>
      <c r="AF151" s="35">
        <v>0.55</v>
      </c>
      <c r="AG151" s="35"/>
      <c r="AH151" s="35"/>
      <c r="AI151" s="35"/>
      <c r="AJ151" s="35"/>
      <c r="AK151" s="35"/>
      <c r="AL151" s="35"/>
      <c r="AM151" s="35"/>
      <c r="AN151" s="35"/>
      <c r="AO151" s="35"/>
      <c r="AP151" s="35">
        <v>20</v>
      </c>
      <c r="AQ151" s="35">
        <v>12</v>
      </c>
      <c r="AR151" s="35">
        <v>15</v>
      </c>
      <c r="AS151" s="35"/>
      <c r="AT151" s="36">
        <v>75</v>
      </c>
      <c r="AU151" s="35">
        <v>0</v>
      </c>
      <c r="AV151" s="35">
        <v>1</v>
      </c>
      <c r="AW151" s="35">
        <v>0</v>
      </c>
      <c r="AX151" s="35">
        <v>1</v>
      </c>
    </row>
    <row r="152" s="7" customFormat="1" customHeight="1" spans="1:50">
      <c r="A152" s="18">
        <v>150</v>
      </c>
      <c r="B152" s="34">
        <v>44349</v>
      </c>
      <c r="C152" s="35" t="s">
        <v>59</v>
      </c>
      <c r="D152" s="36">
        <v>800</v>
      </c>
      <c r="E152" s="36">
        <v>440</v>
      </c>
      <c r="F152" s="35">
        <v>428</v>
      </c>
      <c r="G152" s="35">
        <v>30</v>
      </c>
      <c r="H152" s="35">
        <v>50</v>
      </c>
      <c r="I152" s="35">
        <v>50</v>
      </c>
      <c r="J152" s="36">
        <v>45</v>
      </c>
      <c r="K152" s="35"/>
      <c r="L152" s="36">
        <f t="shared" si="18"/>
        <v>0.55</v>
      </c>
      <c r="M152" s="5">
        <f t="shared" si="16"/>
        <v>0.3492</v>
      </c>
      <c r="N152" s="35">
        <f t="shared" si="19"/>
        <v>279.36</v>
      </c>
      <c r="O152" s="35">
        <f>6.4+5.8</f>
        <v>12.2</v>
      </c>
      <c r="P152" s="35">
        <v>16.02</v>
      </c>
      <c r="Q152" s="35">
        <v>2.95</v>
      </c>
      <c r="R152" s="35">
        <v>50.8</v>
      </c>
      <c r="S152" s="35">
        <v>4.8</v>
      </c>
      <c r="T152" s="35">
        <f>10.7+5.7+5.25</f>
        <v>21.65</v>
      </c>
      <c r="U152" s="35">
        <f>11.3+8.6</f>
        <v>19.9</v>
      </c>
      <c r="V152" s="35">
        <v>15</v>
      </c>
      <c r="W152" s="35">
        <v>12</v>
      </c>
      <c r="X152" s="36">
        <v>5.6</v>
      </c>
      <c r="Y152" s="35">
        <v>4.5</v>
      </c>
      <c r="Z152" s="35">
        <v>11</v>
      </c>
      <c r="AA152" s="35">
        <f>10.5+10.4</f>
        <v>20.9</v>
      </c>
      <c r="AB152" s="35">
        <f>5.8+5.8</f>
        <v>11.6</v>
      </c>
      <c r="AC152" s="35">
        <v>6.3</v>
      </c>
      <c r="AD152" s="35">
        <f>3.5+6.2+3.5+6.2</f>
        <v>19.4</v>
      </c>
      <c r="AE152" s="35">
        <f>5.3+7.7+3.5</f>
        <v>16.5</v>
      </c>
      <c r="AF152" s="35">
        <v>0.75</v>
      </c>
      <c r="AG152" s="35"/>
      <c r="AH152" s="35"/>
      <c r="AI152" s="35"/>
      <c r="AJ152" s="35"/>
      <c r="AK152" s="35"/>
      <c r="AL152" s="35"/>
      <c r="AM152" s="35"/>
      <c r="AN152" s="35">
        <v>0.67</v>
      </c>
      <c r="AO152" s="35"/>
      <c r="AP152" s="35">
        <v>0.82</v>
      </c>
      <c r="AQ152" s="35">
        <v>12</v>
      </c>
      <c r="AR152" s="35">
        <v>14</v>
      </c>
      <c r="AS152" s="35"/>
      <c r="AT152" s="36">
        <v>75</v>
      </c>
      <c r="AU152" s="35">
        <v>0</v>
      </c>
      <c r="AV152" s="35">
        <v>1</v>
      </c>
      <c r="AW152" s="35">
        <v>0</v>
      </c>
      <c r="AX152" s="35">
        <v>1</v>
      </c>
    </row>
    <row r="153" s="7" customFormat="1" customHeight="1" spans="1:50">
      <c r="A153" s="18">
        <v>151</v>
      </c>
      <c r="B153" s="34">
        <v>44356</v>
      </c>
      <c r="C153" s="35" t="s">
        <v>55</v>
      </c>
      <c r="D153" s="36">
        <v>950</v>
      </c>
      <c r="E153" s="36">
        <v>474.5</v>
      </c>
      <c r="F153" s="35">
        <v>464</v>
      </c>
      <c r="G153" s="35">
        <v>32</v>
      </c>
      <c r="H153" s="35">
        <v>65</v>
      </c>
      <c r="I153" s="35">
        <v>60</v>
      </c>
      <c r="J153" s="36">
        <v>52</v>
      </c>
      <c r="K153" s="35"/>
      <c r="L153" s="36">
        <f t="shared" si="18"/>
        <v>0.499473684210526</v>
      </c>
      <c r="M153" s="5">
        <f t="shared" si="16"/>
        <v>0.337989473684211</v>
      </c>
      <c r="N153" s="35">
        <f t="shared" si="19"/>
        <v>321.09</v>
      </c>
      <c r="O153" s="35">
        <v>8.6</v>
      </c>
      <c r="P153" s="35">
        <f>12.5+8.6</f>
        <v>21.1</v>
      </c>
      <c r="Q153" s="35">
        <f>1.45+1.5</f>
        <v>2.95</v>
      </c>
      <c r="R153" s="35">
        <v>60.9</v>
      </c>
      <c r="S153" s="35">
        <v>6.4</v>
      </c>
      <c r="T153" s="35">
        <v>27</v>
      </c>
      <c r="U153" s="35">
        <f>8.6+7.3</f>
        <v>15.9</v>
      </c>
      <c r="V153" s="35">
        <f>10.37+10.85</f>
        <v>21.22</v>
      </c>
      <c r="W153" s="35">
        <v>6.45</v>
      </c>
      <c r="X153" s="36">
        <v>6.8</v>
      </c>
      <c r="Y153" s="35">
        <v>6.23</v>
      </c>
      <c r="Z153" s="35">
        <v>13</v>
      </c>
      <c r="AA153" s="35">
        <f>9.25+9.2</f>
        <v>18.45</v>
      </c>
      <c r="AB153" s="35">
        <f>5.3+3.5+5</f>
        <v>13.8</v>
      </c>
      <c r="AC153" s="35">
        <f>6.5+11.7</f>
        <v>18.2</v>
      </c>
      <c r="AD153" s="35">
        <v>19.1</v>
      </c>
      <c r="AE153" s="35">
        <f>6.4+3+5.2+2</f>
        <v>16.6</v>
      </c>
      <c r="AF153" s="35">
        <f>2.45+1.09</f>
        <v>3.54</v>
      </c>
      <c r="AG153" s="35">
        <v>8</v>
      </c>
      <c r="AH153" s="35"/>
      <c r="AI153" s="35"/>
      <c r="AJ153" s="35"/>
      <c r="AK153" s="35"/>
      <c r="AL153" s="35"/>
      <c r="AM153" s="35"/>
      <c r="AN153" s="35">
        <v>1.2</v>
      </c>
      <c r="AO153" s="35"/>
      <c r="AP153" s="35">
        <v>1.15</v>
      </c>
      <c r="AQ153" s="35">
        <v>11</v>
      </c>
      <c r="AR153" s="35">
        <v>13.5</v>
      </c>
      <c r="AS153" s="35"/>
      <c r="AT153" s="36">
        <v>80</v>
      </c>
      <c r="AU153" s="35">
        <v>0</v>
      </c>
      <c r="AV153" s="35">
        <v>1</v>
      </c>
      <c r="AW153" s="35">
        <v>0</v>
      </c>
      <c r="AX153" s="35">
        <v>1</v>
      </c>
    </row>
    <row r="154" s="8" customFormat="1" customHeight="1" spans="1:50">
      <c r="A154" s="18">
        <v>152</v>
      </c>
      <c r="B154" s="41">
        <v>44366</v>
      </c>
      <c r="C154" s="42" t="s">
        <v>55</v>
      </c>
      <c r="D154" s="43">
        <v>750</v>
      </c>
      <c r="E154" s="43">
        <v>408</v>
      </c>
      <c r="F154" s="42">
        <v>395</v>
      </c>
      <c r="G154" s="42">
        <v>30</v>
      </c>
      <c r="H154" s="42">
        <v>60</v>
      </c>
      <c r="I154" s="42"/>
      <c r="J154" s="43">
        <v>50</v>
      </c>
      <c r="K154" s="42"/>
      <c r="L154" s="43">
        <f t="shared" si="18"/>
        <v>0.544</v>
      </c>
      <c r="M154" s="6">
        <f t="shared" si="16"/>
        <v>0.331893333333333</v>
      </c>
      <c r="N154" s="42">
        <f t="shared" si="19"/>
        <v>248.92</v>
      </c>
      <c r="O154" s="42">
        <f>5.45+5.3</f>
        <v>10.75</v>
      </c>
      <c r="P154" s="42">
        <f>12.5+3.2</f>
        <v>15.7</v>
      </c>
      <c r="Q154" s="42">
        <v>2.7</v>
      </c>
      <c r="R154" s="42">
        <f>13.9+15.2+6+20</f>
        <v>55.1</v>
      </c>
      <c r="S154" s="42">
        <f>1.35+1.3</f>
        <v>2.65</v>
      </c>
      <c r="T154" s="42">
        <f>6.6+7.6</f>
        <v>14.2</v>
      </c>
      <c r="U154" s="42">
        <f>6.25+8.7</f>
        <v>14.95</v>
      </c>
      <c r="V154" s="42">
        <v>19.2</v>
      </c>
      <c r="W154" s="42">
        <v>9.57</v>
      </c>
      <c r="X154" s="43">
        <v>5.3</v>
      </c>
      <c r="Y154" s="42">
        <v>4.85</v>
      </c>
      <c r="Z154" s="42">
        <f>2.5+3.35+6</f>
        <v>11.85</v>
      </c>
      <c r="AA154" s="42">
        <f>9.6+9.7</f>
        <v>19.3</v>
      </c>
      <c r="AB154" s="42">
        <f>3.3+2.8+3.5</f>
        <v>9.6</v>
      </c>
      <c r="AC154" s="42">
        <v>5.9</v>
      </c>
      <c r="AD154" s="42">
        <f>7.4+2.9+4.9</f>
        <v>15.2</v>
      </c>
      <c r="AE154" s="42">
        <v>11.8</v>
      </c>
      <c r="AF154" s="42">
        <v>1</v>
      </c>
      <c r="AG154" s="42"/>
      <c r="AH154" s="42"/>
      <c r="AI154" s="42"/>
      <c r="AJ154" s="42"/>
      <c r="AK154" s="42"/>
      <c r="AL154" s="42"/>
      <c r="AM154" s="42"/>
      <c r="AN154" s="42">
        <v>0.5</v>
      </c>
      <c r="AO154" s="42"/>
      <c r="AP154" s="42">
        <v>0.8</v>
      </c>
      <c r="AQ154" s="42">
        <v>7</v>
      </c>
      <c r="AR154" s="42">
        <v>11</v>
      </c>
      <c r="AS154" s="42"/>
      <c r="AT154" s="43">
        <v>70</v>
      </c>
      <c r="AU154" s="42">
        <v>0</v>
      </c>
      <c r="AV154" s="42">
        <v>1</v>
      </c>
      <c r="AW154" s="42">
        <v>0</v>
      </c>
      <c r="AX154" s="42">
        <v>1</v>
      </c>
    </row>
    <row r="155" s="7" customFormat="1" customHeight="1" spans="1:50">
      <c r="A155" s="18">
        <v>153</v>
      </c>
      <c r="B155" s="34">
        <v>44398</v>
      </c>
      <c r="C155" s="35" t="s">
        <v>60</v>
      </c>
      <c r="D155" s="36">
        <v>450</v>
      </c>
      <c r="E155" s="36">
        <v>210</v>
      </c>
      <c r="F155" s="35">
        <v>200</v>
      </c>
      <c r="G155" s="35">
        <v>30</v>
      </c>
      <c r="H155" s="35">
        <v>25</v>
      </c>
      <c r="I155" s="35">
        <v>32</v>
      </c>
      <c r="J155" s="36">
        <v>35</v>
      </c>
      <c r="K155" s="35"/>
      <c r="L155" s="36">
        <f t="shared" si="18"/>
        <v>0.466666666666667</v>
      </c>
      <c r="M155" s="5">
        <f t="shared" si="16"/>
        <v>0.327711111111111</v>
      </c>
      <c r="N155" s="35">
        <f t="shared" ref="N155:N169" si="20">SUM(O155:AR155)</f>
        <v>147.47</v>
      </c>
      <c r="O155" s="35">
        <v>9.6</v>
      </c>
      <c r="P155" s="35">
        <f>9.3+1.2</f>
        <v>10.5</v>
      </c>
      <c r="Q155" s="35">
        <v>1.9</v>
      </c>
      <c r="R155" s="35">
        <f>11.6+12</f>
        <v>23.6</v>
      </c>
      <c r="S155" s="35">
        <v>3</v>
      </c>
      <c r="T155" s="35">
        <f>2.29+4.2</f>
        <v>6.49</v>
      </c>
      <c r="U155" s="35"/>
      <c r="V155" s="35">
        <v>7.8</v>
      </c>
      <c r="W155" s="35">
        <v>9.5</v>
      </c>
      <c r="X155" s="36">
        <v>3.2</v>
      </c>
      <c r="Y155" s="35">
        <v>2.7</v>
      </c>
      <c r="Z155" s="35">
        <v>8</v>
      </c>
      <c r="AA155" s="35">
        <v>11.1</v>
      </c>
      <c r="AB155" s="35">
        <v>8.5</v>
      </c>
      <c r="AC155" s="35">
        <v>15.8</v>
      </c>
      <c r="AD155" s="35">
        <v>6.7</v>
      </c>
      <c r="AE155" s="35">
        <v>6.5</v>
      </c>
      <c r="AF155" s="35">
        <v>0.8</v>
      </c>
      <c r="AG155" s="35">
        <v>2</v>
      </c>
      <c r="AH155" s="35"/>
      <c r="AI155" s="35"/>
      <c r="AJ155" s="35"/>
      <c r="AK155" s="35"/>
      <c r="AL155" s="35"/>
      <c r="AM155" s="35"/>
      <c r="AN155" s="35">
        <v>1.28</v>
      </c>
      <c r="AO155" s="35"/>
      <c r="AP155" s="35">
        <v>0.5</v>
      </c>
      <c r="AQ155" s="35">
        <v>1</v>
      </c>
      <c r="AR155" s="35">
        <f>7</f>
        <v>7</v>
      </c>
      <c r="AS155" s="35"/>
      <c r="AT155" s="36">
        <v>20</v>
      </c>
      <c r="AU155" s="35">
        <v>0</v>
      </c>
      <c r="AV155" s="35">
        <v>1</v>
      </c>
      <c r="AW155" s="35">
        <v>0</v>
      </c>
      <c r="AX155" s="35">
        <v>1</v>
      </c>
    </row>
    <row r="156" s="7" customFormat="1" customHeight="1" spans="1:50">
      <c r="A156" s="18">
        <v>154</v>
      </c>
      <c r="B156" s="34">
        <v>44398</v>
      </c>
      <c r="C156" s="35" t="s">
        <v>61</v>
      </c>
      <c r="D156" s="36">
        <v>650</v>
      </c>
      <c r="E156" s="36">
        <v>319.5</v>
      </c>
      <c r="F156" s="35">
        <v>310</v>
      </c>
      <c r="G156" s="35">
        <v>38</v>
      </c>
      <c r="H156" s="35">
        <v>25</v>
      </c>
      <c r="I156" s="35">
        <v>41</v>
      </c>
      <c r="J156" s="36">
        <v>41</v>
      </c>
      <c r="K156" s="35"/>
      <c r="L156" s="36">
        <f t="shared" si="18"/>
        <v>0.491538461538462</v>
      </c>
      <c r="M156" s="5">
        <f t="shared" si="16"/>
        <v>0.307615384615385</v>
      </c>
      <c r="N156" s="35">
        <f t="shared" si="20"/>
        <v>199.95</v>
      </c>
      <c r="O156" s="35">
        <v>9.2</v>
      </c>
      <c r="P156" s="35">
        <f>7.5+8</f>
        <v>15.5</v>
      </c>
      <c r="Q156" s="35">
        <v>2.4</v>
      </c>
      <c r="R156" s="35">
        <v>29.5</v>
      </c>
      <c r="S156" s="35">
        <v>3.5</v>
      </c>
      <c r="T156" s="35">
        <v>7.3</v>
      </c>
      <c r="U156" s="35">
        <v>8</v>
      </c>
      <c r="V156" s="35"/>
      <c r="W156" s="35">
        <v>12.8</v>
      </c>
      <c r="X156" s="36">
        <v>5.75</v>
      </c>
      <c r="Y156" s="35">
        <v>3.3</v>
      </c>
      <c r="Z156" s="35">
        <v>9.1</v>
      </c>
      <c r="AA156" s="35">
        <v>12.8</v>
      </c>
      <c r="AB156" s="35">
        <v>8</v>
      </c>
      <c r="AC156" s="35">
        <f>10.9+6.5</f>
        <v>17.4</v>
      </c>
      <c r="AD156" s="35">
        <f>7.1+2.7</f>
        <v>9.8</v>
      </c>
      <c r="AE156" s="35">
        <v>19.3</v>
      </c>
      <c r="AF156" s="35">
        <v>1.8</v>
      </c>
      <c r="AG156" s="35">
        <v>3</v>
      </c>
      <c r="AH156" s="35"/>
      <c r="AI156" s="35"/>
      <c r="AJ156" s="35"/>
      <c r="AK156" s="35"/>
      <c r="AL156" s="35"/>
      <c r="AM156" s="35"/>
      <c r="AN156" s="35">
        <v>1.4</v>
      </c>
      <c r="AO156" s="35"/>
      <c r="AP156" s="35"/>
      <c r="AQ156" s="35">
        <v>2</v>
      </c>
      <c r="AR156" s="35">
        <f>4.6+2.5+11</f>
        <v>18.1</v>
      </c>
      <c r="AS156" s="35"/>
      <c r="AT156" s="36">
        <v>60</v>
      </c>
      <c r="AU156" s="35">
        <v>0</v>
      </c>
      <c r="AV156" s="35">
        <v>1</v>
      </c>
      <c r="AW156" s="35">
        <v>0</v>
      </c>
      <c r="AX156" s="35">
        <v>1</v>
      </c>
    </row>
    <row r="157" s="7" customFormat="1" customHeight="1" spans="1:50">
      <c r="A157" s="18">
        <v>155</v>
      </c>
      <c r="B157" s="34">
        <v>44411</v>
      </c>
      <c r="C157" s="35" t="s">
        <v>61</v>
      </c>
      <c r="D157" s="36">
        <v>750</v>
      </c>
      <c r="E157" s="36">
        <f>348.5</f>
        <v>348.5</v>
      </c>
      <c r="F157" s="35">
        <v>339</v>
      </c>
      <c r="G157" s="35">
        <v>30</v>
      </c>
      <c r="H157" s="35">
        <v>58</v>
      </c>
      <c r="I157" s="35">
        <v>48</v>
      </c>
      <c r="J157" s="36"/>
      <c r="K157" s="35"/>
      <c r="L157" s="36">
        <f t="shared" ref="L157:L169" si="21">E157/D157</f>
        <v>0.464666666666667</v>
      </c>
      <c r="M157" s="5">
        <f t="shared" si="16"/>
        <v>0.203453333333333</v>
      </c>
      <c r="N157" s="35">
        <f t="shared" si="20"/>
        <v>152.59</v>
      </c>
      <c r="O157" s="35">
        <v>4.6</v>
      </c>
      <c r="P157" s="35">
        <v>7.6</v>
      </c>
      <c r="Q157" s="35"/>
      <c r="R157" s="35">
        <f>2+13+1.5+15</f>
        <v>31.5</v>
      </c>
      <c r="S157" s="35">
        <v>3.45</v>
      </c>
      <c r="T157" s="35">
        <f>3.4+4.09</f>
        <v>7.49</v>
      </c>
      <c r="U157" s="35"/>
      <c r="V157" s="35">
        <v>4</v>
      </c>
      <c r="W157" s="35">
        <v>2.8</v>
      </c>
      <c r="X157" s="36">
        <v>1.7</v>
      </c>
      <c r="Y157" s="35"/>
      <c r="Z157" s="35">
        <f>8.1+4.8</f>
        <v>12.9</v>
      </c>
      <c r="AA157" s="35">
        <f>6.4+8.1</f>
        <v>14.5</v>
      </c>
      <c r="AB157" s="35">
        <f>1.6+4.8</f>
        <v>6.4</v>
      </c>
      <c r="AC157" s="35">
        <f>7.8+21</f>
        <v>28.8</v>
      </c>
      <c r="AD157" s="35">
        <f>5.15+1.8</f>
        <v>6.95</v>
      </c>
      <c r="AE157" s="35">
        <v>4.9</v>
      </c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>
        <v>1</v>
      </c>
      <c r="AR157" s="35">
        <v>14</v>
      </c>
      <c r="AS157" s="35"/>
      <c r="AT157" s="36">
        <v>60</v>
      </c>
      <c r="AU157" s="35">
        <v>0</v>
      </c>
      <c r="AV157" s="35">
        <v>1</v>
      </c>
      <c r="AW157" s="35">
        <v>0</v>
      </c>
      <c r="AX157" s="35">
        <v>1</v>
      </c>
    </row>
    <row r="158" s="7" customFormat="1" customHeight="1" spans="1:50">
      <c r="A158" s="18">
        <v>156</v>
      </c>
      <c r="B158" s="34">
        <v>44411</v>
      </c>
      <c r="C158" s="35" t="s">
        <v>62</v>
      </c>
      <c r="D158" s="36">
        <v>550</v>
      </c>
      <c r="E158" s="36">
        <v>279.5</v>
      </c>
      <c r="F158" s="35">
        <v>270</v>
      </c>
      <c r="G158" s="35">
        <v>25</v>
      </c>
      <c r="H158" s="35">
        <v>25</v>
      </c>
      <c r="I158" s="35">
        <v>40</v>
      </c>
      <c r="J158" s="36">
        <v>89</v>
      </c>
      <c r="K158" s="35"/>
      <c r="L158" s="36">
        <f t="shared" si="21"/>
        <v>0.508181818181818</v>
      </c>
      <c r="M158" s="5">
        <f t="shared" si="16"/>
        <v>0.399836363636364</v>
      </c>
      <c r="N158" s="35">
        <f t="shared" si="20"/>
        <v>219.91</v>
      </c>
      <c r="O158" s="35">
        <f>3.78+4.3</f>
        <v>8.08</v>
      </c>
      <c r="P158" s="35">
        <f>4.85+4.3+5.68</f>
        <v>14.83</v>
      </c>
      <c r="Q158" s="35">
        <v>2.4</v>
      </c>
      <c r="R158" s="35">
        <f>14+15.8+8.6</f>
        <v>38.4</v>
      </c>
      <c r="S158" s="35">
        <v>4.4</v>
      </c>
      <c r="T158" s="35">
        <f>8.78+8.98</f>
        <v>17.76</v>
      </c>
      <c r="U158" s="35">
        <v>12.7</v>
      </c>
      <c r="V158" s="35">
        <f>7.1+6.35</f>
        <v>13.45</v>
      </c>
      <c r="W158" s="35">
        <v>7.35</v>
      </c>
      <c r="X158" s="36">
        <f>4.87+1.25</f>
        <v>6.12</v>
      </c>
      <c r="Y158" s="35">
        <v>4.25</v>
      </c>
      <c r="Z158" s="35">
        <f>5.58+5.44</f>
        <v>11.02</v>
      </c>
      <c r="AA158" s="35">
        <f>8.29+7.5</f>
        <v>15.79</v>
      </c>
      <c r="AB158" s="35">
        <f>4.5+4.6</f>
        <v>9.1</v>
      </c>
      <c r="AC158" s="35">
        <f>7.4+7.8+9.2</f>
        <v>24.4</v>
      </c>
      <c r="AD158" s="35">
        <f>6.35+4.7+2.4</f>
        <v>13.45</v>
      </c>
      <c r="AE158" s="35">
        <f>4.76+10.15</f>
        <v>14.91</v>
      </c>
      <c r="AF158" s="35">
        <v>1.5</v>
      </c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6">
        <v>35</v>
      </c>
      <c r="AU158" s="35">
        <v>0</v>
      </c>
      <c r="AV158" s="35">
        <v>1</v>
      </c>
      <c r="AW158" s="35">
        <v>0</v>
      </c>
      <c r="AX158" s="35">
        <v>1</v>
      </c>
    </row>
    <row r="159" s="7" customFormat="1" customHeight="1" spans="1:50">
      <c r="A159" s="18">
        <v>157</v>
      </c>
      <c r="B159" s="34">
        <v>44411</v>
      </c>
      <c r="C159" s="35" t="s">
        <v>62</v>
      </c>
      <c r="D159" s="36">
        <v>550</v>
      </c>
      <c r="E159" s="36">
        <v>276</v>
      </c>
      <c r="F159" s="35">
        <v>266</v>
      </c>
      <c r="G159" s="35">
        <v>25</v>
      </c>
      <c r="H159" s="35">
        <v>25</v>
      </c>
      <c r="I159" s="35">
        <v>40</v>
      </c>
      <c r="J159" s="36">
        <v>136</v>
      </c>
      <c r="K159" s="35"/>
      <c r="L159" s="36">
        <f t="shared" si="21"/>
        <v>0.501818181818182</v>
      </c>
      <c r="M159" s="5">
        <f t="shared" si="16"/>
        <v>0.497109090909091</v>
      </c>
      <c r="N159" s="35">
        <f t="shared" si="20"/>
        <v>273.41</v>
      </c>
      <c r="O159" s="35">
        <v>8.45</v>
      </c>
      <c r="P159" s="35">
        <f>3.7+7.9+1.8</f>
        <v>13.4</v>
      </c>
      <c r="Q159" s="35">
        <v>2.48</v>
      </c>
      <c r="R159" s="35">
        <f>16.5+13.8+12.4+8.6</f>
        <v>51.3</v>
      </c>
      <c r="S159" s="35">
        <v>3.4</v>
      </c>
      <c r="T159" s="35">
        <v>18.53</v>
      </c>
      <c r="U159" s="35">
        <f>4.4+7.48</f>
        <v>11.88</v>
      </c>
      <c r="V159" s="35">
        <f>3.8+2.39+9.4</f>
        <v>15.59</v>
      </c>
      <c r="W159" s="35">
        <f>3.6+6.9</f>
        <v>10.5</v>
      </c>
      <c r="X159" s="36">
        <v>4.85</v>
      </c>
      <c r="Y159" s="35">
        <v>4</v>
      </c>
      <c r="Z159" s="35">
        <f>10.65</f>
        <v>10.65</v>
      </c>
      <c r="AA159" s="35">
        <f>8.2+8.15+6</f>
        <v>22.35</v>
      </c>
      <c r="AB159" s="35">
        <v>9.5</v>
      </c>
      <c r="AC159" s="35">
        <v>24.8</v>
      </c>
      <c r="AD159" s="35">
        <v>5.8</v>
      </c>
      <c r="AE159" s="35">
        <f>8.1+6.35+5.2</f>
        <v>19.65</v>
      </c>
      <c r="AF159" s="35">
        <v>1.28</v>
      </c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>
        <v>9</v>
      </c>
      <c r="AR159" s="35">
        <v>26</v>
      </c>
      <c r="AS159" s="35"/>
      <c r="AT159" s="36">
        <v>35</v>
      </c>
      <c r="AU159" s="35">
        <v>0</v>
      </c>
      <c r="AV159" s="35">
        <v>1</v>
      </c>
      <c r="AW159" s="35">
        <v>0</v>
      </c>
      <c r="AX159" s="35">
        <v>1</v>
      </c>
    </row>
    <row r="160" s="7" customFormat="1" customHeight="1" spans="1:50">
      <c r="A160" s="18">
        <v>158</v>
      </c>
      <c r="B160" s="34">
        <v>44411</v>
      </c>
      <c r="C160" s="35" t="s">
        <v>63</v>
      </c>
      <c r="D160" s="36">
        <v>250</v>
      </c>
      <c r="E160" s="36">
        <v>135</v>
      </c>
      <c r="F160" s="35">
        <v>125</v>
      </c>
      <c r="G160" s="35">
        <v>20</v>
      </c>
      <c r="H160" s="35">
        <v>15</v>
      </c>
      <c r="I160" s="35">
        <v>35</v>
      </c>
      <c r="J160" s="36"/>
      <c r="K160" s="35"/>
      <c r="L160" s="36">
        <f t="shared" si="21"/>
        <v>0.54</v>
      </c>
      <c r="M160" s="5">
        <f t="shared" si="16"/>
        <v>0.20352</v>
      </c>
      <c r="N160" s="35">
        <f t="shared" si="20"/>
        <v>50.88</v>
      </c>
      <c r="O160" s="35"/>
      <c r="P160" s="35">
        <v>16.7</v>
      </c>
      <c r="Q160" s="35">
        <v>2.86</v>
      </c>
      <c r="R160" s="35">
        <v>10.5</v>
      </c>
      <c r="S160" s="35"/>
      <c r="T160" s="35"/>
      <c r="U160" s="35"/>
      <c r="V160" s="35"/>
      <c r="W160" s="35"/>
      <c r="X160" s="36">
        <v>6</v>
      </c>
      <c r="Y160" s="35">
        <v>2.27</v>
      </c>
      <c r="Z160" s="35">
        <v>4.85</v>
      </c>
      <c r="AA160" s="35"/>
      <c r="AB160" s="35"/>
      <c r="AC160" s="35"/>
      <c r="AD160" s="35"/>
      <c r="AE160" s="35"/>
      <c r="AF160" s="35">
        <v>2.65</v>
      </c>
      <c r="AG160" s="35"/>
      <c r="AH160" s="35"/>
      <c r="AI160" s="35"/>
      <c r="AJ160" s="35"/>
      <c r="AK160" s="35"/>
      <c r="AL160" s="35"/>
      <c r="AM160" s="35"/>
      <c r="AN160" s="35">
        <v>1.45</v>
      </c>
      <c r="AO160" s="35"/>
      <c r="AP160" s="35"/>
      <c r="AQ160" s="35"/>
      <c r="AR160" s="35">
        <v>3.6</v>
      </c>
      <c r="AS160" s="35"/>
      <c r="AT160" s="36">
        <v>21</v>
      </c>
      <c r="AU160" s="35">
        <v>0</v>
      </c>
      <c r="AV160" s="35">
        <v>1</v>
      </c>
      <c r="AW160" s="35">
        <v>0</v>
      </c>
      <c r="AX160" s="35">
        <v>1</v>
      </c>
    </row>
    <row r="161" s="7" customFormat="1" customHeight="1" spans="1:50">
      <c r="A161" s="18">
        <v>159</v>
      </c>
      <c r="B161" s="34">
        <v>44411</v>
      </c>
      <c r="C161" s="35" t="s">
        <v>63</v>
      </c>
      <c r="D161" s="36">
        <v>250</v>
      </c>
      <c r="E161" s="36">
        <v>138</v>
      </c>
      <c r="F161" s="35">
        <v>128</v>
      </c>
      <c r="G161" s="35">
        <v>20</v>
      </c>
      <c r="H161" s="35">
        <v>15</v>
      </c>
      <c r="I161" s="35">
        <v>35</v>
      </c>
      <c r="J161" s="36"/>
      <c r="K161" s="35"/>
      <c r="L161" s="36">
        <f t="shared" si="21"/>
        <v>0.552</v>
      </c>
      <c r="M161" s="5">
        <f t="shared" si="16"/>
        <v>0.5016</v>
      </c>
      <c r="N161" s="35">
        <f t="shared" si="20"/>
        <v>125.4</v>
      </c>
      <c r="O161" s="35"/>
      <c r="P161" s="35">
        <v>17.2</v>
      </c>
      <c r="Q161" s="35"/>
      <c r="R161" s="35">
        <v>17</v>
      </c>
      <c r="S161" s="35"/>
      <c r="T161" s="35"/>
      <c r="U161" s="35"/>
      <c r="V161" s="35">
        <v>13.9</v>
      </c>
      <c r="W161" s="35"/>
      <c r="X161" s="36">
        <v>9</v>
      </c>
      <c r="Y161" s="35">
        <v>4.3</v>
      </c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>
        <v>60</v>
      </c>
      <c r="AQ161" s="35"/>
      <c r="AR161" s="35">
        <v>4</v>
      </c>
      <c r="AS161" s="35"/>
      <c r="AT161" s="36">
        <v>20</v>
      </c>
      <c r="AU161" s="35">
        <v>0</v>
      </c>
      <c r="AV161" s="35">
        <v>1</v>
      </c>
      <c r="AW161" s="35">
        <v>0</v>
      </c>
      <c r="AX161" s="35">
        <v>0</v>
      </c>
    </row>
    <row r="162" s="7" customFormat="1" customHeight="1" spans="1:50">
      <c r="A162" s="18">
        <v>160</v>
      </c>
      <c r="B162" s="34">
        <v>44427</v>
      </c>
      <c r="C162" s="35" t="s">
        <v>64</v>
      </c>
      <c r="D162" s="36">
        <v>500</v>
      </c>
      <c r="E162" s="36">
        <v>279.5</v>
      </c>
      <c r="F162" s="35">
        <v>270</v>
      </c>
      <c r="G162" s="35">
        <v>19</v>
      </c>
      <c r="H162" s="35">
        <v>25</v>
      </c>
      <c r="I162" s="35">
        <v>40</v>
      </c>
      <c r="J162" s="36">
        <v>115</v>
      </c>
      <c r="K162" s="35"/>
      <c r="L162" s="36">
        <f t="shared" si="21"/>
        <v>0.559</v>
      </c>
      <c r="M162" s="5">
        <f t="shared" si="16"/>
        <v>0.45772</v>
      </c>
      <c r="N162" s="35">
        <f t="shared" si="20"/>
        <v>228.86</v>
      </c>
      <c r="O162" s="35">
        <f>4.8+4.5</f>
        <v>9.3</v>
      </c>
      <c r="P162" s="35">
        <f>2.5+10</f>
        <v>12.5</v>
      </c>
      <c r="Q162" s="35">
        <v>2.8</v>
      </c>
      <c r="R162" s="35">
        <v>24.6</v>
      </c>
      <c r="S162" s="35"/>
      <c r="T162" s="35">
        <v>26.2</v>
      </c>
      <c r="U162" s="35">
        <v>9.2</v>
      </c>
      <c r="V162" s="35">
        <v>10.79</v>
      </c>
      <c r="W162" s="35">
        <v>4</v>
      </c>
      <c r="X162" s="36">
        <v>6.15</v>
      </c>
      <c r="Y162" s="35">
        <v>5.15</v>
      </c>
      <c r="Z162" s="35">
        <v>11.3</v>
      </c>
      <c r="AA162" s="35">
        <f>7.7+6.2+8+7.9</f>
        <v>29.8</v>
      </c>
      <c r="AB162" s="35">
        <v>8.7</v>
      </c>
      <c r="AC162" s="35">
        <v>26.8</v>
      </c>
      <c r="AD162" s="35">
        <f>8.47+3.4</f>
        <v>11.87</v>
      </c>
      <c r="AE162" s="35">
        <v>3.2</v>
      </c>
      <c r="AF162" s="35">
        <v>3.5</v>
      </c>
      <c r="AG162" s="35">
        <v>2</v>
      </c>
      <c r="AH162" s="35"/>
      <c r="AI162" s="35"/>
      <c r="AJ162" s="35"/>
      <c r="AK162" s="35"/>
      <c r="AL162" s="35"/>
      <c r="AM162" s="35"/>
      <c r="AN162" s="35"/>
      <c r="AO162" s="35"/>
      <c r="AP162" s="35"/>
      <c r="AQ162" s="35">
        <v>8</v>
      </c>
      <c r="AR162" s="35">
        <v>13</v>
      </c>
      <c r="AS162" s="35"/>
      <c r="AT162" s="36">
        <v>70</v>
      </c>
      <c r="AU162" s="35">
        <v>1</v>
      </c>
      <c r="AV162" s="35">
        <v>1</v>
      </c>
      <c r="AW162" s="35">
        <v>0</v>
      </c>
      <c r="AX162" s="35">
        <v>1</v>
      </c>
    </row>
    <row r="163" s="8" customFormat="1" customHeight="1" spans="1:50">
      <c r="A163" s="18">
        <v>161</v>
      </c>
      <c r="B163" s="41">
        <v>44427</v>
      </c>
      <c r="C163" s="42" t="s">
        <v>64</v>
      </c>
      <c r="D163" s="43">
        <v>550</v>
      </c>
      <c r="E163" s="43">
        <v>277</v>
      </c>
      <c r="F163" s="42">
        <v>267</v>
      </c>
      <c r="G163" s="42">
        <v>24</v>
      </c>
      <c r="H163" s="42">
        <v>25</v>
      </c>
      <c r="I163" s="42">
        <v>38</v>
      </c>
      <c r="J163" s="43"/>
      <c r="K163" s="42"/>
      <c r="L163" s="43">
        <f t="shared" si="21"/>
        <v>0.503636363636364</v>
      </c>
      <c r="M163" s="6">
        <f t="shared" si="16"/>
        <v>0.302418181818182</v>
      </c>
      <c r="N163" s="42">
        <f t="shared" si="20"/>
        <v>166.33</v>
      </c>
      <c r="O163" s="42">
        <v>9</v>
      </c>
      <c r="P163" s="42">
        <v>15.2</v>
      </c>
      <c r="Q163" s="42">
        <v>3.9</v>
      </c>
      <c r="R163" s="42">
        <f>15+6.95</f>
        <v>21.95</v>
      </c>
      <c r="S163" s="42">
        <v>3.3</v>
      </c>
      <c r="T163" s="42">
        <f>6.18+7.5+11.3</f>
        <v>24.98</v>
      </c>
      <c r="U163" s="42">
        <f>3.8+8.8</f>
        <v>12.6</v>
      </c>
      <c r="V163" s="42"/>
      <c r="W163" s="42">
        <v>5</v>
      </c>
      <c r="X163" s="43"/>
      <c r="Y163" s="42"/>
      <c r="Z163" s="42"/>
      <c r="AA163" s="42">
        <v>8.6</v>
      </c>
      <c r="AB163" s="42">
        <v>10.2</v>
      </c>
      <c r="AC163" s="42">
        <f>13.6+3.3</f>
        <v>16.9</v>
      </c>
      <c r="AD163" s="42">
        <v>12.95</v>
      </c>
      <c r="AE163" s="42">
        <v>16</v>
      </c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>
        <v>5.75</v>
      </c>
      <c r="AS163" s="42"/>
      <c r="AT163" s="43"/>
      <c r="AU163" s="42">
        <v>1</v>
      </c>
      <c r="AV163" s="42">
        <v>1</v>
      </c>
      <c r="AW163" s="42">
        <v>0</v>
      </c>
      <c r="AX163" s="42">
        <v>1</v>
      </c>
    </row>
    <row r="164" s="7" customFormat="1" customHeight="1" spans="1:50">
      <c r="A164" s="18">
        <v>162</v>
      </c>
      <c r="B164" s="34">
        <v>44429</v>
      </c>
      <c r="C164" s="35" t="s">
        <v>72</v>
      </c>
      <c r="D164" s="36">
        <v>650</v>
      </c>
      <c r="E164" s="36">
        <v>336</v>
      </c>
      <c r="F164" s="35">
        <v>326</v>
      </c>
      <c r="G164" s="35">
        <v>30</v>
      </c>
      <c r="H164" s="35">
        <v>24</v>
      </c>
      <c r="I164" s="35">
        <v>37</v>
      </c>
      <c r="J164" s="36">
        <v>42</v>
      </c>
      <c r="K164" s="35"/>
      <c r="L164" s="36">
        <f t="shared" si="21"/>
        <v>0.516923076923077</v>
      </c>
      <c r="M164" s="35"/>
      <c r="N164" s="35">
        <f t="shared" si="20"/>
        <v>228.72</v>
      </c>
      <c r="O164" s="35">
        <f>4.8+9.2</f>
        <v>14</v>
      </c>
      <c r="P164" s="35">
        <f>10.35+1.75+1.3+15.2</f>
        <v>28.6</v>
      </c>
      <c r="Q164" s="35">
        <v>1.5</v>
      </c>
      <c r="R164" s="35">
        <f>6.95+13</f>
        <v>19.95</v>
      </c>
      <c r="S164" s="35">
        <v>3.8</v>
      </c>
      <c r="T164" s="35">
        <v>12.3</v>
      </c>
      <c r="U164" s="35">
        <v>3.4</v>
      </c>
      <c r="V164" s="35">
        <v>8</v>
      </c>
      <c r="W164" s="35">
        <v>4.6</v>
      </c>
      <c r="X164" s="36">
        <v>3.75</v>
      </c>
      <c r="Y164" s="35">
        <f>5.15+3.78</f>
        <v>8.93</v>
      </c>
      <c r="Z164" s="35">
        <f>5.5+4.85+11.3</f>
        <v>21.65</v>
      </c>
      <c r="AA164" s="35">
        <f>5.97+7.1</f>
        <v>13.07</v>
      </c>
      <c r="AB164" s="35">
        <v>9.1</v>
      </c>
      <c r="AC164" s="35">
        <v>9</v>
      </c>
      <c r="AD164" s="35">
        <f>4.4+5.98+12.95</f>
        <v>23.33</v>
      </c>
      <c r="AE164" s="35">
        <f>2.95+12.5</f>
        <v>15.45</v>
      </c>
      <c r="AF164" s="35">
        <v>1.39</v>
      </c>
      <c r="AG164" s="35">
        <v>2.5</v>
      </c>
      <c r="AH164" s="35"/>
      <c r="AI164" s="35"/>
      <c r="AJ164" s="35"/>
      <c r="AK164" s="35"/>
      <c r="AL164" s="35"/>
      <c r="AM164" s="35"/>
      <c r="AN164" s="35">
        <v>2.65</v>
      </c>
      <c r="AO164" s="35"/>
      <c r="AP164" s="35"/>
      <c r="AQ164" s="35">
        <v>8.75</v>
      </c>
      <c r="AR164" s="35">
        <v>13</v>
      </c>
      <c r="AS164" s="35"/>
      <c r="AT164" s="36">
        <v>50</v>
      </c>
      <c r="AU164" s="35">
        <v>0</v>
      </c>
      <c r="AV164" s="35">
        <v>1</v>
      </c>
      <c r="AW164" s="35">
        <v>0</v>
      </c>
      <c r="AX164" s="35">
        <v>1</v>
      </c>
    </row>
    <row r="165" s="7" customFormat="1" customHeight="1" spans="1:51">
      <c r="A165" s="18">
        <v>163</v>
      </c>
      <c r="B165" s="34">
        <v>44440</v>
      </c>
      <c r="C165" s="35" t="s">
        <v>72</v>
      </c>
      <c r="D165" s="36">
        <v>700</v>
      </c>
      <c r="E165" s="36">
        <v>415</v>
      </c>
      <c r="F165" s="35">
        <v>405</v>
      </c>
      <c r="G165" s="35">
        <v>30</v>
      </c>
      <c r="H165" s="35">
        <v>45</v>
      </c>
      <c r="I165" s="35">
        <v>40</v>
      </c>
      <c r="J165" s="36">
        <v>48</v>
      </c>
      <c r="K165" s="35"/>
      <c r="L165" s="36">
        <f t="shared" si="21"/>
        <v>0.592857142857143</v>
      </c>
      <c r="M165" s="35"/>
      <c r="N165" s="35">
        <f t="shared" si="20"/>
        <v>366.04</v>
      </c>
      <c r="O165" s="35">
        <f>10.85+5.8+4.9</f>
        <v>21.55</v>
      </c>
      <c r="P165" s="35">
        <v>18.2</v>
      </c>
      <c r="Q165" s="35">
        <v>4.9</v>
      </c>
      <c r="R165" s="35">
        <f>15+14+15.4+25.5</f>
        <v>69.9</v>
      </c>
      <c r="S165" s="35">
        <f>4.1+3.8</f>
        <v>7.9</v>
      </c>
      <c r="T165" s="35">
        <f>9.28+11.4+6.8+12.9</f>
        <v>40.38</v>
      </c>
      <c r="U165" s="35">
        <f>5.5+11.2+2.8</f>
        <v>19.5</v>
      </c>
      <c r="V165" s="35">
        <f>6.4+6.7+8</f>
        <v>21.1</v>
      </c>
      <c r="W165" s="35">
        <v>8.5</v>
      </c>
      <c r="X165" s="36">
        <f>10.35+1.74</f>
        <v>12.09</v>
      </c>
      <c r="Y165" s="35">
        <v>5.3</v>
      </c>
      <c r="Z165" s="35">
        <v>12.3</v>
      </c>
      <c r="AA165" s="35">
        <f>6.25+6.8+8.6+8.4</f>
        <v>30.05</v>
      </c>
      <c r="AB165" s="35">
        <v>8.85</v>
      </c>
      <c r="AC165" s="35">
        <f>13.7+5.1+4.5+3.8</f>
        <v>27.1</v>
      </c>
      <c r="AD165" s="35">
        <v>10.24</v>
      </c>
      <c r="AE165" s="35">
        <f>5.5+6.6+6.3</f>
        <v>18.4</v>
      </c>
      <c r="AF165" s="35">
        <v>1</v>
      </c>
      <c r="AG165" s="35">
        <v>5</v>
      </c>
      <c r="AH165" s="35"/>
      <c r="AI165" s="35"/>
      <c r="AJ165" s="35"/>
      <c r="AK165" s="35"/>
      <c r="AL165" s="35"/>
      <c r="AM165" s="35"/>
      <c r="AN165" s="35">
        <v>1.78</v>
      </c>
      <c r="AO165" s="35"/>
      <c r="AP165" s="35"/>
      <c r="AQ165" s="35">
        <v>6</v>
      </c>
      <c r="AR165" s="35">
        <v>16</v>
      </c>
      <c r="AS165" s="35"/>
      <c r="AT165" s="36">
        <v>50</v>
      </c>
      <c r="AU165" s="35">
        <v>1</v>
      </c>
      <c r="AV165" s="35">
        <v>1</v>
      </c>
      <c r="AW165" s="35">
        <v>0</v>
      </c>
      <c r="AX165" s="35">
        <v>1</v>
      </c>
      <c r="AY165" s="7" t="s">
        <v>66</v>
      </c>
    </row>
    <row r="166" s="8" customFormat="1" customHeight="1" spans="1:50">
      <c r="A166" s="18">
        <v>164</v>
      </c>
      <c r="B166" s="41">
        <v>44440</v>
      </c>
      <c r="C166" s="42" t="s">
        <v>72</v>
      </c>
      <c r="D166" s="43">
        <v>500</v>
      </c>
      <c r="E166" s="43">
        <v>298</v>
      </c>
      <c r="F166" s="42">
        <v>290</v>
      </c>
      <c r="G166" s="42">
        <v>30</v>
      </c>
      <c r="H166" s="42">
        <v>32</v>
      </c>
      <c r="I166" s="42">
        <v>38</v>
      </c>
      <c r="J166" s="43">
        <v>42</v>
      </c>
      <c r="K166" s="42"/>
      <c r="L166" s="43">
        <f t="shared" si="21"/>
        <v>0.596</v>
      </c>
      <c r="M166" s="42"/>
      <c r="N166" s="42">
        <f t="shared" si="20"/>
        <v>106.85</v>
      </c>
      <c r="O166" s="42"/>
      <c r="P166" s="42">
        <v>15.9</v>
      </c>
      <c r="Q166" s="42"/>
      <c r="R166" s="42">
        <v>7.2</v>
      </c>
      <c r="S166" s="42"/>
      <c r="T166" s="42"/>
      <c r="U166" s="42"/>
      <c r="V166" s="42">
        <v>7.95</v>
      </c>
      <c r="W166" s="42"/>
      <c r="X166" s="43"/>
      <c r="Y166" s="42">
        <v>3.9</v>
      </c>
      <c r="Z166" s="42">
        <v>9.9</v>
      </c>
      <c r="AA166" s="42"/>
      <c r="AB166" s="42">
        <v>12</v>
      </c>
      <c r="AC166" s="42"/>
      <c r="AD166" s="42">
        <v>14</v>
      </c>
      <c r="AE166" s="42">
        <v>20</v>
      </c>
      <c r="AF166" s="42"/>
      <c r="AG166" s="42">
        <v>3</v>
      </c>
      <c r="AH166" s="42"/>
      <c r="AI166" s="42"/>
      <c r="AJ166" s="42"/>
      <c r="AK166" s="42"/>
      <c r="AL166" s="42"/>
      <c r="AM166" s="42"/>
      <c r="AN166" s="42"/>
      <c r="AO166" s="42"/>
      <c r="AP166" s="42"/>
      <c r="AQ166" s="42">
        <v>3</v>
      </c>
      <c r="AR166" s="42">
        <v>10</v>
      </c>
      <c r="AS166" s="42"/>
      <c r="AT166" s="43">
        <v>50</v>
      </c>
      <c r="AU166" s="42">
        <v>1</v>
      </c>
      <c r="AV166" s="42">
        <v>1</v>
      </c>
      <c r="AW166" s="42">
        <v>0</v>
      </c>
      <c r="AX166" s="42">
        <v>1</v>
      </c>
    </row>
    <row r="167" s="7" customFormat="1" customHeight="1" spans="1:50">
      <c r="A167" s="18">
        <v>165</v>
      </c>
      <c r="B167" s="34">
        <v>44465</v>
      </c>
      <c r="C167" s="35" t="s">
        <v>60</v>
      </c>
      <c r="D167" s="36">
        <v>530</v>
      </c>
      <c r="E167" s="36">
        <v>265</v>
      </c>
      <c r="F167" s="35">
        <v>256</v>
      </c>
      <c r="G167" s="35">
        <v>20</v>
      </c>
      <c r="H167" s="35">
        <v>50</v>
      </c>
      <c r="I167" s="35">
        <v>40</v>
      </c>
      <c r="J167" s="36">
        <v>127</v>
      </c>
      <c r="K167" s="35"/>
      <c r="L167" s="36">
        <f t="shared" si="21"/>
        <v>0.5</v>
      </c>
      <c r="M167" s="35"/>
      <c r="N167" s="35">
        <f t="shared" si="20"/>
        <v>150</v>
      </c>
      <c r="O167" s="35">
        <f>8.5+4.3</f>
        <v>12.8</v>
      </c>
      <c r="P167" s="35">
        <v>13.9</v>
      </c>
      <c r="Q167" s="35">
        <v>2.85</v>
      </c>
      <c r="R167" s="35">
        <f>14+15.5</f>
        <v>29.5</v>
      </c>
      <c r="S167" s="35">
        <v>3.9</v>
      </c>
      <c r="T167" s="35"/>
      <c r="U167" s="35">
        <v>4.2</v>
      </c>
      <c r="V167" s="35">
        <v>5.3</v>
      </c>
      <c r="W167" s="35">
        <v>12.6</v>
      </c>
      <c r="X167" s="36">
        <v>8.3</v>
      </c>
      <c r="Y167" s="35">
        <v>3.3</v>
      </c>
      <c r="Z167" s="35">
        <v>9.6</v>
      </c>
      <c r="AA167" s="35"/>
      <c r="AB167" s="35">
        <f>1.8+4.4+4.6</f>
        <v>10.8</v>
      </c>
      <c r="AC167" s="35">
        <v>7.2</v>
      </c>
      <c r="AD167" s="35">
        <f>4.6+4.5</f>
        <v>9.1</v>
      </c>
      <c r="AE167" s="35"/>
      <c r="AF167" s="35">
        <v>0.65</v>
      </c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>
        <v>3</v>
      </c>
      <c r="AR167" s="35">
        <v>13</v>
      </c>
      <c r="AS167" s="35"/>
      <c r="AT167" s="36">
        <v>70</v>
      </c>
      <c r="AU167" s="35">
        <v>1</v>
      </c>
      <c r="AV167" s="35">
        <v>1</v>
      </c>
      <c r="AW167" s="35">
        <v>0</v>
      </c>
      <c r="AX167" s="35">
        <v>1</v>
      </c>
    </row>
    <row r="168" s="7" customFormat="1" customHeight="1" spans="1:50">
      <c r="A168" s="18">
        <v>166</v>
      </c>
      <c r="B168" s="34">
        <v>44465</v>
      </c>
      <c r="C168" s="35" t="s">
        <v>60</v>
      </c>
      <c r="D168" s="36">
        <v>500</v>
      </c>
      <c r="E168" s="36">
        <v>244</v>
      </c>
      <c r="F168" s="35">
        <v>234</v>
      </c>
      <c r="G168" s="35">
        <v>20</v>
      </c>
      <c r="H168" s="35"/>
      <c r="I168" s="35">
        <v>42</v>
      </c>
      <c r="J168" s="36"/>
      <c r="K168" s="35"/>
      <c r="L168" s="36">
        <f t="shared" si="21"/>
        <v>0.488</v>
      </c>
      <c r="M168" s="35"/>
      <c r="N168" s="35">
        <f t="shared" si="20"/>
        <v>349.04</v>
      </c>
      <c r="O168" s="35">
        <v>9.6</v>
      </c>
      <c r="P168" s="35">
        <v>18.28</v>
      </c>
      <c r="Q168" s="35">
        <v>2.14</v>
      </c>
      <c r="R168" s="35">
        <v>52.47</v>
      </c>
      <c r="S168" s="35">
        <v>3.74</v>
      </c>
      <c r="T168" s="35">
        <v>32.57</v>
      </c>
      <c r="U168" s="35">
        <v>13.87</v>
      </c>
      <c r="V168" s="35">
        <v>12.02</v>
      </c>
      <c r="W168" s="35">
        <v>13.08</v>
      </c>
      <c r="X168" s="36">
        <v>3.32</v>
      </c>
      <c r="Y168" s="35">
        <v>5.53</v>
      </c>
      <c r="Z168" s="35">
        <v>14.72</v>
      </c>
      <c r="AA168" s="35">
        <v>39.28</v>
      </c>
      <c r="AB168" s="35">
        <v>13.77</v>
      </c>
      <c r="AC168" s="35">
        <v>26.86</v>
      </c>
      <c r="AD168" s="35">
        <v>14.87</v>
      </c>
      <c r="AE168" s="35">
        <v>35.78</v>
      </c>
      <c r="AF168" s="35">
        <v>4.34</v>
      </c>
      <c r="AG168" s="35"/>
      <c r="AH168" s="35"/>
      <c r="AI168" s="35"/>
      <c r="AJ168" s="35"/>
      <c r="AK168" s="35"/>
      <c r="AL168" s="35"/>
      <c r="AM168" s="35"/>
      <c r="AN168" s="35">
        <v>1.4</v>
      </c>
      <c r="AO168" s="35"/>
      <c r="AP168" s="35"/>
      <c r="AQ168" s="35">
        <v>10.4</v>
      </c>
      <c r="AR168" s="35">
        <v>21</v>
      </c>
      <c r="AS168" s="35"/>
      <c r="AT168" s="36">
        <v>30</v>
      </c>
      <c r="AU168" s="35">
        <v>1</v>
      </c>
      <c r="AV168" s="35">
        <v>1</v>
      </c>
      <c r="AW168" s="35">
        <v>0</v>
      </c>
      <c r="AX168" s="35">
        <v>1</v>
      </c>
    </row>
    <row r="169" s="7" customFormat="1" customHeight="1" spans="1:50">
      <c r="A169" s="18">
        <v>167</v>
      </c>
      <c r="B169" s="34">
        <v>44465</v>
      </c>
      <c r="C169" s="35" t="s">
        <v>60</v>
      </c>
      <c r="D169" s="36">
        <v>520</v>
      </c>
      <c r="E169" s="36">
        <v>253.5</v>
      </c>
      <c r="F169" s="35">
        <v>243</v>
      </c>
      <c r="G169" s="35">
        <v>20</v>
      </c>
      <c r="H169" s="35"/>
      <c r="I169" s="35">
        <v>41</v>
      </c>
      <c r="J169" s="36"/>
      <c r="K169" s="35"/>
      <c r="L169" s="36">
        <f t="shared" si="21"/>
        <v>0.4875</v>
      </c>
      <c r="M169" s="35"/>
      <c r="N169" s="35">
        <f t="shared" si="20"/>
        <v>4</v>
      </c>
      <c r="O169" s="35"/>
      <c r="P169" s="35"/>
      <c r="Q169" s="35"/>
      <c r="R169" s="35">
        <v>4</v>
      </c>
      <c r="S169" s="35"/>
      <c r="T169" s="35"/>
      <c r="U169" s="35"/>
      <c r="V169" s="35"/>
      <c r="W169" s="35"/>
      <c r="X169" s="36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6"/>
      <c r="AU169" s="35">
        <v>1</v>
      </c>
      <c r="AV169" s="35">
        <v>1</v>
      </c>
      <c r="AW169" s="35">
        <v>0</v>
      </c>
      <c r="AX169" s="35">
        <v>1</v>
      </c>
    </row>
    <row r="170" s="7" customFormat="1" customHeight="1" spans="1:50">
      <c r="A170" s="18">
        <v>168</v>
      </c>
      <c r="B170" s="34">
        <v>44481</v>
      </c>
      <c r="C170" s="35" t="s">
        <v>63</v>
      </c>
      <c r="D170" s="36">
        <v>400</v>
      </c>
      <c r="E170" s="36">
        <v>220</v>
      </c>
      <c r="F170" s="35">
        <v>212</v>
      </c>
      <c r="G170" s="35">
        <f t="shared" ref="G170:G173" si="22">12.5+5</f>
        <v>17.5</v>
      </c>
      <c r="H170" s="35">
        <v>12</v>
      </c>
      <c r="I170" s="35">
        <v>34</v>
      </c>
      <c r="J170" s="36">
        <v>35</v>
      </c>
      <c r="K170" s="35"/>
      <c r="L170" s="35">
        <f t="shared" ref="L170:L173" si="23">E170/D170</f>
        <v>0.55</v>
      </c>
      <c r="M170" s="35"/>
      <c r="N170" s="35">
        <f t="shared" ref="N170:N173" si="24">SUM(O170:AR170)</f>
        <v>173.21</v>
      </c>
      <c r="O170" s="35">
        <v>9.5</v>
      </c>
      <c r="P170" s="35">
        <f>7.5+5.26</f>
        <v>12.76</v>
      </c>
      <c r="Q170" s="35"/>
      <c r="R170" s="35">
        <f>10.49+11.38+2.5</f>
        <v>24.37</v>
      </c>
      <c r="S170" s="35">
        <f>3.3+0.82</f>
        <v>4.12</v>
      </c>
      <c r="T170" s="35">
        <v>13.8</v>
      </c>
      <c r="U170" s="35">
        <v>9.69</v>
      </c>
      <c r="V170" s="35">
        <v>3.83</v>
      </c>
      <c r="W170" s="35">
        <v>11.2</v>
      </c>
      <c r="X170" s="36">
        <f>4.2+0.77</f>
        <v>4.97</v>
      </c>
      <c r="Y170" s="35">
        <v>3.46</v>
      </c>
      <c r="Z170" s="35">
        <v>9.1</v>
      </c>
      <c r="AA170" s="35">
        <v>13.8</v>
      </c>
      <c r="AB170" s="35">
        <f>3.92+4.25</f>
        <v>8.17</v>
      </c>
      <c r="AC170" s="35">
        <v>7.29</v>
      </c>
      <c r="AD170" s="35">
        <f>5.3+5.3</f>
        <v>10.6</v>
      </c>
      <c r="AE170" s="35">
        <v>10.51</v>
      </c>
      <c r="AF170" s="35">
        <v>1.34</v>
      </c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>
        <v>4.7</v>
      </c>
      <c r="AR170" s="35">
        <v>10</v>
      </c>
      <c r="AS170" s="35"/>
      <c r="AT170" s="36">
        <v>30</v>
      </c>
      <c r="AU170" s="35">
        <v>1</v>
      </c>
      <c r="AV170" s="35">
        <v>1</v>
      </c>
      <c r="AW170" s="35">
        <v>0</v>
      </c>
      <c r="AX170" s="35">
        <v>1</v>
      </c>
    </row>
    <row r="171" s="7" customFormat="1" customHeight="1" spans="1:50">
      <c r="A171" s="18">
        <v>169</v>
      </c>
      <c r="B171" s="34">
        <v>44481</v>
      </c>
      <c r="C171" s="35" t="s">
        <v>63</v>
      </c>
      <c r="D171" s="36">
        <v>400</v>
      </c>
      <c r="E171" s="36">
        <v>220</v>
      </c>
      <c r="F171" s="35">
        <v>210</v>
      </c>
      <c r="G171" s="35">
        <f t="shared" si="22"/>
        <v>17.5</v>
      </c>
      <c r="H171" s="35">
        <v>12</v>
      </c>
      <c r="I171" s="35">
        <v>34</v>
      </c>
      <c r="J171" s="36">
        <v>33</v>
      </c>
      <c r="K171" s="35"/>
      <c r="L171" s="35">
        <f t="shared" si="23"/>
        <v>0.55</v>
      </c>
      <c r="M171" s="35"/>
      <c r="N171" s="35">
        <f t="shared" si="24"/>
        <v>245.59</v>
      </c>
      <c r="O171" s="35">
        <f>3.3+4.5+5</f>
        <v>12.8</v>
      </c>
      <c r="P171" s="35">
        <v>12.36</v>
      </c>
      <c r="Q171" s="35">
        <f>1.6+2.8</f>
        <v>4.4</v>
      </c>
      <c r="R171" s="35">
        <f>13.2+12.2+13.1+8.5</f>
        <v>47</v>
      </c>
      <c r="S171" s="35">
        <f>4.8+1.2</f>
        <v>6</v>
      </c>
      <c r="T171" s="35">
        <f>6.65+3.9+2+4.2+5.9</f>
        <v>22.65</v>
      </c>
      <c r="U171" s="35">
        <f>9+4+4.1</f>
        <v>17.1</v>
      </c>
      <c r="V171" s="35">
        <f>4.1+12.2</f>
        <v>16.3</v>
      </c>
      <c r="W171" s="35">
        <f>2.82+2.5</f>
        <v>5.32</v>
      </c>
      <c r="X171" s="36">
        <v>5.64</v>
      </c>
      <c r="Y171" s="35">
        <v>5.27</v>
      </c>
      <c r="Z171" s="35">
        <f>5.9+6</f>
        <v>11.9</v>
      </c>
      <c r="AA171" s="35">
        <f>5.5+4.8+4.35+3.7</f>
        <v>18.35</v>
      </c>
      <c r="AB171" s="35">
        <f>2.5+2.5+3</f>
        <v>8</v>
      </c>
      <c r="AC171" s="35">
        <f>1.9+3.5+1.2</f>
        <v>6.6</v>
      </c>
      <c r="AD171" s="35">
        <f>3.5+3.2+3.1+3.1</f>
        <v>12.9</v>
      </c>
      <c r="AE171" s="35">
        <f>6.5+4.8+4.8</f>
        <v>16.1</v>
      </c>
      <c r="AF171" s="35">
        <v>1.9</v>
      </c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>
        <v>2</v>
      </c>
      <c r="AR171" s="35">
        <v>13</v>
      </c>
      <c r="AS171" s="35"/>
      <c r="AT171" s="36"/>
      <c r="AU171" s="35">
        <v>1</v>
      </c>
      <c r="AV171" s="35">
        <v>1</v>
      </c>
      <c r="AW171" s="35">
        <v>0</v>
      </c>
      <c r="AX171" s="35">
        <v>1</v>
      </c>
    </row>
    <row r="172" s="7" customFormat="1" customHeight="1" spans="1:50">
      <c r="A172" s="18">
        <v>170</v>
      </c>
      <c r="B172" s="34">
        <v>44481</v>
      </c>
      <c r="C172" s="35" t="s">
        <v>63</v>
      </c>
      <c r="D172" s="36">
        <v>400</v>
      </c>
      <c r="E172" s="36">
        <v>220</v>
      </c>
      <c r="F172" s="35">
        <v>213</v>
      </c>
      <c r="G172" s="35">
        <f t="shared" si="22"/>
        <v>17.5</v>
      </c>
      <c r="H172" s="35">
        <v>12</v>
      </c>
      <c r="I172" s="35">
        <v>34</v>
      </c>
      <c r="J172" s="36">
        <v>57</v>
      </c>
      <c r="K172" s="35"/>
      <c r="L172" s="35">
        <f t="shared" si="23"/>
        <v>0.55</v>
      </c>
      <c r="M172" s="35"/>
      <c r="N172" s="35">
        <f t="shared" si="24"/>
        <v>246.28</v>
      </c>
      <c r="O172" s="35">
        <f>2.5+2.6+2.7+3.5</f>
        <v>11.3</v>
      </c>
      <c r="P172" s="35">
        <f>1.8+2.7+1.3+1.39</f>
        <v>7.19</v>
      </c>
      <c r="Q172" s="35">
        <f>2.7</f>
        <v>2.7</v>
      </c>
      <c r="R172" s="35">
        <f>13.5+14.4+14.5</f>
        <v>42.4</v>
      </c>
      <c r="S172" s="35">
        <f>3.9</f>
        <v>3.9</v>
      </c>
      <c r="T172" s="35">
        <f>5.7+7.5+7.7</f>
        <v>20.9</v>
      </c>
      <c r="U172" s="35">
        <f>3.9+6+3.6</f>
        <v>13.5</v>
      </c>
      <c r="V172" s="35">
        <f>4.3+3.6+3.6</f>
        <v>11.5</v>
      </c>
      <c r="W172" s="35"/>
      <c r="X172" s="36">
        <f>3.3+0.89</f>
        <v>4.19</v>
      </c>
      <c r="Y172" s="35">
        <f>2.6</f>
        <v>2.6</v>
      </c>
      <c r="Z172" s="35">
        <f>13.2</f>
        <v>13.2</v>
      </c>
      <c r="AA172" s="35">
        <f>4.8+4.9+5.6+5.8</f>
        <v>21.1</v>
      </c>
      <c r="AB172" s="35">
        <f>2.6+2.6+2.8+2.7</f>
        <v>10.7</v>
      </c>
      <c r="AC172" s="35">
        <f>2.6+20+5.3</f>
        <v>27.9</v>
      </c>
      <c r="AD172" s="35">
        <f>3.3+3.4+3.6+3.8</f>
        <v>14.1</v>
      </c>
      <c r="AE172" s="35">
        <f>8.2+3.4+2.8</f>
        <v>14.4</v>
      </c>
      <c r="AF172" s="35">
        <v>3.8</v>
      </c>
      <c r="AG172" s="35"/>
      <c r="AH172" s="35"/>
      <c r="AI172" s="35"/>
      <c r="AJ172" s="35"/>
      <c r="AK172" s="35"/>
      <c r="AL172" s="35"/>
      <c r="AM172" s="35"/>
      <c r="AN172" s="35">
        <v>0.9</v>
      </c>
      <c r="AO172" s="35"/>
      <c r="AP172" s="35"/>
      <c r="AQ172" s="35">
        <v>6</v>
      </c>
      <c r="AR172" s="35">
        <v>14</v>
      </c>
      <c r="AS172" s="35"/>
      <c r="AT172" s="36">
        <v>30</v>
      </c>
      <c r="AU172" s="35">
        <v>1</v>
      </c>
      <c r="AV172" s="35">
        <v>1</v>
      </c>
      <c r="AW172" s="35">
        <v>0</v>
      </c>
      <c r="AX172" s="35">
        <v>1</v>
      </c>
    </row>
    <row r="173" s="8" customFormat="1" customHeight="1" spans="1:50">
      <c r="A173" s="18">
        <v>171</v>
      </c>
      <c r="B173" s="41">
        <v>44481</v>
      </c>
      <c r="C173" s="42" t="s">
        <v>63</v>
      </c>
      <c r="D173" s="43">
        <v>400</v>
      </c>
      <c r="E173" s="43">
        <v>220</v>
      </c>
      <c r="F173" s="42">
        <v>215</v>
      </c>
      <c r="G173" s="42">
        <f t="shared" si="22"/>
        <v>17.5</v>
      </c>
      <c r="H173" s="42">
        <v>12</v>
      </c>
      <c r="I173" s="42">
        <v>34</v>
      </c>
      <c r="J173" s="43"/>
      <c r="K173" s="42"/>
      <c r="L173" s="42">
        <f t="shared" si="23"/>
        <v>0.55</v>
      </c>
      <c r="M173" s="42"/>
      <c r="N173" s="42">
        <f t="shared" si="24"/>
        <v>0</v>
      </c>
      <c r="O173" s="42"/>
      <c r="P173" s="42"/>
      <c r="Q173" s="42"/>
      <c r="R173" s="42"/>
      <c r="S173" s="42"/>
      <c r="T173" s="42"/>
      <c r="U173" s="42"/>
      <c r="V173" s="42"/>
      <c r="W173" s="42"/>
      <c r="X173" s="43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3"/>
      <c r="AU173" s="42">
        <v>1</v>
      </c>
      <c r="AV173" s="42">
        <v>1</v>
      </c>
      <c r="AW173" s="42">
        <v>0</v>
      </c>
      <c r="AX173" s="42">
        <v>1</v>
      </c>
    </row>
    <row r="174" s="7" customFormat="1" customHeight="1" spans="1:50">
      <c r="A174" s="18">
        <v>172</v>
      </c>
      <c r="B174" s="34">
        <v>44494</v>
      </c>
      <c r="C174" s="35" t="s">
        <v>67</v>
      </c>
      <c r="D174" s="36">
        <v>550</v>
      </c>
      <c r="E174" s="36">
        <v>285</v>
      </c>
      <c r="F174" s="35">
        <v>275</v>
      </c>
      <c r="G174" s="35">
        <f>15+8</f>
        <v>23</v>
      </c>
      <c r="H174" s="35">
        <v>27</v>
      </c>
      <c r="I174" s="35">
        <v>31</v>
      </c>
      <c r="J174" s="36">
        <v>42</v>
      </c>
      <c r="K174" s="35"/>
      <c r="L174" s="35">
        <f t="shared" ref="L174:L180" si="25">E174/D174</f>
        <v>0.518181818181818</v>
      </c>
      <c r="M174" s="35"/>
      <c r="N174" s="35">
        <f t="shared" ref="N174:N180" si="26">SUM(O174:AR174)</f>
        <v>7.5</v>
      </c>
      <c r="O174" s="35"/>
      <c r="P174" s="35">
        <v>7.5</v>
      </c>
      <c r="Q174" s="35"/>
      <c r="R174" s="35"/>
      <c r="S174" s="35"/>
      <c r="T174" s="35"/>
      <c r="U174" s="35"/>
      <c r="V174" s="35"/>
      <c r="W174" s="35"/>
      <c r="X174" s="36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6"/>
      <c r="AU174" s="35"/>
      <c r="AV174" s="35">
        <v>1</v>
      </c>
      <c r="AW174" s="35"/>
      <c r="AX174" s="35">
        <v>1</v>
      </c>
    </row>
    <row r="175" s="7" customFormat="1" customHeight="1" spans="1:50">
      <c r="A175" s="18">
        <v>173</v>
      </c>
      <c r="B175" s="34">
        <v>44494</v>
      </c>
      <c r="C175" s="35" t="s">
        <v>67</v>
      </c>
      <c r="D175" s="36">
        <v>550</v>
      </c>
      <c r="E175" s="36">
        <v>295</v>
      </c>
      <c r="F175" s="35">
        <v>285</v>
      </c>
      <c r="G175" s="35">
        <v>22</v>
      </c>
      <c r="H175" s="35">
        <v>30</v>
      </c>
      <c r="I175" s="35">
        <v>40</v>
      </c>
      <c r="J175" s="36">
        <v>43</v>
      </c>
      <c r="K175" s="35"/>
      <c r="L175" s="35">
        <f t="shared" si="25"/>
        <v>0.536363636363636</v>
      </c>
      <c r="M175" s="35"/>
      <c r="N175" s="35">
        <f t="shared" si="26"/>
        <v>255.36</v>
      </c>
      <c r="O175" s="35">
        <v>4.5</v>
      </c>
      <c r="P175" s="35">
        <v>36.1</v>
      </c>
      <c r="Q175" s="35"/>
      <c r="R175" s="35">
        <v>55.96</v>
      </c>
      <c r="S175" s="35">
        <v>1.74</v>
      </c>
      <c r="T175" s="35">
        <v>48.16</v>
      </c>
      <c r="U175" s="35">
        <v>23</v>
      </c>
      <c r="V175" s="35">
        <v>6</v>
      </c>
      <c r="W175" s="35">
        <v>25.5</v>
      </c>
      <c r="X175" s="36">
        <v>13.14</v>
      </c>
      <c r="Y175" s="35">
        <v>5.86</v>
      </c>
      <c r="Z175" s="35">
        <v>5.1</v>
      </c>
      <c r="AA175" s="35"/>
      <c r="AB175" s="35"/>
      <c r="AC175" s="35">
        <v>19.3</v>
      </c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>
        <v>4</v>
      </c>
      <c r="AR175" s="35">
        <v>7</v>
      </c>
      <c r="AS175" s="35"/>
      <c r="AT175" s="36">
        <v>30.86</v>
      </c>
      <c r="AU175" s="35">
        <v>1</v>
      </c>
      <c r="AV175" s="35">
        <v>1</v>
      </c>
      <c r="AW175" s="35">
        <v>0.1</v>
      </c>
      <c r="AX175" s="35">
        <v>1</v>
      </c>
    </row>
    <row r="176" s="7" customFormat="1" customHeight="1" spans="1:50">
      <c r="A176" s="18">
        <v>174</v>
      </c>
      <c r="B176" s="34">
        <v>44494</v>
      </c>
      <c r="C176" s="35" t="s">
        <v>68</v>
      </c>
      <c r="D176" s="36">
        <v>520</v>
      </c>
      <c r="E176" s="36">
        <v>310</v>
      </c>
      <c r="F176" s="35">
        <v>305</v>
      </c>
      <c r="G176" s="35">
        <v>23</v>
      </c>
      <c r="H176" s="35">
        <v>25</v>
      </c>
      <c r="I176" s="35">
        <v>35</v>
      </c>
      <c r="J176" s="36">
        <v>40</v>
      </c>
      <c r="K176" s="35"/>
      <c r="L176" s="35">
        <f t="shared" si="25"/>
        <v>0.596153846153846</v>
      </c>
      <c r="M176" s="35"/>
      <c r="N176" s="35">
        <f t="shared" si="26"/>
        <v>329.91</v>
      </c>
      <c r="O176" s="35">
        <v>20.9</v>
      </c>
      <c r="P176" s="35">
        <v>10</v>
      </c>
      <c r="Q176" s="35">
        <v>10.6</v>
      </c>
      <c r="R176" s="35">
        <v>25.2</v>
      </c>
      <c r="S176" s="35">
        <v>13.86</v>
      </c>
      <c r="T176" s="35">
        <v>12.6</v>
      </c>
      <c r="U176" s="35">
        <v>17.37</v>
      </c>
      <c r="V176" s="35">
        <v>2.5</v>
      </c>
      <c r="W176" s="35">
        <v>17.42</v>
      </c>
      <c r="X176" s="36">
        <v>7.9</v>
      </c>
      <c r="Y176" s="35">
        <v>6.1</v>
      </c>
      <c r="Z176" s="35">
        <v>19.2</v>
      </c>
      <c r="AA176" s="35">
        <v>33.26</v>
      </c>
      <c r="AB176" s="35">
        <v>21.9</v>
      </c>
      <c r="AC176" s="35">
        <v>1.7</v>
      </c>
      <c r="AD176" s="35">
        <v>31.2</v>
      </c>
      <c r="AE176" s="35">
        <f>7.8+5.1+10+9.2+10.9+3</f>
        <v>46</v>
      </c>
      <c r="AF176" s="35">
        <v>0.6</v>
      </c>
      <c r="AG176" s="35"/>
      <c r="AH176" s="35"/>
      <c r="AI176" s="35"/>
      <c r="AJ176" s="35"/>
      <c r="AK176" s="35"/>
      <c r="AL176" s="35"/>
      <c r="AM176" s="35"/>
      <c r="AN176" s="35">
        <v>3.6</v>
      </c>
      <c r="AO176" s="35"/>
      <c r="AP176" s="35"/>
      <c r="AQ176" s="35">
        <v>6</v>
      </c>
      <c r="AR176" s="35">
        <v>22</v>
      </c>
      <c r="AS176" s="35"/>
      <c r="AT176" s="36">
        <v>82</v>
      </c>
      <c r="AU176" s="35">
        <v>1</v>
      </c>
      <c r="AV176" s="35">
        <v>1</v>
      </c>
      <c r="AW176" s="35">
        <v>0.1</v>
      </c>
      <c r="AX176" s="35">
        <v>1</v>
      </c>
    </row>
    <row r="177" s="7" customFormat="1" customHeight="1" spans="1:50">
      <c r="A177" s="18">
        <v>175</v>
      </c>
      <c r="B177" s="34">
        <v>44494</v>
      </c>
      <c r="C177" s="35" t="s">
        <v>68</v>
      </c>
      <c r="D177" s="36">
        <v>530</v>
      </c>
      <c r="E177" s="36">
        <v>315</v>
      </c>
      <c r="F177" s="35">
        <v>305</v>
      </c>
      <c r="G177" s="35">
        <v>25</v>
      </c>
      <c r="H177" s="35">
        <v>30</v>
      </c>
      <c r="I177" s="35">
        <v>32</v>
      </c>
      <c r="J177" s="36">
        <v>42</v>
      </c>
      <c r="K177" s="35"/>
      <c r="L177" s="35">
        <f t="shared" si="25"/>
        <v>0.594339622641509</v>
      </c>
      <c r="M177" s="35"/>
      <c r="N177" s="35">
        <f t="shared" si="26"/>
        <v>244.29</v>
      </c>
      <c r="O177" s="35">
        <f>7.2+6.16</f>
        <v>13.36</v>
      </c>
      <c r="P177" s="35">
        <v>3.8</v>
      </c>
      <c r="Q177" s="35">
        <v>2.6</v>
      </c>
      <c r="R177" s="35">
        <f>11.3+14+10.78+11.77</f>
        <v>47.85</v>
      </c>
      <c r="S177" s="35">
        <v>2.93</v>
      </c>
      <c r="T177" s="35">
        <v>1</v>
      </c>
      <c r="U177" s="35">
        <v>10.66</v>
      </c>
      <c r="V177" s="35"/>
      <c r="W177" s="35"/>
      <c r="X177" s="36">
        <v>0.7</v>
      </c>
      <c r="Y177" s="35">
        <f>2.26+2.56</f>
        <v>4.82</v>
      </c>
      <c r="Z177" s="35">
        <f>5.4+4.96+7.9</f>
        <v>18.26</v>
      </c>
      <c r="AA177" s="35">
        <f>7.7+8.5+6.15+6.37</f>
        <v>28.72</v>
      </c>
      <c r="AB177" s="35">
        <f>5+4.05+4.6+6.88+3.19</f>
        <v>23.72</v>
      </c>
      <c r="AC177" s="35">
        <f>7.09+14.2+5.45</f>
        <v>26.74</v>
      </c>
      <c r="AD177" s="35">
        <f>6.3+2.56+4+3.98+4.4+2.9+4.4</f>
        <v>28.54</v>
      </c>
      <c r="AE177" s="35"/>
      <c r="AF177" s="35">
        <v>2.59</v>
      </c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>
        <v>8</v>
      </c>
      <c r="AR177" s="35">
        <v>20</v>
      </c>
      <c r="AS177" s="35"/>
      <c r="AT177" s="36">
        <f>6.8+2.87+40</f>
        <v>49.67</v>
      </c>
      <c r="AU177" s="35">
        <v>1</v>
      </c>
      <c r="AV177" s="35">
        <v>1</v>
      </c>
      <c r="AW177" s="35">
        <v>0.1</v>
      </c>
      <c r="AX177" s="35">
        <v>1</v>
      </c>
    </row>
    <row r="178" s="7" customFormat="1" customHeight="1" spans="1:50">
      <c r="A178" s="18">
        <v>176</v>
      </c>
      <c r="B178" s="34">
        <v>44496</v>
      </c>
      <c r="C178" s="35" t="s">
        <v>69</v>
      </c>
      <c r="D178" s="36">
        <v>470</v>
      </c>
      <c r="E178" s="36">
        <v>194.5</v>
      </c>
      <c r="F178" s="35">
        <v>185</v>
      </c>
      <c r="G178" s="35">
        <v>23</v>
      </c>
      <c r="H178" s="35">
        <v>24</v>
      </c>
      <c r="I178" s="35">
        <v>31</v>
      </c>
      <c r="J178" s="36">
        <v>35</v>
      </c>
      <c r="K178" s="35"/>
      <c r="L178" s="35">
        <f t="shared" si="25"/>
        <v>0.413829787234043</v>
      </c>
      <c r="M178" s="35"/>
      <c r="N178" s="35">
        <f t="shared" si="26"/>
        <v>251.85</v>
      </c>
      <c r="O178" s="35"/>
      <c r="P178" s="35">
        <f>2+6.95+7.5</f>
        <v>16.45</v>
      </c>
      <c r="Q178" s="35"/>
      <c r="R178" s="35">
        <f>9.25+9.3</f>
        <v>18.55</v>
      </c>
      <c r="S178" s="35"/>
      <c r="T178" s="35">
        <v>100</v>
      </c>
      <c r="U178" s="35">
        <v>7.5</v>
      </c>
      <c r="V178" s="35"/>
      <c r="W178" s="35"/>
      <c r="X178" s="36">
        <f>2+2.1</f>
        <v>4.1</v>
      </c>
      <c r="Y178" s="35"/>
      <c r="Z178" s="35">
        <f>4.49+4.49+7.66</f>
        <v>16.64</v>
      </c>
      <c r="AA178" s="35">
        <f>7.3+7.6</f>
        <v>14.9</v>
      </c>
      <c r="AB178" s="35">
        <f>8.3+2.9</f>
        <v>11.2</v>
      </c>
      <c r="AC178" s="35">
        <v>20.5</v>
      </c>
      <c r="AD178" s="35">
        <v>9.7</v>
      </c>
      <c r="AE178" s="35">
        <v>8.9</v>
      </c>
      <c r="AF178" s="35">
        <f>4.14+1.7+0.3</f>
        <v>6.14</v>
      </c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>
        <v>7.27</v>
      </c>
      <c r="AR178" s="35">
        <v>10</v>
      </c>
      <c r="AS178" s="35"/>
      <c r="AT178" s="36">
        <v>28</v>
      </c>
      <c r="AU178" s="35">
        <v>0</v>
      </c>
      <c r="AV178" s="35">
        <v>1</v>
      </c>
      <c r="AW178" s="35">
        <v>0.1</v>
      </c>
      <c r="AX178" s="35">
        <v>1</v>
      </c>
    </row>
    <row r="179" s="8" customFormat="1" customHeight="1" spans="1:50">
      <c r="A179" s="18">
        <v>177</v>
      </c>
      <c r="B179" s="41">
        <v>44496</v>
      </c>
      <c r="C179" s="42" t="s">
        <v>69</v>
      </c>
      <c r="D179" s="43">
        <v>480</v>
      </c>
      <c r="E179" s="43">
        <v>240</v>
      </c>
      <c r="F179" s="42">
        <v>230</v>
      </c>
      <c r="G179" s="42">
        <v>20</v>
      </c>
      <c r="H179" s="42">
        <v>24</v>
      </c>
      <c r="I179" s="42">
        <v>35</v>
      </c>
      <c r="J179" s="43">
        <v>35</v>
      </c>
      <c r="K179" s="42"/>
      <c r="L179" s="42">
        <f t="shared" si="25"/>
        <v>0.5</v>
      </c>
      <c r="M179" s="42"/>
      <c r="N179" s="42">
        <f t="shared" si="26"/>
        <v>30</v>
      </c>
      <c r="O179" s="42"/>
      <c r="P179" s="42"/>
      <c r="Q179" s="42"/>
      <c r="R179" s="42">
        <v>20</v>
      </c>
      <c r="S179" s="42"/>
      <c r="T179" s="42"/>
      <c r="U179" s="42"/>
      <c r="V179" s="42"/>
      <c r="W179" s="42"/>
      <c r="X179" s="43"/>
      <c r="Y179" s="42"/>
      <c r="Z179" s="42"/>
      <c r="AA179" s="42">
        <v>10</v>
      </c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3">
        <v>18</v>
      </c>
      <c r="AU179" s="42">
        <v>0</v>
      </c>
      <c r="AV179" s="42">
        <v>1</v>
      </c>
      <c r="AW179" s="42">
        <v>0.1</v>
      </c>
      <c r="AX179" s="42">
        <v>1</v>
      </c>
    </row>
    <row r="180" s="7" customFormat="1" customHeight="1" spans="1:50">
      <c r="A180" s="18">
        <v>178</v>
      </c>
      <c r="B180" s="34">
        <v>44512</v>
      </c>
      <c r="C180" s="35"/>
      <c r="D180" s="36">
        <v>250</v>
      </c>
      <c r="E180" s="36">
        <v>130</v>
      </c>
      <c r="F180" s="35">
        <v>120</v>
      </c>
      <c r="G180" s="35">
        <v>20</v>
      </c>
      <c r="H180" s="35">
        <v>32</v>
      </c>
      <c r="I180" s="35">
        <v>35</v>
      </c>
      <c r="J180" s="36">
        <v>42</v>
      </c>
      <c r="K180" s="35"/>
      <c r="L180" s="35">
        <v>0.52</v>
      </c>
      <c r="M180" s="35"/>
      <c r="N180" s="35">
        <v>161.35</v>
      </c>
      <c r="O180" s="35">
        <v>8.25</v>
      </c>
      <c r="P180" s="35">
        <v>12.83</v>
      </c>
      <c r="Q180" s="35">
        <v>2.19</v>
      </c>
      <c r="R180" s="35">
        <v>21.52</v>
      </c>
      <c r="S180" s="35">
        <v>3</v>
      </c>
      <c r="T180" s="35">
        <v>12.13</v>
      </c>
      <c r="U180" s="35">
        <v>5.59</v>
      </c>
      <c r="V180" s="35"/>
      <c r="W180" s="35">
        <v>14.41</v>
      </c>
      <c r="X180" s="36"/>
      <c r="Y180" s="35">
        <v>3.35</v>
      </c>
      <c r="Z180" s="35">
        <v>10.1</v>
      </c>
      <c r="AA180" s="35">
        <v>12.88</v>
      </c>
      <c r="AB180" s="35">
        <v>7.66</v>
      </c>
      <c r="AC180" s="35">
        <v>10.6</v>
      </c>
      <c r="AD180" s="35">
        <v>8.91</v>
      </c>
      <c r="AE180" s="35">
        <v>11</v>
      </c>
      <c r="AF180" s="35">
        <v>1.24</v>
      </c>
      <c r="AG180" s="35"/>
      <c r="AH180" s="35"/>
      <c r="AI180" s="35"/>
      <c r="AJ180" s="35"/>
      <c r="AK180" s="35"/>
      <c r="AL180" s="35"/>
      <c r="AM180" s="35"/>
      <c r="AN180" s="35">
        <v>0.69</v>
      </c>
      <c r="AO180" s="35"/>
      <c r="AP180" s="35"/>
      <c r="AQ180" s="35">
        <v>3</v>
      </c>
      <c r="AR180" s="35">
        <v>12</v>
      </c>
      <c r="AS180" s="35"/>
      <c r="AT180" s="36">
        <v>32</v>
      </c>
      <c r="AU180" s="35">
        <v>1</v>
      </c>
      <c r="AV180" s="35">
        <v>1</v>
      </c>
      <c r="AW180" s="35"/>
      <c r="AX180" s="35">
        <v>1</v>
      </c>
    </row>
    <row r="181" s="7" customFormat="1" customHeight="1" spans="1:50">
      <c r="A181" s="18">
        <v>179</v>
      </c>
      <c r="B181" s="34">
        <v>44523</v>
      </c>
      <c r="C181" s="35" t="s">
        <v>64</v>
      </c>
      <c r="D181" s="36">
        <v>450</v>
      </c>
      <c r="E181" s="36">
        <v>230</v>
      </c>
      <c r="F181" s="35">
        <v>220</v>
      </c>
      <c r="G181" s="35">
        <v>8</v>
      </c>
      <c r="H181" s="35">
        <v>15</v>
      </c>
      <c r="I181" s="35">
        <v>36</v>
      </c>
      <c r="J181" s="36">
        <v>46</v>
      </c>
      <c r="K181" s="35"/>
      <c r="L181" s="35">
        <v>0.511111111111111</v>
      </c>
      <c r="M181" s="35"/>
      <c r="N181" s="35">
        <v>171.42</v>
      </c>
      <c r="O181" s="35">
        <v>8.87</v>
      </c>
      <c r="P181" s="35">
        <v>7.98</v>
      </c>
      <c r="Q181" s="35">
        <v>2.57</v>
      </c>
      <c r="R181" s="35">
        <v>33.9</v>
      </c>
      <c r="S181" s="35">
        <v>2.66</v>
      </c>
      <c r="T181" s="35">
        <v>14.16</v>
      </c>
      <c r="U181" s="35">
        <v>8.08</v>
      </c>
      <c r="V181" s="35">
        <v>8.3</v>
      </c>
      <c r="W181" s="35">
        <v>4</v>
      </c>
      <c r="X181" s="36">
        <v>2.87</v>
      </c>
      <c r="Y181" s="35">
        <v>1.96</v>
      </c>
      <c r="Z181" s="35">
        <v>9.74</v>
      </c>
      <c r="AA181" s="35">
        <v>14.34</v>
      </c>
      <c r="AB181" s="35">
        <v>21.29</v>
      </c>
      <c r="AC181" s="35">
        <v>6.6</v>
      </c>
      <c r="AD181" s="35">
        <v>9.92</v>
      </c>
      <c r="AE181" s="35">
        <v>6.15</v>
      </c>
      <c r="AF181" s="35">
        <v>1.1</v>
      </c>
      <c r="AG181" s="35"/>
      <c r="AH181" s="35"/>
      <c r="AI181" s="35"/>
      <c r="AJ181" s="35"/>
      <c r="AK181" s="35"/>
      <c r="AL181" s="35"/>
      <c r="AM181" s="35"/>
      <c r="AN181" s="35">
        <v>0.93</v>
      </c>
      <c r="AO181" s="35"/>
      <c r="AP181" s="35"/>
      <c r="AQ181" s="35"/>
      <c r="AR181" s="35">
        <v>6</v>
      </c>
      <c r="AS181" s="35"/>
      <c r="AT181" s="36">
        <v>27</v>
      </c>
      <c r="AU181" s="35">
        <v>1</v>
      </c>
      <c r="AV181" s="35">
        <v>1</v>
      </c>
      <c r="AW181" s="35"/>
      <c r="AX181" s="35">
        <v>1</v>
      </c>
    </row>
    <row r="182" s="7" customFormat="1" customHeight="1" spans="1:50">
      <c r="A182" s="18">
        <v>180</v>
      </c>
      <c r="B182" s="34">
        <v>44524</v>
      </c>
      <c r="C182" s="35" t="s">
        <v>64</v>
      </c>
      <c r="D182" s="36">
        <v>450</v>
      </c>
      <c r="E182" s="36">
        <v>235</v>
      </c>
      <c r="F182" s="35">
        <v>225</v>
      </c>
      <c r="G182" s="35">
        <v>6</v>
      </c>
      <c r="H182" s="35">
        <v>13</v>
      </c>
      <c r="I182" s="35">
        <v>32</v>
      </c>
      <c r="J182" s="36">
        <v>46</v>
      </c>
      <c r="K182" s="35"/>
      <c r="L182" s="35">
        <v>0.522222222222222</v>
      </c>
      <c r="M182" s="35"/>
      <c r="N182" s="35">
        <v>121.32</v>
      </c>
      <c r="O182" s="35">
        <v>3.23</v>
      </c>
      <c r="P182" s="35">
        <v>12.5</v>
      </c>
      <c r="Q182" s="35">
        <v>1.54</v>
      </c>
      <c r="R182" s="35">
        <v>16</v>
      </c>
      <c r="S182" s="35">
        <v>1.77</v>
      </c>
      <c r="T182" s="35">
        <v>5</v>
      </c>
      <c r="U182" s="35">
        <v>5.32</v>
      </c>
      <c r="V182" s="35"/>
      <c r="W182" s="35">
        <v>5.87</v>
      </c>
      <c r="X182" s="36"/>
      <c r="Y182" s="35">
        <v>1.39</v>
      </c>
      <c r="Z182" s="35">
        <v>7.48</v>
      </c>
      <c r="AA182" s="35">
        <v>7.9</v>
      </c>
      <c r="AB182" s="35">
        <v>14.32</v>
      </c>
      <c r="AC182" s="35"/>
      <c r="AD182" s="35">
        <v>13.68</v>
      </c>
      <c r="AE182" s="35">
        <v>6.39</v>
      </c>
      <c r="AF182" s="35">
        <v>0.29</v>
      </c>
      <c r="AG182" s="35"/>
      <c r="AH182" s="35"/>
      <c r="AI182" s="35"/>
      <c r="AJ182" s="35"/>
      <c r="AK182" s="35"/>
      <c r="AL182" s="35"/>
      <c r="AM182" s="35"/>
      <c r="AN182" s="35">
        <v>0.44</v>
      </c>
      <c r="AO182" s="35"/>
      <c r="AP182" s="35"/>
      <c r="AQ182" s="35">
        <v>5.2</v>
      </c>
      <c r="AR182" s="35">
        <v>13</v>
      </c>
      <c r="AS182" s="35"/>
      <c r="AT182" s="36">
        <v>13.5</v>
      </c>
      <c r="AU182" s="35">
        <v>1</v>
      </c>
      <c r="AV182" s="35">
        <v>1</v>
      </c>
      <c r="AW182" s="35"/>
      <c r="AX182" s="35">
        <v>1</v>
      </c>
    </row>
    <row r="183" s="7" customFormat="1" customHeight="1" spans="1:50">
      <c r="A183" s="18">
        <v>181</v>
      </c>
      <c r="B183" s="34">
        <v>44544</v>
      </c>
      <c r="C183" s="35" t="s">
        <v>55</v>
      </c>
      <c r="D183" s="36">
        <v>725</v>
      </c>
      <c r="E183" s="36">
        <v>347</v>
      </c>
      <c r="F183" s="35">
        <v>337</v>
      </c>
      <c r="G183" s="35">
        <v>30</v>
      </c>
      <c r="H183" s="35">
        <v>50</v>
      </c>
      <c r="I183" s="35">
        <v>50</v>
      </c>
      <c r="J183" s="36">
        <v>50</v>
      </c>
      <c r="K183" s="35"/>
      <c r="L183" s="35">
        <v>0.478620689655172</v>
      </c>
      <c r="M183" s="35"/>
      <c r="N183" s="35">
        <v>236.84</v>
      </c>
      <c r="O183" s="35">
        <v>14.83</v>
      </c>
      <c r="P183" s="35">
        <v>23.23</v>
      </c>
      <c r="Q183" s="35">
        <v>5.9</v>
      </c>
      <c r="R183" s="35">
        <v>37.95</v>
      </c>
      <c r="S183" s="35">
        <v>5.6</v>
      </c>
      <c r="T183" s="35">
        <v>1.3</v>
      </c>
      <c r="U183" s="35"/>
      <c r="V183" s="35">
        <v>3.09</v>
      </c>
      <c r="W183" s="35">
        <v>12.6</v>
      </c>
      <c r="X183" s="36">
        <v>9.32</v>
      </c>
      <c r="Y183" s="35">
        <v>5.08</v>
      </c>
      <c r="Z183" s="35">
        <v>16.74</v>
      </c>
      <c r="AA183" s="35">
        <v>26.54</v>
      </c>
      <c r="AB183" s="35">
        <v>18.3</v>
      </c>
      <c r="AC183" s="35">
        <v>10</v>
      </c>
      <c r="AD183" s="35">
        <v>20.36</v>
      </c>
      <c r="AE183" s="35">
        <v>20</v>
      </c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>
        <v>1</v>
      </c>
      <c r="AR183" s="35">
        <v>5</v>
      </c>
      <c r="AS183" s="35"/>
      <c r="AT183" s="36">
        <v>52.6</v>
      </c>
      <c r="AU183" s="35">
        <v>0</v>
      </c>
      <c r="AV183" s="35">
        <v>1</v>
      </c>
      <c r="AW183" s="35">
        <v>0.1</v>
      </c>
      <c r="AX183" s="35">
        <v>1</v>
      </c>
    </row>
    <row r="184" s="7" customFormat="1" customHeight="1" spans="1:50">
      <c r="A184" s="18">
        <v>182</v>
      </c>
      <c r="B184" s="34">
        <v>44544</v>
      </c>
      <c r="C184" s="35" t="s">
        <v>55</v>
      </c>
      <c r="D184" s="36">
        <v>725</v>
      </c>
      <c r="E184" s="36">
        <v>362</v>
      </c>
      <c r="F184" s="35">
        <v>352</v>
      </c>
      <c r="G184" s="35">
        <v>32</v>
      </c>
      <c r="H184" s="35">
        <v>47</v>
      </c>
      <c r="I184" s="35">
        <v>50</v>
      </c>
      <c r="J184" s="36">
        <v>48</v>
      </c>
      <c r="K184" s="35"/>
      <c r="L184" s="35">
        <v>0.499310344827586</v>
      </c>
      <c r="M184" s="35"/>
      <c r="N184" s="35">
        <v>250.94</v>
      </c>
      <c r="O184" s="35">
        <v>3.89</v>
      </c>
      <c r="P184" s="35">
        <v>1.95</v>
      </c>
      <c r="Q184" s="35">
        <v>1.42</v>
      </c>
      <c r="R184" s="35">
        <v>29.31</v>
      </c>
      <c r="S184" s="35">
        <v>2.12</v>
      </c>
      <c r="T184" s="35">
        <v>33.3</v>
      </c>
      <c r="U184" s="35">
        <v>28.86</v>
      </c>
      <c r="V184" s="35">
        <v>29.4</v>
      </c>
      <c r="W184" s="35">
        <v>1.3</v>
      </c>
      <c r="X184" s="36"/>
      <c r="Y184" s="35"/>
      <c r="Z184" s="35">
        <v>15.3</v>
      </c>
      <c r="AA184" s="35">
        <v>7.72</v>
      </c>
      <c r="AB184" s="35">
        <v>15</v>
      </c>
      <c r="AC184" s="35">
        <v>40</v>
      </c>
      <c r="AD184" s="35">
        <v>6.79</v>
      </c>
      <c r="AE184" s="35">
        <v>20.4</v>
      </c>
      <c r="AF184" s="35">
        <v>1</v>
      </c>
      <c r="AG184" s="35"/>
      <c r="AH184" s="35"/>
      <c r="AI184" s="35"/>
      <c r="AJ184" s="35"/>
      <c r="AK184" s="35"/>
      <c r="AL184" s="35"/>
      <c r="AM184" s="35"/>
      <c r="AN184" s="35">
        <v>1.18</v>
      </c>
      <c r="AO184" s="35"/>
      <c r="AP184" s="35"/>
      <c r="AQ184" s="35">
        <v>4</v>
      </c>
      <c r="AR184" s="35">
        <v>8</v>
      </c>
      <c r="AS184" s="35"/>
      <c r="AT184" s="36">
        <v>39.7</v>
      </c>
      <c r="AU184" s="35">
        <v>0</v>
      </c>
      <c r="AV184" s="35">
        <v>1</v>
      </c>
      <c r="AW184" s="35">
        <v>0.1</v>
      </c>
      <c r="AX184" s="35">
        <v>1</v>
      </c>
    </row>
    <row r="185" s="7" customFormat="1" customHeight="1" spans="1:50">
      <c r="A185" s="18">
        <v>183</v>
      </c>
      <c r="B185" s="34">
        <v>44546</v>
      </c>
      <c r="C185" s="35" t="s">
        <v>63</v>
      </c>
      <c r="D185" s="36">
        <v>325</v>
      </c>
      <c r="E185" s="36">
        <v>140</v>
      </c>
      <c r="F185" s="35">
        <v>130</v>
      </c>
      <c r="G185" s="35">
        <v>23.8</v>
      </c>
      <c r="H185" s="35">
        <v>11</v>
      </c>
      <c r="I185" s="35">
        <v>20</v>
      </c>
      <c r="J185" s="36">
        <v>30</v>
      </c>
      <c r="K185" s="35"/>
      <c r="L185" s="35">
        <v>0.430769230769231</v>
      </c>
      <c r="M185" s="35"/>
      <c r="N185" s="35">
        <v>282.34</v>
      </c>
      <c r="O185" s="35">
        <v>19.85</v>
      </c>
      <c r="P185" s="35">
        <v>24.56</v>
      </c>
      <c r="Q185" s="35">
        <v>5.17</v>
      </c>
      <c r="R185" s="35">
        <v>60</v>
      </c>
      <c r="S185" s="35">
        <v>6.75</v>
      </c>
      <c r="T185" s="35">
        <v>16.11</v>
      </c>
      <c r="U185" s="35">
        <v>20.53</v>
      </c>
      <c r="V185" s="35">
        <v>10.34</v>
      </c>
      <c r="W185" s="35">
        <v>10.96</v>
      </c>
      <c r="X185" s="36">
        <v>10.09</v>
      </c>
      <c r="Y185" s="35">
        <v>6.96</v>
      </c>
      <c r="Z185" s="35">
        <v>14.78</v>
      </c>
      <c r="AA185" s="35">
        <v>23.3</v>
      </c>
      <c r="AB185" s="35">
        <v>25.48</v>
      </c>
      <c r="AC185" s="35"/>
      <c r="AD185" s="35">
        <v>18.46</v>
      </c>
      <c r="AE185" s="35">
        <v>9</v>
      </c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6">
        <v>25</v>
      </c>
      <c r="AU185" s="35">
        <v>0</v>
      </c>
      <c r="AV185" s="35">
        <v>1</v>
      </c>
      <c r="AW185" s="35">
        <v>0.1</v>
      </c>
      <c r="AX185" s="35">
        <v>1</v>
      </c>
    </row>
    <row r="186" s="7" customFormat="1" customHeight="1" spans="1:50">
      <c r="A186" s="18">
        <v>184</v>
      </c>
      <c r="B186" s="34">
        <v>44546</v>
      </c>
      <c r="C186" s="35" t="s">
        <v>63</v>
      </c>
      <c r="D186" s="36">
        <v>325</v>
      </c>
      <c r="E186" s="36">
        <v>148</v>
      </c>
      <c r="F186" s="35">
        <v>140</v>
      </c>
      <c r="G186" s="35">
        <v>20</v>
      </c>
      <c r="H186" s="35">
        <v>12</v>
      </c>
      <c r="I186" s="35">
        <v>20</v>
      </c>
      <c r="J186" s="36">
        <v>28</v>
      </c>
      <c r="K186" s="35"/>
      <c r="L186" s="35">
        <v>0.455384615384615</v>
      </c>
      <c r="M186" s="35"/>
      <c r="N186" s="35">
        <v>199.65</v>
      </c>
      <c r="O186" s="35">
        <v>6.27</v>
      </c>
      <c r="P186" s="35">
        <v>15.79</v>
      </c>
      <c r="Q186" s="35">
        <v>2.92</v>
      </c>
      <c r="R186" s="35">
        <v>8.88</v>
      </c>
      <c r="S186" s="35">
        <v>4.91</v>
      </c>
      <c r="T186" s="35">
        <v>23.43</v>
      </c>
      <c r="U186" s="35"/>
      <c r="V186" s="35">
        <v>8.9</v>
      </c>
      <c r="W186" s="35"/>
      <c r="X186" s="36">
        <v>5.34</v>
      </c>
      <c r="Y186" s="35">
        <v>5.82</v>
      </c>
      <c r="Z186" s="35">
        <v>14.86</v>
      </c>
      <c r="AA186" s="35">
        <v>24.18</v>
      </c>
      <c r="AB186" s="35">
        <v>24.66</v>
      </c>
      <c r="AC186" s="35"/>
      <c r="AD186" s="35">
        <v>19.14</v>
      </c>
      <c r="AE186" s="35">
        <v>1.9</v>
      </c>
      <c r="AF186" s="35"/>
      <c r="AG186" s="35"/>
      <c r="AH186" s="35"/>
      <c r="AI186" s="35"/>
      <c r="AJ186" s="35"/>
      <c r="AK186" s="35"/>
      <c r="AL186" s="35"/>
      <c r="AM186" s="35"/>
      <c r="AN186" s="35">
        <v>0.65</v>
      </c>
      <c r="AO186" s="35"/>
      <c r="AP186" s="35"/>
      <c r="AQ186" s="35">
        <v>7</v>
      </c>
      <c r="AR186" s="35">
        <v>25</v>
      </c>
      <c r="AS186" s="35"/>
      <c r="AT186" s="36">
        <v>48</v>
      </c>
      <c r="AU186" s="35">
        <v>0</v>
      </c>
      <c r="AV186" s="35">
        <v>1</v>
      </c>
      <c r="AW186" s="35">
        <v>0.1</v>
      </c>
      <c r="AX186" s="35">
        <v>1</v>
      </c>
    </row>
    <row r="187" s="7" customFormat="1" customHeight="1" spans="1:50">
      <c r="A187" s="18">
        <v>185</v>
      </c>
      <c r="B187" s="34">
        <v>44546</v>
      </c>
      <c r="C187" s="35" t="s">
        <v>63</v>
      </c>
      <c r="D187" s="36">
        <v>325</v>
      </c>
      <c r="E187" s="36">
        <v>170</v>
      </c>
      <c r="F187" s="35">
        <v>160</v>
      </c>
      <c r="G187" s="35">
        <v>21</v>
      </c>
      <c r="H187" s="35">
        <v>14</v>
      </c>
      <c r="I187" s="35">
        <v>22</v>
      </c>
      <c r="J187" s="36">
        <v>31</v>
      </c>
      <c r="K187" s="35"/>
      <c r="L187" s="35">
        <v>0.523076923076923</v>
      </c>
      <c r="M187" s="35"/>
      <c r="N187" s="35">
        <v>163.92</v>
      </c>
      <c r="O187" s="35"/>
      <c r="P187" s="35">
        <v>4.2</v>
      </c>
      <c r="Q187" s="35"/>
      <c r="R187" s="35"/>
      <c r="S187" s="35"/>
      <c r="T187" s="35">
        <v>127.66</v>
      </c>
      <c r="U187" s="35"/>
      <c r="V187" s="35"/>
      <c r="W187" s="35"/>
      <c r="X187" s="36">
        <v>4.5</v>
      </c>
      <c r="Y187" s="35">
        <v>1.95</v>
      </c>
      <c r="Z187" s="35"/>
      <c r="AA187" s="35"/>
      <c r="AB187" s="35">
        <v>6.07</v>
      </c>
      <c r="AC187" s="35"/>
      <c r="AD187" s="35"/>
      <c r="AE187" s="35">
        <v>10.67</v>
      </c>
      <c r="AF187" s="35"/>
      <c r="AG187" s="35"/>
      <c r="AH187" s="35"/>
      <c r="AI187" s="35"/>
      <c r="AJ187" s="35"/>
      <c r="AK187" s="35"/>
      <c r="AL187" s="35"/>
      <c r="AM187" s="35"/>
      <c r="AN187" s="35">
        <v>1.47</v>
      </c>
      <c r="AO187" s="35"/>
      <c r="AP187" s="35"/>
      <c r="AQ187" s="35">
        <v>4.5</v>
      </c>
      <c r="AR187" s="35">
        <v>2.9</v>
      </c>
      <c r="AS187" s="35"/>
      <c r="AT187" s="36">
        <v>10.69</v>
      </c>
      <c r="AU187" s="35">
        <v>0</v>
      </c>
      <c r="AV187" s="35">
        <v>1</v>
      </c>
      <c r="AW187" s="35">
        <v>0.1</v>
      </c>
      <c r="AX187" s="35">
        <v>1</v>
      </c>
    </row>
    <row r="188" s="7" customFormat="1" customHeight="1" spans="1:50">
      <c r="A188" s="18">
        <v>186</v>
      </c>
      <c r="B188" s="34">
        <v>44546</v>
      </c>
      <c r="C188" s="35" t="s">
        <v>63</v>
      </c>
      <c r="D188" s="36">
        <v>325</v>
      </c>
      <c r="E188" s="36">
        <v>161</v>
      </c>
      <c r="F188" s="35">
        <v>152</v>
      </c>
      <c r="G188" s="35">
        <v>18</v>
      </c>
      <c r="H188" s="35">
        <v>12</v>
      </c>
      <c r="I188" s="35">
        <v>25</v>
      </c>
      <c r="J188" s="36">
        <v>32</v>
      </c>
      <c r="K188" s="35"/>
      <c r="L188" s="35">
        <v>0.495384615384615</v>
      </c>
      <c r="M188" s="35"/>
      <c r="N188" s="35">
        <v>74.67</v>
      </c>
      <c r="O188" s="35">
        <v>17.1</v>
      </c>
      <c r="P188" s="35">
        <v>11.27</v>
      </c>
      <c r="Q188" s="35">
        <v>5.49</v>
      </c>
      <c r="R188" s="35"/>
      <c r="S188" s="35">
        <v>11.72</v>
      </c>
      <c r="T188" s="35"/>
      <c r="U188" s="35"/>
      <c r="V188" s="35">
        <v>4</v>
      </c>
      <c r="W188" s="35"/>
      <c r="X188" s="36">
        <v>5.4</v>
      </c>
      <c r="Y188" s="35"/>
      <c r="Z188" s="35"/>
      <c r="AA188" s="35"/>
      <c r="AB188" s="35">
        <v>6.42</v>
      </c>
      <c r="AC188" s="35"/>
      <c r="AD188" s="35"/>
      <c r="AE188" s="35">
        <v>5.27</v>
      </c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>
        <v>8</v>
      </c>
      <c r="AS188" s="35"/>
      <c r="AT188" s="36"/>
      <c r="AU188" s="35">
        <v>0</v>
      </c>
      <c r="AV188" s="35">
        <v>1</v>
      </c>
      <c r="AW188" s="35">
        <v>0.1</v>
      </c>
      <c r="AX188" s="35">
        <v>1</v>
      </c>
    </row>
    <row r="189" s="7" customFormat="1" customHeight="1" spans="1:50">
      <c r="A189" s="18">
        <v>187</v>
      </c>
      <c r="B189" s="34">
        <v>44548</v>
      </c>
      <c r="C189" s="35" t="s">
        <v>68</v>
      </c>
      <c r="D189" s="36">
        <v>480</v>
      </c>
      <c r="E189" s="36">
        <v>270</v>
      </c>
      <c r="F189" s="35">
        <v>260</v>
      </c>
      <c r="G189" s="47">
        <v>98.4</v>
      </c>
      <c r="H189" s="47">
        <v>20</v>
      </c>
      <c r="I189" s="47">
        <v>104</v>
      </c>
      <c r="J189" s="47">
        <v>126</v>
      </c>
      <c r="K189" s="35"/>
      <c r="L189" s="35"/>
      <c r="M189" s="35"/>
      <c r="N189" s="35">
        <v>274.3</v>
      </c>
      <c r="O189" s="35"/>
      <c r="P189" s="35">
        <v>15</v>
      </c>
      <c r="Q189" s="35"/>
      <c r="R189" s="35">
        <v>80</v>
      </c>
      <c r="S189" s="35"/>
      <c r="T189" s="35"/>
      <c r="U189" s="35"/>
      <c r="V189" s="35"/>
      <c r="W189" s="35"/>
      <c r="X189" s="36"/>
      <c r="Y189" s="35">
        <v>4.5</v>
      </c>
      <c r="Z189" s="35">
        <v>8</v>
      </c>
      <c r="AA189" s="35">
        <v>46</v>
      </c>
      <c r="AB189" s="35">
        <v>46.8</v>
      </c>
      <c r="AC189" s="35"/>
      <c r="AD189" s="35">
        <v>45</v>
      </c>
      <c r="AE189" s="35">
        <v>12</v>
      </c>
      <c r="AF189" s="35">
        <v>2</v>
      </c>
      <c r="AG189" s="35">
        <v>15</v>
      </c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47">
        <v>75</v>
      </c>
      <c r="AU189" s="35">
        <v>1</v>
      </c>
      <c r="AV189" s="35">
        <v>1</v>
      </c>
      <c r="AW189" s="35">
        <v>0.1</v>
      </c>
      <c r="AX189" s="35">
        <v>1</v>
      </c>
    </row>
    <row r="190" s="7" customFormat="1" customHeight="1" spans="1:50">
      <c r="A190" s="18">
        <v>188</v>
      </c>
      <c r="B190" s="34">
        <v>44548</v>
      </c>
      <c r="C190" s="35" t="s">
        <v>68</v>
      </c>
      <c r="D190" s="36">
        <v>520</v>
      </c>
      <c r="E190" s="36">
        <v>299.5</v>
      </c>
      <c r="F190" s="35">
        <v>290</v>
      </c>
      <c r="G190" s="48"/>
      <c r="H190" s="48"/>
      <c r="I190" s="48"/>
      <c r="J190" s="48"/>
      <c r="K190" s="35"/>
      <c r="L190" s="35"/>
      <c r="M190" s="35"/>
      <c r="N190" s="35">
        <v>0</v>
      </c>
      <c r="O190" s="35"/>
      <c r="P190" s="35"/>
      <c r="Q190" s="35"/>
      <c r="R190" s="35"/>
      <c r="S190" s="35"/>
      <c r="T190" s="35"/>
      <c r="U190" s="35"/>
      <c r="V190" s="35"/>
      <c r="W190" s="35"/>
      <c r="X190" s="36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48"/>
      <c r="AU190" s="35">
        <v>1</v>
      </c>
      <c r="AV190" s="35">
        <v>1</v>
      </c>
      <c r="AW190" s="35">
        <v>0.1</v>
      </c>
      <c r="AX190" s="35">
        <v>1</v>
      </c>
    </row>
    <row r="191" s="7" customFormat="1" customHeight="1" spans="1:50">
      <c r="A191" s="18">
        <v>189</v>
      </c>
      <c r="B191" s="34">
        <v>44548</v>
      </c>
      <c r="C191" s="35" t="s">
        <v>63</v>
      </c>
      <c r="D191" s="36">
        <v>325</v>
      </c>
      <c r="E191" s="36">
        <v>131.5</v>
      </c>
      <c r="F191" s="35">
        <v>121</v>
      </c>
      <c r="G191" s="48"/>
      <c r="H191" s="48"/>
      <c r="I191" s="48"/>
      <c r="J191" s="48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6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48"/>
      <c r="AU191" s="35">
        <v>0</v>
      </c>
      <c r="AV191" s="35">
        <v>1</v>
      </c>
      <c r="AW191" s="35">
        <v>0.1</v>
      </c>
      <c r="AX191" s="35">
        <v>1</v>
      </c>
    </row>
    <row r="192" s="7" customFormat="1" customHeight="1" spans="1:50">
      <c r="A192" s="18">
        <v>190</v>
      </c>
      <c r="B192" s="34">
        <v>44548</v>
      </c>
      <c r="C192" s="35" t="s">
        <v>63</v>
      </c>
      <c r="D192" s="36">
        <v>325</v>
      </c>
      <c r="E192" s="36">
        <v>161</v>
      </c>
      <c r="F192" s="35">
        <v>153</v>
      </c>
      <c r="G192" s="49"/>
      <c r="H192" s="49"/>
      <c r="I192" s="49"/>
      <c r="J192" s="49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6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49"/>
      <c r="AU192" s="35">
        <v>0</v>
      </c>
      <c r="AV192" s="35">
        <v>1</v>
      </c>
      <c r="AW192" s="35">
        <v>0.1</v>
      </c>
      <c r="AX192" s="35">
        <v>1</v>
      </c>
    </row>
    <row r="193" s="9" customFormat="1" customHeight="1" spans="1:50">
      <c r="A193" s="52"/>
      <c r="B193" s="53"/>
      <c r="C193" s="54"/>
      <c r="D193" s="55">
        <f>SUM(D3:D192)</f>
        <v>119500</v>
      </c>
      <c r="E193" s="55">
        <f t="shared" ref="E193:AX193" si="27">SUM(E3:E192)</f>
        <v>65607.5</v>
      </c>
      <c r="F193" s="55">
        <f t="shared" si="27"/>
        <v>63667.5</v>
      </c>
      <c r="G193" s="55">
        <f t="shared" si="27"/>
        <v>5182.3</v>
      </c>
      <c r="H193" s="55">
        <f t="shared" si="27"/>
        <v>5603</v>
      </c>
      <c r="I193" s="55">
        <f t="shared" si="27"/>
        <v>7703</v>
      </c>
      <c r="J193" s="55">
        <f t="shared" si="27"/>
        <v>8436.9</v>
      </c>
      <c r="K193" s="55">
        <f t="shared" si="27"/>
        <v>0</v>
      </c>
      <c r="L193" s="55">
        <f t="shared" si="27"/>
        <v>101.831527546677</v>
      </c>
      <c r="M193" s="55">
        <f t="shared" si="27"/>
        <v>66.2013720416939</v>
      </c>
      <c r="N193" s="55">
        <f t="shared" si="27"/>
        <v>47654.28</v>
      </c>
      <c r="O193" s="55">
        <f t="shared" si="27"/>
        <v>528.65</v>
      </c>
      <c r="P193" s="55">
        <f t="shared" si="27"/>
        <v>2617.37</v>
      </c>
      <c r="Q193" s="55">
        <f t="shared" si="27"/>
        <v>172.43</v>
      </c>
      <c r="R193" s="55">
        <f t="shared" si="27"/>
        <v>8018.89</v>
      </c>
      <c r="S193" s="55">
        <f t="shared" si="27"/>
        <v>225.57</v>
      </c>
      <c r="T193" s="55">
        <f t="shared" si="27"/>
        <v>4648.4</v>
      </c>
      <c r="U193" s="55">
        <f t="shared" si="27"/>
        <v>1293.66</v>
      </c>
      <c r="V193" s="55">
        <f t="shared" si="27"/>
        <v>2550.49</v>
      </c>
      <c r="W193" s="55">
        <f t="shared" si="27"/>
        <v>1543.84</v>
      </c>
      <c r="X193" s="55">
        <f t="shared" si="27"/>
        <v>1031.18</v>
      </c>
      <c r="Y193" s="55">
        <f t="shared" si="27"/>
        <v>383.52</v>
      </c>
      <c r="Z193" s="55">
        <f t="shared" si="27"/>
        <v>3580.78</v>
      </c>
      <c r="AA193" s="55">
        <f t="shared" si="27"/>
        <v>1188.91</v>
      </c>
      <c r="AB193" s="55">
        <f t="shared" si="27"/>
        <v>8029.16</v>
      </c>
      <c r="AC193" s="55">
        <f t="shared" si="27"/>
        <v>1731.09</v>
      </c>
      <c r="AD193" s="55">
        <f t="shared" si="27"/>
        <v>917.29</v>
      </c>
      <c r="AE193" s="55">
        <f t="shared" si="27"/>
        <v>1021.66</v>
      </c>
      <c r="AF193" s="55">
        <f t="shared" si="27"/>
        <v>276.7</v>
      </c>
      <c r="AG193" s="55">
        <f t="shared" si="27"/>
        <v>310.4</v>
      </c>
      <c r="AH193" s="55">
        <f t="shared" si="27"/>
        <v>0</v>
      </c>
      <c r="AI193" s="55">
        <f t="shared" si="27"/>
        <v>0</v>
      </c>
      <c r="AJ193" s="55">
        <f t="shared" si="27"/>
        <v>0</v>
      </c>
      <c r="AK193" s="55">
        <f t="shared" si="27"/>
        <v>0</v>
      </c>
      <c r="AL193" s="55">
        <f t="shared" si="27"/>
        <v>0</v>
      </c>
      <c r="AM193" s="55">
        <f t="shared" si="27"/>
        <v>0</v>
      </c>
      <c r="AN193" s="55">
        <f t="shared" si="27"/>
        <v>119.83</v>
      </c>
      <c r="AO193" s="55">
        <f t="shared" si="27"/>
        <v>0</v>
      </c>
      <c r="AP193" s="55">
        <f t="shared" si="27"/>
        <v>3144.73</v>
      </c>
      <c r="AQ193" s="55">
        <f t="shared" si="27"/>
        <v>1194.48</v>
      </c>
      <c r="AR193" s="55">
        <f t="shared" si="27"/>
        <v>3125.25</v>
      </c>
      <c r="AS193" s="55">
        <f t="shared" si="27"/>
        <v>0</v>
      </c>
      <c r="AT193" s="55">
        <f t="shared" si="27"/>
        <v>7213.02</v>
      </c>
      <c r="AU193" s="55">
        <f t="shared" si="27"/>
        <v>146</v>
      </c>
      <c r="AV193" s="55">
        <f t="shared" si="27"/>
        <v>185</v>
      </c>
      <c r="AW193" s="55">
        <f t="shared" si="27"/>
        <v>15</v>
      </c>
      <c r="AX193" s="55">
        <f t="shared" si="27"/>
        <v>184</v>
      </c>
    </row>
    <row r="194" s="7" customFormat="1" customHeight="1" spans="1:50">
      <c r="A194" s="18"/>
      <c r="B194" s="34"/>
      <c r="C194" s="35"/>
      <c r="D194" s="36"/>
      <c r="E194" s="36"/>
      <c r="F194" s="35"/>
      <c r="G194" s="49"/>
      <c r="H194" s="49"/>
      <c r="I194" s="49"/>
      <c r="J194" s="49"/>
      <c r="K194" s="35"/>
      <c r="L194" s="35"/>
      <c r="M194" s="35"/>
      <c r="N194" s="35">
        <f>N193/D193</f>
        <v>0.398780585774059</v>
      </c>
      <c r="O194" s="35"/>
      <c r="P194" s="35"/>
      <c r="Q194" s="35"/>
      <c r="R194" s="35"/>
      <c r="S194" s="35"/>
      <c r="T194" s="35"/>
      <c r="U194" s="35"/>
      <c r="V194" s="35"/>
      <c r="W194" s="35"/>
      <c r="X194" s="36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49"/>
      <c r="AU194" s="35"/>
      <c r="AV194" s="35"/>
      <c r="AW194" s="35"/>
      <c r="AX194" s="35"/>
    </row>
    <row r="195" s="7" customFormat="1" customHeight="1" spans="1:50">
      <c r="A195" s="18">
        <v>1</v>
      </c>
      <c r="B195" s="34">
        <v>44548</v>
      </c>
      <c r="C195" s="35" t="s">
        <v>71</v>
      </c>
      <c r="D195" s="36">
        <v>205.4</v>
      </c>
      <c r="E195" s="36"/>
      <c r="F195" s="35"/>
      <c r="G195" s="35"/>
      <c r="H195" s="35"/>
      <c r="I195" s="35"/>
      <c r="J195" s="36"/>
      <c r="K195" s="35"/>
      <c r="L195" s="35"/>
      <c r="M195" s="35"/>
      <c r="N195" s="35">
        <v>217.76</v>
      </c>
      <c r="O195" s="35"/>
      <c r="P195" s="35">
        <v>14.2</v>
      </c>
      <c r="Q195" s="35"/>
      <c r="R195" s="35"/>
      <c r="S195" s="35"/>
      <c r="T195" s="35">
        <v>30.63</v>
      </c>
      <c r="U195" s="35"/>
      <c r="V195" s="35">
        <v>22.75</v>
      </c>
      <c r="W195" s="35">
        <v>9.26</v>
      </c>
      <c r="X195" s="36">
        <v>5.32</v>
      </c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>
        <v>122.6</v>
      </c>
      <c r="AQ195" s="35"/>
      <c r="AR195" s="35">
        <v>13</v>
      </c>
      <c r="AS195" s="35"/>
      <c r="AT195" s="36">
        <v>14.14</v>
      </c>
      <c r="AU195" s="35"/>
      <c r="AV195" s="35"/>
      <c r="AW195" s="35"/>
      <c r="AX195" s="35"/>
    </row>
    <row r="196" s="7" customFormat="1" customHeight="1" spans="1:50">
      <c r="A196" s="18">
        <v>2</v>
      </c>
      <c r="B196" s="34">
        <v>44549</v>
      </c>
      <c r="C196" s="35" t="s">
        <v>71</v>
      </c>
      <c r="D196" s="36">
        <v>173.7</v>
      </c>
      <c r="E196" s="36"/>
      <c r="F196" s="35"/>
      <c r="G196" s="35"/>
      <c r="H196" s="35"/>
      <c r="I196" s="35"/>
      <c r="J196" s="36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6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6"/>
      <c r="AU196" s="35"/>
      <c r="AV196" s="35"/>
      <c r="AW196" s="35"/>
      <c r="AX196" s="35"/>
    </row>
    <row r="197" s="7" customFormat="1" customHeight="1" spans="1:50">
      <c r="A197" s="18">
        <v>3</v>
      </c>
      <c r="B197" s="34">
        <v>44550</v>
      </c>
      <c r="C197" s="35" t="s">
        <v>71</v>
      </c>
      <c r="D197" s="36">
        <v>174.7</v>
      </c>
      <c r="E197" s="36"/>
      <c r="F197" s="35"/>
      <c r="G197" s="35"/>
      <c r="H197" s="35"/>
      <c r="I197" s="35"/>
      <c r="J197" s="36"/>
      <c r="K197" s="35"/>
      <c r="L197" s="35"/>
      <c r="M197" s="35"/>
      <c r="N197" s="35">
        <v>183.65</v>
      </c>
      <c r="O197" s="35">
        <v>8.21</v>
      </c>
      <c r="P197" s="35">
        <v>13.7</v>
      </c>
      <c r="Q197" s="35">
        <v>2.8</v>
      </c>
      <c r="R197" s="35"/>
      <c r="S197" s="35">
        <v>3.18</v>
      </c>
      <c r="T197" s="35">
        <v>30.64</v>
      </c>
      <c r="U197" s="35"/>
      <c r="V197" s="35"/>
      <c r="W197" s="35"/>
      <c r="X197" s="36"/>
      <c r="Y197" s="35">
        <v>4.1</v>
      </c>
      <c r="Z197" s="35">
        <v>10.1</v>
      </c>
      <c r="AA197" s="35">
        <v>15.8</v>
      </c>
      <c r="AB197" s="35">
        <v>9.6</v>
      </c>
      <c r="AC197" s="35"/>
      <c r="AD197" s="35">
        <v>11.05</v>
      </c>
      <c r="AE197" s="35">
        <v>9.03</v>
      </c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>
        <v>42.44</v>
      </c>
      <c r="AQ197" s="35">
        <v>1</v>
      </c>
      <c r="AR197" s="35">
        <v>22</v>
      </c>
      <c r="AS197" s="35"/>
      <c r="AT197" s="36">
        <v>3.75</v>
      </c>
      <c r="AU197" s="35"/>
      <c r="AV197" s="35"/>
      <c r="AW197" s="35"/>
      <c r="AX197" s="35"/>
    </row>
    <row r="198" s="7" customFormat="1" customHeight="1" spans="1:50">
      <c r="A198" s="18">
        <v>4</v>
      </c>
      <c r="B198" s="34">
        <v>44552</v>
      </c>
      <c r="C198" s="35" t="s">
        <v>71</v>
      </c>
      <c r="D198" s="36">
        <v>212.8</v>
      </c>
      <c r="E198" s="36"/>
      <c r="F198" s="35"/>
      <c r="G198" s="35"/>
      <c r="H198" s="35"/>
      <c r="I198" s="35"/>
      <c r="J198" s="36"/>
      <c r="K198" s="35"/>
      <c r="L198" s="35"/>
      <c r="M198" s="35"/>
      <c r="N198" s="35">
        <v>174.27</v>
      </c>
      <c r="O198" s="35">
        <v>9.4</v>
      </c>
      <c r="P198" s="35">
        <v>16.9</v>
      </c>
      <c r="Q198" s="35"/>
      <c r="R198" s="35"/>
      <c r="S198" s="35">
        <v>1.95</v>
      </c>
      <c r="T198" s="35">
        <v>30.63</v>
      </c>
      <c r="U198" s="35"/>
      <c r="V198" s="35"/>
      <c r="W198" s="35"/>
      <c r="X198" s="36">
        <v>5.97</v>
      </c>
      <c r="Y198" s="35"/>
      <c r="Z198" s="35"/>
      <c r="AA198" s="35">
        <v>19.16</v>
      </c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>
        <v>1.9</v>
      </c>
      <c r="AO198" s="35"/>
      <c r="AP198" s="35">
        <v>74.26</v>
      </c>
      <c r="AQ198" s="35">
        <v>3</v>
      </c>
      <c r="AR198" s="35">
        <v>11.1</v>
      </c>
      <c r="AS198" s="35"/>
      <c r="AT198" s="36">
        <v>3.4</v>
      </c>
      <c r="AU198" s="35"/>
      <c r="AV198" s="35"/>
      <c r="AW198" s="35"/>
      <c r="AX198" s="35"/>
    </row>
    <row r="199" s="7" customFormat="1" customHeight="1" spans="1:50">
      <c r="A199" s="18">
        <v>5</v>
      </c>
      <c r="B199" s="34">
        <v>44553</v>
      </c>
      <c r="C199" s="35" t="s">
        <v>71</v>
      </c>
      <c r="D199" s="36">
        <v>71.95</v>
      </c>
      <c r="E199" s="36"/>
      <c r="F199" s="35"/>
      <c r="G199" s="35"/>
      <c r="H199" s="35"/>
      <c r="I199" s="35"/>
      <c r="J199" s="36"/>
      <c r="K199" s="35"/>
      <c r="L199" s="35"/>
      <c r="M199" s="35"/>
      <c r="N199" s="35">
        <v>238.49</v>
      </c>
      <c r="O199" s="35">
        <v>9.63</v>
      </c>
      <c r="P199" s="35">
        <v>18.53</v>
      </c>
      <c r="Q199" s="35">
        <v>3.78</v>
      </c>
      <c r="R199" s="35"/>
      <c r="S199" s="35">
        <v>5</v>
      </c>
      <c r="T199" s="35">
        <v>74.7</v>
      </c>
      <c r="U199" s="35">
        <v>14.05</v>
      </c>
      <c r="V199" s="35"/>
      <c r="W199" s="35"/>
      <c r="X199" s="36">
        <v>22</v>
      </c>
      <c r="Y199" s="35">
        <v>5.97</v>
      </c>
      <c r="Z199" s="35">
        <v>13.58</v>
      </c>
      <c r="AA199" s="35">
        <v>21</v>
      </c>
      <c r="AB199" s="35">
        <v>20.74</v>
      </c>
      <c r="AC199" s="35"/>
      <c r="AD199" s="35">
        <v>15.56</v>
      </c>
      <c r="AE199" s="35">
        <v>4.95</v>
      </c>
      <c r="AF199" s="35"/>
      <c r="AG199" s="35"/>
      <c r="AH199" s="35"/>
      <c r="AI199" s="35"/>
      <c r="AJ199" s="35"/>
      <c r="AK199" s="35"/>
      <c r="AL199" s="35"/>
      <c r="AM199" s="35"/>
      <c r="AN199" s="35">
        <v>1</v>
      </c>
      <c r="AO199" s="35"/>
      <c r="AP199" s="35"/>
      <c r="AQ199" s="35"/>
      <c r="AR199" s="35">
        <v>8</v>
      </c>
      <c r="AS199" s="35"/>
      <c r="AT199" s="36">
        <v>6</v>
      </c>
      <c r="AU199" s="35"/>
      <c r="AV199" s="35"/>
      <c r="AW199" s="35"/>
      <c r="AX199" s="35"/>
    </row>
    <row r="200" s="7" customFormat="1" customHeight="1" spans="2:46">
      <c r="B200" s="44">
        <v>44554</v>
      </c>
      <c r="C200" s="7" t="s">
        <v>71</v>
      </c>
      <c r="D200" s="46">
        <v>23.6</v>
      </c>
      <c r="E200" s="39"/>
      <c r="J200" s="46"/>
      <c r="N200" s="35">
        <v>22.6</v>
      </c>
      <c r="T200" s="7">
        <v>22.6</v>
      </c>
      <c r="X200" s="46"/>
      <c r="AT200" s="46"/>
    </row>
  </sheetData>
  <autoFilter xmlns:etc="http://www.wps.cn/officeDocument/2017/etCustomData" ref="A1:AY200" etc:filterBottomFollowUsedRange="0">
    <extLst/>
  </autoFilter>
  <mergeCells count="95">
    <mergeCell ref="A1:A2"/>
    <mergeCell ref="B1:B2"/>
    <mergeCell ref="C1:C2"/>
    <mergeCell ref="D1:D2"/>
    <mergeCell ref="G3:G5"/>
    <mergeCell ref="G6:G8"/>
    <mergeCell ref="G9:G10"/>
    <mergeCell ref="G11:G13"/>
    <mergeCell ref="G14:G16"/>
    <mergeCell ref="G17:G19"/>
    <mergeCell ref="G20:G22"/>
    <mergeCell ref="G23:G25"/>
    <mergeCell ref="G26:G28"/>
    <mergeCell ref="G29:G31"/>
    <mergeCell ref="G32:G35"/>
    <mergeCell ref="G37:G39"/>
    <mergeCell ref="G40:G41"/>
    <mergeCell ref="G42:G43"/>
    <mergeCell ref="G45:G46"/>
    <mergeCell ref="G47:G48"/>
    <mergeCell ref="G49:G50"/>
    <mergeCell ref="G51:G54"/>
    <mergeCell ref="G55:G57"/>
    <mergeCell ref="G58:G60"/>
    <mergeCell ref="G61:G63"/>
    <mergeCell ref="G64:G66"/>
    <mergeCell ref="G67:G68"/>
    <mergeCell ref="G69:G72"/>
    <mergeCell ref="G73:G75"/>
    <mergeCell ref="G189:G192"/>
    <mergeCell ref="H6:H8"/>
    <mergeCell ref="H9:H10"/>
    <mergeCell ref="H11:H13"/>
    <mergeCell ref="H14:H16"/>
    <mergeCell ref="H17:H19"/>
    <mergeCell ref="H20:H22"/>
    <mergeCell ref="H23:H25"/>
    <mergeCell ref="H26:H28"/>
    <mergeCell ref="H29:H31"/>
    <mergeCell ref="H32:H35"/>
    <mergeCell ref="H37:H39"/>
    <mergeCell ref="H40:H41"/>
    <mergeCell ref="H42:H43"/>
    <mergeCell ref="H189:H192"/>
    <mergeCell ref="I3:I5"/>
    <mergeCell ref="I6:I8"/>
    <mergeCell ref="I9:I10"/>
    <mergeCell ref="I11:I13"/>
    <mergeCell ref="I14:I16"/>
    <mergeCell ref="I17:I19"/>
    <mergeCell ref="I20:I22"/>
    <mergeCell ref="I23:I25"/>
    <mergeCell ref="I26:I28"/>
    <mergeCell ref="I29:I31"/>
    <mergeCell ref="I32:I35"/>
    <mergeCell ref="I37:I39"/>
    <mergeCell ref="I40:I41"/>
    <mergeCell ref="I42:I43"/>
    <mergeCell ref="I45:I46"/>
    <mergeCell ref="I47:I48"/>
    <mergeCell ref="I49:I50"/>
    <mergeCell ref="I51:I54"/>
    <mergeCell ref="I55:I57"/>
    <mergeCell ref="I58:I60"/>
    <mergeCell ref="I61:I63"/>
    <mergeCell ref="I64:I66"/>
    <mergeCell ref="I67:I68"/>
    <mergeCell ref="I69:I72"/>
    <mergeCell ref="I73:I75"/>
    <mergeCell ref="I189:I192"/>
    <mergeCell ref="J9:J10"/>
    <mergeCell ref="J11:J13"/>
    <mergeCell ref="J14:J16"/>
    <mergeCell ref="J17:J19"/>
    <mergeCell ref="J20:J22"/>
    <mergeCell ref="J23:J25"/>
    <mergeCell ref="J26:J28"/>
    <mergeCell ref="J29:J31"/>
    <mergeCell ref="J32:J35"/>
    <mergeCell ref="J167:J169"/>
    <mergeCell ref="J189:J192"/>
    <mergeCell ref="L1:L2"/>
    <mergeCell ref="N1:N2"/>
    <mergeCell ref="AN42:AN44"/>
    <mergeCell ref="AN46:AN47"/>
    <mergeCell ref="AN48:AN50"/>
    <mergeCell ref="AN51:AN54"/>
    <mergeCell ref="AN55:AN56"/>
    <mergeCell ref="AN57:AN60"/>
    <mergeCell ref="AN64:AN67"/>
    <mergeCell ref="AN69:AN71"/>
    <mergeCell ref="AN74:AN75"/>
    <mergeCell ref="AT42:AT43"/>
    <mergeCell ref="AT50:AT51"/>
    <mergeCell ref="AT189:AT192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屠宰数据 (2)</vt:lpstr>
      <vt:lpstr>屠宰数据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lenovo004</dc:creator>
  <cp:lastModifiedBy>兴晟☆兴宇</cp:lastModifiedBy>
  <dcterms:created xsi:type="dcterms:W3CDTF">2021-01-30T03:44:00Z</dcterms:created>
  <dcterms:modified xsi:type="dcterms:W3CDTF">2025-11-07T07:37:30Z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2CEC5B97CFA348F590F47B6DB5CABA91</vt:lpwstr>
  </property>
</Properties>
</file>