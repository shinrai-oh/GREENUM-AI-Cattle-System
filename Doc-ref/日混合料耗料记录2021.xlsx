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表" sheetId="1" r:id="rId5"/>
    <sheet state="visible" name="2021-1" sheetId="2" r:id="rId6"/>
    <sheet state="visible" name="2021-2" sheetId="3" r:id="rId7"/>
    <sheet state="visible" name="2021-3" sheetId="4" r:id="rId8"/>
    <sheet state="visible" name="2021-4" sheetId="5" r:id="rId9"/>
    <sheet state="visible" name="2021-5" sheetId="6" r:id="rId10"/>
    <sheet state="visible" name="2021-6" sheetId="7" r:id="rId11"/>
    <sheet state="visible" name="2021-7" sheetId="8" r:id="rId12"/>
    <sheet state="visible" name="2021-8" sheetId="9" r:id="rId13"/>
    <sheet state="visible" name="2021-9" sheetId="10" r:id="rId14"/>
    <sheet state="visible" name="2021-10" sheetId="11" r:id="rId15"/>
    <sheet state="visible" name="2021-11" sheetId="12" r:id="rId16"/>
    <sheet state="visible" name="2021-12" sheetId="13" r:id="rId17"/>
  </sheets>
  <definedNames/>
  <calcPr/>
</workbook>
</file>

<file path=xl/sharedStrings.xml><?xml version="1.0" encoding="utf-8"?>
<sst xmlns="http://schemas.openxmlformats.org/spreadsheetml/2006/main" count="9258" uniqueCount="505">
  <si>
    <r>
      <rPr>
        <rFont val="宋体"/>
        <color theme="1"/>
        <sz val="12.0"/>
      </rPr>
      <t xml:space="preserve">    年    月    日                            </t>
    </r>
    <r>
      <rPr>
        <rFont val="宋体"/>
        <color theme="1"/>
        <sz val="14.0"/>
      </rPr>
      <t xml:space="preserve"> </t>
    </r>
    <r>
      <rPr>
        <rFont val="宋体"/>
        <color theme="1"/>
        <sz val="16.0"/>
      </rPr>
      <t>肉牛TMR全混合日粮配料使用记录表</t>
    </r>
  </si>
  <si>
    <t>牛舍</t>
  </si>
  <si>
    <t>精料</t>
  </si>
  <si>
    <t>啤酒糟</t>
  </si>
  <si>
    <t>糖蜜</t>
  </si>
  <si>
    <t>青贮</t>
  </si>
  <si>
    <t>花生秧</t>
  </si>
  <si>
    <t>合计</t>
  </si>
  <si>
    <t>上午</t>
  </si>
  <si>
    <t>下午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</si>
  <si>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</si>
  <si>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</si>
  <si>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</si>
  <si>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</si>
  <si>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</si>
  <si>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</si>
  <si>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</si>
  <si>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</si>
  <si>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</si>
  <si>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</si>
  <si>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</si>
  <si>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</si>
  <si>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</si>
  <si>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配料员：</t>
  </si>
  <si>
    <t>2020.12.21</t>
  </si>
  <si>
    <t>（锅）</t>
  </si>
  <si>
    <t>头数</t>
  </si>
  <si>
    <t>牛品种</t>
  </si>
  <si>
    <t>发酵料</t>
  </si>
  <si>
    <t>甘蔗尾</t>
  </si>
  <si>
    <t>麦秆</t>
  </si>
  <si>
    <t>1上午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</si>
  <si>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</si>
  <si>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后期</t>
  </si>
  <si>
    <t>1下午</t>
  </si>
  <si>
    <t>2上午</t>
  </si>
  <si>
    <t>前期</t>
  </si>
  <si>
    <t>2下午</t>
  </si>
  <si>
    <t>3上午</t>
  </si>
  <si>
    <t>3.4.7.8.9.10.11</t>
  </si>
  <si>
    <t>母牛</t>
  </si>
  <si>
    <t>3下午</t>
  </si>
  <si>
    <t>2020.12.22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</si>
  <si>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</si>
  <si>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2020.12.23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</si>
  <si>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</si>
  <si>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2020.12.24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</si>
  <si>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</si>
  <si>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2020.12.25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</si>
  <si>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</si>
  <si>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2020.12.26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</si>
  <si>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</si>
  <si>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2020.12.27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</si>
  <si>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</si>
  <si>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2020.12.28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</si>
  <si>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</si>
  <si>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2020.12.29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</si>
  <si>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</si>
  <si>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2020.12.30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</si>
  <si>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</si>
  <si>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2020.12.31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</si>
  <si>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</si>
  <si>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</si>
  <si>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</si>
  <si>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</si>
  <si>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</si>
  <si>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2021.1.3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</si>
  <si>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</si>
  <si>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2020.1.4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</si>
  <si>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</si>
  <si>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2021.1.5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</si>
  <si>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</si>
  <si>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2021.1.6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</si>
  <si>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</si>
  <si>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2021.1.7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</si>
  <si>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</si>
  <si>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2021.1.8</t>
  </si>
  <si>
    <t>蔗尾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</si>
  <si>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</si>
  <si>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2021.1.9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</si>
  <si>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</si>
  <si>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2021.1.10</t>
  </si>
  <si>
    <t>奶油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</si>
  <si>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</si>
  <si>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2021.1.11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</si>
  <si>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</si>
  <si>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2021.1.12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</si>
  <si>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</si>
  <si>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2021.1.13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</si>
  <si>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</si>
  <si>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2021.1.14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</si>
  <si>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</si>
  <si>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2021.1.15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</si>
  <si>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</si>
  <si>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2021.1.16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</si>
  <si>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</si>
  <si>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2021.1.17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</si>
  <si>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</si>
  <si>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2021.1.18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</si>
  <si>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</si>
  <si>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6上午</t>
  </si>
  <si>
    <t>6下午</t>
  </si>
  <si>
    <t>7上午</t>
  </si>
  <si>
    <t>7下午</t>
  </si>
  <si>
    <t>2021.1.19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</si>
  <si>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</si>
  <si>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2021.1.20</t>
  </si>
  <si>
    <t>稻草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</si>
  <si>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</si>
  <si>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</si>
  <si>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</si>
  <si>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</si>
  <si>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2021.1.21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</si>
  <si>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</si>
  <si>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2021.1.22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</si>
  <si>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</si>
  <si>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2021.1.23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</si>
  <si>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</si>
  <si>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2021.1.24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</si>
  <si>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</si>
  <si>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2021.1.25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</si>
  <si>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</si>
  <si>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2021.1.26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</si>
  <si>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</si>
  <si>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2021.1.27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</si>
  <si>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</si>
  <si>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2021.1.28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</si>
  <si>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</si>
  <si>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2021.1.29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</si>
  <si>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</si>
  <si>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2021.1.30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</si>
  <si>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</si>
  <si>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2021.1.31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</si>
  <si>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</si>
  <si>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2021.2.1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</si>
  <si>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</si>
  <si>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2021.2.2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</si>
  <si>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</si>
  <si>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2021.2.3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</si>
  <si>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</si>
  <si>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2021.2.4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</si>
  <si>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</si>
  <si>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2021.2.5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</si>
  <si>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</si>
  <si>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2021.2.6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</si>
  <si>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</si>
  <si>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2021.2.7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</si>
  <si>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</si>
  <si>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2021.2.8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</si>
  <si>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</si>
  <si>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2021.2.9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</si>
  <si>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</si>
  <si>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2021.2.10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</si>
  <si>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</si>
  <si>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2021.2.11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</si>
  <si>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</si>
  <si>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2021.2.12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</si>
  <si>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</si>
  <si>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2021.2.13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</si>
  <si>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</si>
  <si>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</si>
  <si>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</si>
  <si>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</si>
  <si>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</si>
  <si>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</si>
  <si>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</si>
  <si>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</si>
  <si>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2021.2月汇总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</si>
  <si>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</si>
  <si>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</si>
  <si>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145包</t>
  </si>
  <si>
    <t>2021.2.21</t>
  </si>
  <si>
    <t>1.5.旧3</t>
  </si>
  <si>
    <t>2021.2.22</t>
  </si>
  <si>
    <t>2021.2.23</t>
  </si>
  <si>
    <t>2021.2.24</t>
  </si>
  <si>
    <t>1.5.旧3.2.13</t>
  </si>
  <si>
    <t>2021.2.25</t>
  </si>
  <si>
    <t>2021.2.26</t>
  </si>
  <si>
    <t>2021.2.27</t>
  </si>
  <si>
    <t>2021.2.28</t>
  </si>
  <si>
    <t>2021.3.1</t>
  </si>
  <si>
    <t>2021.3.2</t>
  </si>
  <si>
    <t>2021.3.3</t>
  </si>
  <si>
    <t>2021.3.4</t>
  </si>
  <si>
    <t>2021.3.5</t>
  </si>
  <si>
    <t>2021.3.6</t>
  </si>
  <si>
    <t>2021.3.7</t>
  </si>
  <si>
    <t>2021.3.8</t>
  </si>
  <si>
    <t>2021.3.9</t>
  </si>
  <si>
    <t>2021.3.10</t>
  </si>
  <si>
    <t>2021.3.15</t>
  </si>
  <si>
    <t>2021.3.16</t>
  </si>
  <si>
    <t>2021.3.17</t>
  </si>
  <si>
    <t>2021.3.18</t>
  </si>
  <si>
    <t>2021.3.19</t>
  </si>
  <si>
    <t>2021.3.20</t>
  </si>
  <si>
    <t>2021.3月汇总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</si>
  <si>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</si>
  <si>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155包</t>
  </si>
  <si>
    <t>少4天数估</t>
  </si>
  <si>
    <t>190包</t>
  </si>
  <si>
    <t>2021.3.21</t>
  </si>
  <si>
    <t>2021.3.22</t>
  </si>
  <si>
    <t>2021.3.23</t>
  </si>
  <si>
    <t>2021.3.24</t>
  </si>
  <si>
    <t>2021.3.25</t>
  </si>
  <si>
    <t>2021.3.26</t>
  </si>
  <si>
    <t>2021.3.27</t>
  </si>
  <si>
    <t>2021.3.29</t>
  </si>
  <si>
    <t>2021.3.30</t>
  </si>
  <si>
    <t>2021.3.31</t>
  </si>
  <si>
    <t>1.2.13</t>
  </si>
  <si>
    <t>2021.4.1</t>
  </si>
  <si>
    <t>2021.4.2</t>
  </si>
  <si>
    <t>2021.4.3</t>
  </si>
  <si>
    <t>2021.4.4</t>
  </si>
  <si>
    <t>2021.4.5</t>
  </si>
  <si>
    <t>2021.4.6</t>
  </si>
  <si>
    <t>2021.4.7</t>
  </si>
  <si>
    <t>2021.4.8</t>
  </si>
  <si>
    <t>2021.4.9</t>
  </si>
  <si>
    <t>2021.4.10</t>
  </si>
  <si>
    <t>2021.4.11</t>
  </si>
  <si>
    <t>2021.4.12</t>
  </si>
  <si>
    <t>2021.4.13</t>
  </si>
  <si>
    <t>2021.4.14</t>
  </si>
  <si>
    <t>2021.4.15</t>
  </si>
  <si>
    <t>2021.4.16</t>
  </si>
  <si>
    <t>2021.4.17</t>
  </si>
  <si>
    <t>2021.4.18</t>
  </si>
  <si>
    <t>2021.4.19</t>
  </si>
  <si>
    <t>2021.4.20</t>
  </si>
  <si>
    <t>2021.4月汇总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</si>
  <si>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</si>
  <si>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2021.4.21</t>
  </si>
  <si>
    <t>2021.4.22</t>
  </si>
  <si>
    <t>2021.4.23</t>
  </si>
  <si>
    <t>2021.4.24</t>
  </si>
  <si>
    <t>2021.4.25</t>
  </si>
  <si>
    <t>2021.4.26</t>
  </si>
  <si>
    <t>2021.4.27</t>
  </si>
  <si>
    <t>2021.4.29</t>
  </si>
  <si>
    <t>2021.4.30</t>
  </si>
  <si>
    <t>2021.5.1</t>
  </si>
  <si>
    <t>2021.5.2</t>
  </si>
  <si>
    <t>1.2.</t>
  </si>
  <si>
    <t>2021.5.3</t>
  </si>
  <si>
    <t>2021.5.4</t>
  </si>
  <si>
    <t>2021.5.5</t>
  </si>
  <si>
    <t>2021.5.6</t>
  </si>
  <si>
    <t>2021.5.7</t>
  </si>
  <si>
    <t>2021.5.8</t>
  </si>
  <si>
    <t>2021.5.9</t>
  </si>
  <si>
    <t>201.5.10</t>
  </si>
  <si>
    <t>2021.5.11</t>
  </si>
  <si>
    <t>2021.5.12</t>
  </si>
  <si>
    <t>2021.5.13</t>
  </si>
  <si>
    <t>2021.5.14</t>
  </si>
  <si>
    <t>2021.5.15</t>
  </si>
  <si>
    <t>2021.5.16</t>
  </si>
  <si>
    <t>2021.5.17</t>
  </si>
  <si>
    <t>2021.5.18</t>
  </si>
  <si>
    <t>201.5.19</t>
  </si>
  <si>
    <t>2021.5.20</t>
  </si>
  <si>
    <t>2021.5.21</t>
  </si>
  <si>
    <t>2021.5月汇总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</si>
  <si>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</si>
  <si>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2021.5.22</t>
  </si>
  <si>
    <t>2021.5.23</t>
  </si>
  <si>
    <t>2021.5.24</t>
  </si>
  <si>
    <t>2021.5.25</t>
  </si>
  <si>
    <t>2021.5.26</t>
  </si>
  <si>
    <t>2021.5.27</t>
  </si>
  <si>
    <t>2021.5.28</t>
  </si>
  <si>
    <t>2021.5.29</t>
  </si>
  <si>
    <t>2021.5.30</t>
  </si>
  <si>
    <t>2021.5.31</t>
  </si>
  <si>
    <t>2021.6.1</t>
  </si>
  <si>
    <t>2021.6.2</t>
  </si>
  <si>
    <t>2021.6.3</t>
  </si>
  <si>
    <t>2021.6.4</t>
  </si>
  <si>
    <t>2021.6.5</t>
  </si>
  <si>
    <t>2021.6.6</t>
  </si>
  <si>
    <t>2021.6.7</t>
  </si>
  <si>
    <t>开始喂菌</t>
  </si>
  <si>
    <t>2021.6.8</t>
  </si>
  <si>
    <t>2021.6.9</t>
  </si>
  <si>
    <t>2021.6.10</t>
  </si>
  <si>
    <t>2021.6.11</t>
  </si>
  <si>
    <t>2021.6.12</t>
  </si>
  <si>
    <t>下午开始喂稻草</t>
  </si>
  <si>
    <t>2021.6.13</t>
  </si>
  <si>
    <t>2021.6.14</t>
  </si>
  <si>
    <t>2021.6.15</t>
  </si>
  <si>
    <t>2021.6.16</t>
  </si>
  <si>
    <t>2021.6.17</t>
  </si>
  <si>
    <t>2021.6.18</t>
  </si>
  <si>
    <t>2021.6.19</t>
  </si>
  <si>
    <t>2021.6.20</t>
  </si>
  <si>
    <t>2021.6月汇总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</si>
  <si>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</si>
  <si>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2021.6.21</t>
  </si>
  <si>
    <t>2021.6.22</t>
  </si>
  <si>
    <t>2021.6.23</t>
  </si>
  <si>
    <t>2021.6.24</t>
  </si>
  <si>
    <t>2021.6.25</t>
  </si>
  <si>
    <t>2021.6.26</t>
  </si>
  <si>
    <t>2021.6.27</t>
  </si>
  <si>
    <t>2021.6.28</t>
  </si>
  <si>
    <t>2021.6.29</t>
  </si>
  <si>
    <t>2021.6.30</t>
  </si>
  <si>
    <t>2021.7.1</t>
  </si>
  <si>
    <t>2021.7.2</t>
  </si>
  <si>
    <t>2021.7.3</t>
  </si>
  <si>
    <t>2021.7.4</t>
  </si>
  <si>
    <t>2021.7.5</t>
  </si>
  <si>
    <t>2021.7.6</t>
  </si>
  <si>
    <t>2021.7.7</t>
  </si>
  <si>
    <t>2021.7.8</t>
  </si>
  <si>
    <t>2021.7.9</t>
  </si>
  <si>
    <t>2021.7.10</t>
  </si>
  <si>
    <t>2021.7.11</t>
  </si>
  <si>
    <t>2021.7.12</t>
  </si>
  <si>
    <t>2021.7.13</t>
  </si>
  <si>
    <t>菌液</t>
  </si>
  <si>
    <t>2021.7.14</t>
  </si>
  <si>
    <t>2021.7.15</t>
  </si>
  <si>
    <t>2021.7.16</t>
  </si>
  <si>
    <t>2021.7.17</t>
  </si>
  <si>
    <t>2021.7.18</t>
  </si>
  <si>
    <t>2021.7.19</t>
  </si>
  <si>
    <t>2021.7.20</t>
  </si>
  <si>
    <t>奕海</t>
  </si>
  <si>
    <t>2021.7月汇总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</si>
  <si>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</si>
  <si>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2021.7.21</t>
  </si>
  <si>
    <t>公牛喂实验配方</t>
  </si>
  <si>
    <t>2021.7.22</t>
  </si>
  <si>
    <t>2021.7.23</t>
  </si>
  <si>
    <t>2021.7.24</t>
  </si>
  <si>
    <t>2021.7.25</t>
  </si>
  <si>
    <t>2021.7.26</t>
  </si>
  <si>
    <t>2021.7.27</t>
  </si>
  <si>
    <t>2021.7.28</t>
  </si>
  <si>
    <t>2021.7.29</t>
  </si>
  <si>
    <t>2021.7.30</t>
  </si>
  <si>
    <t>2021.7.31</t>
  </si>
  <si>
    <t>2021.8.1</t>
  </si>
  <si>
    <t>2021.8.2</t>
  </si>
  <si>
    <t>2021.8.3</t>
  </si>
  <si>
    <t>2021.8.4</t>
  </si>
  <si>
    <t>2021.8.5</t>
  </si>
  <si>
    <t>2021.8.6</t>
  </si>
  <si>
    <t>2021.8.7</t>
  </si>
  <si>
    <t>2021.8.8</t>
  </si>
  <si>
    <t>2021.8.9</t>
  </si>
  <si>
    <t>2021.8.10</t>
  </si>
  <si>
    <t>2021.8.11</t>
  </si>
  <si>
    <t>2021.8.12</t>
  </si>
  <si>
    <t>2021.8.13</t>
  </si>
  <si>
    <t>2021.8.14</t>
  </si>
  <si>
    <t>2021.8.15</t>
  </si>
  <si>
    <t>2021.8.16</t>
  </si>
  <si>
    <t>2021.8.17</t>
  </si>
  <si>
    <t>2021.8.18</t>
  </si>
  <si>
    <t>2021.8.19</t>
  </si>
  <si>
    <t>2021.8.20</t>
  </si>
  <si>
    <t>2021.8月汇总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</si>
  <si>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</si>
  <si>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2021.8.21</t>
  </si>
  <si>
    <t>2021.8.22</t>
  </si>
  <si>
    <t>2021.8.23</t>
  </si>
  <si>
    <t>2021.8.24</t>
  </si>
  <si>
    <t>2021.8.25</t>
  </si>
  <si>
    <t>2021.8.26</t>
  </si>
  <si>
    <t>菌液用完</t>
  </si>
  <si>
    <t>2021.8.27</t>
  </si>
  <si>
    <t>2021.8.28</t>
  </si>
  <si>
    <t>2021.8.29</t>
  </si>
  <si>
    <t>2021.8.30</t>
  </si>
  <si>
    <t>150公斤母牛料</t>
  </si>
  <si>
    <t>2021.8.31</t>
  </si>
  <si>
    <t>2021.9.1</t>
  </si>
  <si>
    <t>2021.9.2</t>
  </si>
  <si>
    <t>2021.9.3</t>
  </si>
  <si>
    <t>2021.9.4</t>
  </si>
  <si>
    <t>2021.9.5</t>
  </si>
  <si>
    <t>2021.9.6</t>
  </si>
  <si>
    <t>2021.9.7</t>
  </si>
  <si>
    <t>2021.9.8</t>
  </si>
  <si>
    <t>2021.9.9</t>
  </si>
  <si>
    <t>2021.9.10</t>
  </si>
  <si>
    <t>2021.9.11</t>
  </si>
  <si>
    <t>2021.9.12</t>
  </si>
  <si>
    <t>开4号池</t>
  </si>
  <si>
    <t>2021.9.13</t>
  </si>
  <si>
    <t>2021.9.14</t>
  </si>
  <si>
    <t>加10栏母牛40头</t>
  </si>
  <si>
    <t>2021.9.15</t>
  </si>
  <si>
    <t>2021.9.16</t>
  </si>
  <si>
    <t>2021.9.17</t>
  </si>
  <si>
    <t>2021.9.18</t>
  </si>
  <si>
    <t>2021.9.19</t>
  </si>
  <si>
    <t>2021.9.20</t>
  </si>
  <si>
    <t>2021.9月汇总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</si>
  <si>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</si>
  <si>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2021.9.21</t>
  </si>
  <si>
    <t>2021.9.22</t>
  </si>
  <si>
    <t>菌100</t>
  </si>
  <si>
    <t>2021.9.23</t>
  </si>
  <si>
    <t>2021.9.24</t>
  </si>
  <si>
    <t>2021.9.25</t>
  </si>
  <si>
    <t>2021.9.26</t>
  </si>
  <si>
    <t>2021.9.27</t>
  </si>
  <si>
    <t>2021.9.28</t>
  </si>
  <si>
    <t>2021.9.29</t>
  </si>
  <si>
    <t>2021.9.30</t>
  </si>
  <si>
    <t>2021.10.1</t>
  </si>
  <si>
    <t>2021.10.2</t>
  </si>
  <si>
    <t>2021.10.3</t>
  </si>
  <si>
    <t>2021.10.4</t>
  </si>
  <si>
    <t>2021.10.5</t>
  </si>
  <si>
    <t>2021.10.6</t>
  </si>
  <si>
    <t>2021.10.7</t>
  </si>
  <si>
    <t>2021.10.8</t>
  </si>
  <si>
    <t>2021.10.09</t>
  </si>
  <si>
    <t>2021.10.10</t>
  </si>
  <si>
    <t>2021.10.11</t>
  </si>
  <si>
    <t>2021.10.12</t>
  </si>
  <si>
    <t>2021.10.13</t>
  </si>
  <si>
    <t>2021.10.14</t>
  </si>
  <si>
    <t>2021.10.15</t>
  </si>
  <si>
    <t>2021.10.16</t>
  </si>
  <si>
    <t>2021.10.17</t>
  </si>
  <si>
    <t>2021.10.18</t>
  </si>
  <si>
    <t>2021.10.19</t>
  </si>
  <si>
    <t>2021.10.21</t>
  </si>
  <si>
    <t>2021.10月汇总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</si>
  <si>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</si>
  <si>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2021.10.22</t>
  </si>
  <si>
    <t>2021.10.23</t>
  </si>
  <si>
    <t>2021.10.24</t>
  </si>
  <si>
    <t>1.2.旧1.3</t>
  </si>
  <si>
    <t>2021.10.25</t>
  </si>
  <si>
    <t>2021.10.26</t>
  </si>
  <si>
    <t>2021.10.27</t>
  </si>
  <si>
    <t>2021.10.28</t>
  </si>
  <si>
    <t>2021.10.29</t>
  </si>
  <si>
    <t>2021.10.30</t>
  </si>
  <si>
    <t>2021.10.31</t>
  </si>
  <si>
    <t>2021.11.1</t>
  </si>
  <si>
    <t>2021.11.2</t>
  </si>
  <si>
    <t>2021.11.3</t>
  </si>
  <si>
    <t>2021.11.04</t>
  </si>
  <si>
    <t>2021.11.5</t>
  </si>
  <si>
    <t>1.2.3</t>
  </si>
  <si>
    <t>2021.11.7</t>
  </si>
  <si>
    <t>2021.11.08</t>
  </si>
  <si>
    <t>2021.11.09</t>
  </si>
  <si>
    <t>2021.11.10</t>
  </si>
  <si>
    <t>2021.11.11</t>
  </si>
  <si>
    <t>2021.11.12</t>
  </si>
  <si>
    <t>2021.11.14</t>
  </si>
  <si>
    <t>2021.11.15</t>
  </si>
  <si>
    <t>2021.11.16</t>
  </si>
  <si>
    <t>2021.11.17</t>
  </si>
  <si>
    <t>2021.11.18</t>
  </si>
  <si>
    <t>2021.11.19</t>
  </si>
  <si>
    <t>2021.11.20</t>
  </si>
  <si>
    <t>优比特生物料1锅1包/40公斤</t>
  </si>
  <si>
    <t>.2.3</t>
  </si>
  <si>
    <t>2021.11月汇总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</si>
  <si>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</si>
  <si>
    <t>2021.11.21</t>
  </si>
  <si>
    <t>2021.11.22</t>
  </si>
  <si>
    <t>2021.11.23</t>
  </si>
  <si>
    <t>2021.11.24</t>
  </si>
  <si>
    <t>2021.11.25</t>
  </si>
  <si>
    <t>2021.11.26</t>
  </si>
  <si>
    <t>2021.11.27</t>
  </si>
  <si>
    <t>2021.11.28</t>
  </si>
  <si>
    <t>2021.11.29</t>
  </si>
  <si>
    <t>2021.11.30</t>
  </si>
  <si>
    <t>2021.12.1</t>
  </si>
  <si>
    <t>开新池</t>
  </si>
  <si>
    <t>.4.7.8.9.10.11</t>
  </si>
  <si>
    <t>2121.12.2</t>
  </si>
  <si>
    <t>2021.12.3</t>
  </si>
  <si>
    <t>2021.12.4</t>
  </si>
  <si>
    <t>2021.12.5</t>
  </si>
  <si>
    <t>2021.12.6</t>
  </si>
  <si>
    <t>2021.12.8</t>
  </si>
  <si>
    <t>2021.12.9</t>
  </si>
  <si>
    <t>2021.12.10</t>
  </si>
  <si>
    <t>2021.12.11</t>
  </si>
  <si>
    <t>2021.12.12</t>
  </si>
  <si>
    <t>2021.12.13</t>
  </si>
  <si>
    <t>2021.12.14</t>
  </si>
  <si>
    <t>2021.12.15</t>
  </si>
  <si>
    <t>2021.12.16</t>
  </si>
  <si>
    <t>2021.12.17</t>
  </si>
  <si>
    <t>2021.12.18</t>
  </si>
  <si>
    <t>2021.12月汇总</t>
  </si>
  <si>
    <r>
      <rPr>
        <rFont val="宋体"/>
        <color theme="1"/>
        <sz val="8.0"/>
      </rPr>
      <t>1</t>
    </r>
    <r>
      <rPr>
        <rFont val="宋体"/>
        <color theme="1"/>
        <sz val="8.0"/>
      </rPr>
      <t>.</t>
    </r>
    <r>
      <rPr>
        <rFont val="宋体"/>
        <color theme="1"/>
        <sz val="8.0"/>
      </rPr>
      <t>5</t>
    </r>
    <r>
      <rPr>
        <rFont val="宋体"/>
        <color theme="1"/>
        <sz val="8.0"/>
      </rPr>
      <t>.</t>
    </r>
    <r>
      <rPr>
        <rFont val="宋体"/>
        <color theme="1"/>
        <sz val="8.0"/>
      </rPr>
      <t>6旧</t>
    </r>
    <r>
      <rPr>
        <rFont val="宋体"/>
        <color theme="1"/>
        <sz val="8.0"/>
      </rPr>
      <t>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</si>
</sst>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_ "/>
    <numFmt numFmtId="165" formatCode="0.0_);[Red]\(0.0\)"/>
    <numFmt numFmtId="166" formatCode="0.0_ "/>
    <numFmt numFmtId="167" formatCode="0.00_);[Red]\(0.00\)"/>
  </numFmts>
  <fonts count="9">
    <font>
      <sz val="11.0"/>
      <color theme="1"/>
      <name val="Calibri"/>
      <scheme val="minor"/>
    </font>
    <font>
      <sz val="12.0"/>
      <color theme="1"/>
      <name val="SimSun"/>
    </font>
    <font/>
    <font>
      <b/>
      <sz val="14.0"/>
      <color theme="1"/>
      <name val="SimSun"/>
    </font>
    <font>
      <sz val="11.0"/>
      <color theme="1"/>
      <name val="SimSun"/>
    </font>
    <font>
      <b/>
      <sz val="11.0"/>
      <color theme="1"/>
      <name val="SimSun"/>
    </font>
    <font>
      <sz val="8.0"/>
      <color theme="1"/>
      <name val="SimSun"/>
    </font>
    <font>
      <color theme="1"/>
      <name val="Calibri"/>
      <scheme val="minor"/>
    </font>
    <font>
      <sz val="11.0"/>
      <color rgb="FFFF0000"/>
      <name val="SimSu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3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vertical="center"/>
    </xf>
    <xf borderId="5" fillId="0" fontId="5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6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5" fillId="2" fontId="4" numFmtId="0" xfId="0" applyAlignment="1" applyBorder="1" applyFill="1" applyFont="1">
      <alignment vertical="center"/>
    </xf>
    <xf borderId="9" fillId="2" fontId="4" numFmtId="0" xfId="0" applyAlignment="1" applyBorder="1" applyFont="1">
      <alignment vertical="center"/>
    </xf>
    <xf borderId="10" fillId="2" fontId="4" numFmtId="0" xfId="0" applyAlignment="1" applyBorder="1" applyFont="1">
      <alignment vertical="center"/>
    </xf>
    <xf borderId="11" fillId="2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2" fontId="4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8" fillId="0" fontId="4" numFmtId="0" xfId="0" applyAlignment="1" applyBorder="1" applyFont="1">
      <alignment shrinkToFit="0" vertical="center" wrapText="1"/>
    </xf>
    <xf borderId="16" fillId="2" fontId="4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14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8" fillId="2" fontId="4" numFmtId="0" xfId="0" applyAlignment="1" applyBorder="1" applyFont="1">
      <alignment vertical="center"/>
    </xf>
    <xf borderId="19" fillId="2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20" fillId="2" fontId="4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20" fillId="2" fontId="4" numFmtId="0" xfId="0" applyAlignment="1" applyBorder="1" applyFont="1">
      <alignment vertical="center"/>
    </xf>
    <xf borderId="0" fillId="0" fontId="4" numFmtId="165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21" fillId="0" fontId="4" numFmtId="0" xfId="0" applyAlignment="1" applyBorder="1" applyFont="1">
      <alignment vertical="center"/>
    </xf>
    <xf borderId="0" fillId="0" fontId="4" numFmtId="167" xfId="0" applyAlignment="1" applyFont="1" applyNumberFormat="1">
      <alignment horizontal="center" vertical="center"/>
    </xf>
    <xf borderId="22" fillId="0" fontId="4" numFmtId="0" xfId="0" applyAlignment="1" applyBorder="1" applyFont="1">
      <alignment shrinkToFit="0" vertical="center" wrapText="1"/>
    </xf>
    <xf borderId="23" fillId="2" fontId="4" numFmtId="0" xfId="0" applyAlignment="1" applyBorder="1" applyFont="1">
      <alignment vertical="center"/>
    </xf>
    <xf borderId="24" fillId="2" fontId="4" numFmtId="0" xfId="0" applyAlignment="1" applyBorder="1" applyFont="1">
      <alignment vertical="center"/>
    </xf>
    <xf borderId="25" fillId="2" fontId="4" numFmtId="0" xfId="0" applyAlignment="1" applyBorder="1" applyFont="1">
      <alignment vertical="center"/>
    </xf>
    <xf borderId="26" fillId="2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28" fillId="2" fontId="4" numFmtId="0" xfId="0" applyAlignment="1" applyBorder="1" applyFont="1">
      <alignment vertical="center"/>
    </xf>
    <xf borderId="8" fillId="0" fontId="4" numFmtId="0" xfId="0" applyAlignment="1" applyBorder="1" applyFont="1">
      <alignment horizontal="center" vertical="center"/>
    </xf>
    <xf borderId="16" fillId="2" fontId="8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18" fillId="2" fontId="8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1" fillId="0" fontId="2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4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14" width="10.71"/>
    <col customWidth="1" min="15" max="26" width="9.0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9.5" customHeight="1">
      <c r="A2" s="3" t="s">
        <v>1</v>
      </c>
      <c r="B2" s="4" t="s">
        <v>2</v>
      </c>
      <c r="C2" s="5"/>
      <c r="D2" s="4" t="s">
        <v>3</v>
      </c>
      <c r="E2" s="5"/>
      <c r="F2" s="4" t="s">
        <v>4</v>
      </c>
      <c r="G2" s="5"/>
      <c r="H2" s="4" t="s">
        <v>5</v>
      </c>
      <c r="I2" s="5"/>
      <c r="J2" s="4" t="s">
        <v>6</v>
      </c>
      <c r="K2" s="5"/>
      <c r="L2" s="4"/>
      <c r="M2" s="5"/>
      <c r="N2" s="6" t="s">
        <v>7</v>
      </c>
    </row>
    <row r="3" ht="19.5" customHeight="1">
      <c r="A3" s="7"/>
      <c r="B3" s="8" t="s">
        <v>8</v>
      </c>
      <c r="C3" s="8" t="s">
        <v>9</v>
      </c>
      <c r="D3" s="8" t="s">
        <v>8</v>
      </c>
      <c r="E3" s="8" t="s">
        <v>9</v>
      </c>
      <c r="F3" s="8" t="s">
        <v>8</v>
      </c>
      <c r="G3" s="8" t="s">
        <v>9</v>
      </c>
      <c r="H3" s="8" t="s">
        <v>8</v>
      </c>
      <c r="I3" s="8" t="s">
        <v>9</v>
      </c>
      <c r="J3" s="8" t="s">
        <v>8</v>
      </c>
      <c r="K3" s="8" t="s">
        <v>9</v>
      </c>
      <c r="L3" s="8" t="s">
        <v>8</v>
      </c>
      <c r="M3" s="8" t="s">
        <v>9</v>
      </c>
      <c r="N3" s="6"/>
    </row>
    <row r="4" ht="22.5" customHeight="1">
      <c r="A4" s="9" t="s">
        <v>10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22.5" customHeight="1">
      <c r="A5" s="9" t="s">
        <v>11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22.5" customHeight="1">
      <c r="A6" s="9" t="s">
        <v>12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22.5" customHeight="1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22.5" customHeight="1">
      <c r="A8" s="9" t="s">
        <v>14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22.5" customHeight="1">
      <c r="A9" s="9" t="s">
        <v>15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22.5" customHeight="1">
      <c r="A10" s="9" t="s">
        <v>16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22.5" customHeight="1">
      <c r="A11" s="9" t="s">
        <v>17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22.5" customHeight="1">
      <c r="A12" s="9" t="s">
        <v>18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22.5" customHeight="1">
      <c r="A13" s="9" t="s">
        <v>19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22.5" customHeight="1">
      <c r="A14" s="9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22.5" customHeight="1">
      <c r="A15" s="9" t="s">
        <v>21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22.5" customHeight="1">
      <c r="A16" s="9" t="s">
        <v>22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22.5" customHeight="1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22.5" customHeight="1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22.5" customHeight="1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22.5" customHeight="1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22.5" customHeight="1">
      <c r="A21" s="11" t="s">
        <v>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13.5" customHeight="1"/>
    <row r="23" ht="13.5" customHeight="1">
      <c r="K23" s="12" t="s">
        <v>23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printOptions/>
  <pageMargins bottom="0.3" footer="0.0" header="0.0" left="0.25" right="0.25" top="0.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6.0"/>
    <col customWidth="1" min="3" max="3" width="15.71"/>
    <col customWidth="1" min="4" max="4" width="18.0"/>
    <col customWidth="1" min="5" max="5" width="16.43"/>
    <col customWidth="1" min="6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24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28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 t="s">
        <v>32</v>
      </c>
      <c r="C4" s="20" t="s">
        <v>33</v>
      </c>
      <c r="D4" s="21">
        <v>480.0</v>
      </c>
      <c r="E4" s="10"/>
      <c r="F4" s="10">
        <v>700.0</v>
      </c>
      <c r="G4" s="22">
        <v>100.0</v>
      </c>
      <c r="H4" s="21"/>
      <c r="I4" s="23">
        <v>500.0</v>
      </c>
      <c r="J4" s="24">
        <v>300.0</v>
      </c>
      <c r="K4" s="25">
        <f t="shared" ref="K4:K7" si="1">SUM(D4:J4)</f>
        <v>2080</v>
      </c>
    </row>
    <row r="5" ht="15.0" customHeight="1">
      <c r="A5" s="26" t="s">
        <v>34</v>
      </c>
      <c r="B5" s="27"/>
      <c r="C5" s="28"/>
      <c r="D5" s="21">
        <v>380.0</v>
      </c>
      <c r="E5" s="10"/>
      <c r="F5" s="10">
        <v>700.0</v>
      </c>
      <c r="G5" s="22">
        <v>50.0</v>
      </c>
      <c r="H5" s="21">
        <v>320.0</v>
      </c>
      <c r="I5" s="29"/>
      <c r="J5" s="29">
        <v>50.0</v>
      </c>
      <c r="K5" s="25">
        <f t="shared" si="1"/>
        <v>1500</v>
      </c>
    </row>
    <row r="6" ht="13.5" customHeight="1">
      <c r="A6" s="18" t="s">
        <v>35</v>
      </c>
      <c r="B6" s="30">
        <v>2.0</v>
      </c>
      <c r="C6" s="31" t="s">
        <v>36</v>
      </c>
      <c r="D6" s="21">
        <v>380.0</v>
      </c>
      <c r="E6" s="10"/>
      <c r="F6" s="10">
        <v>700.0</v>
      </c>
      <c r="G6" s="32">
        <v>50.0</v>
      </c>
      <c r="H6" s="21">
        <v>650.0</v>
      </c>
      <c r="I6" s="22"/>
      <c r="J6" s="22">
        <v>120.0</v>
      </c>
      <c r="K6" s="25">
        <f t="shared" si="1"/>
        <v>1900</v>
      </c>
    </row>
    <row r="7" ht="13.5" customHeight="1">
      <c r="A7" s="26" t="s">
        <v>37</v>
      </c>
      <c r="B7" s="33"/>
      <c r="C7" s="34"/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580.0</v>
      </c>
      <c r="E8" s="10"/>
      <c r="F8" s="10"/>
      <c r="G8" s="32"/>
      <c r="H8" s="21">
        <v>4370.0</v>
      </c>
      <c r="I8" s="22"/>
      <c r="J8" s="22">
        <v>150.0</v>
      </c>
      <c r="K8" s="25"/>
    </row>
    <row r="9" ht="15.0" customHeight="1">
      <c r="A9" s="35" t="s">
        <v>41</v>
      </c>
      <c r="B9" s="27"/>
      <c r="C9" s="27"/>
      <c r="D9" s="21">
        <v>380.0</v>
      </c>
      <c r="E9" s="36"/>
      <c r="F9" s="37">
        <v>700.0</v>
      </c>
      <c r="G9" s="38">
        <v>50.0</v>
      </c>
      <c r="H9" s="21">
        <v>320.0</v>
      </c>
      <c r="I9" s="29"/>
      <c r="J9" s="39">
        <v>50.0</v>
      </c>
      <c r="K9" s="25">
        <f t="shared" ref="K9:K10" si="3">SUM(D9:J9)</f>
        <v>1500</v>
      </c>
    </row>
    <row r="10" ht="13.5" customHeight="1">
      <c r="A10" s="40" t="s">
        <v>7</v>
      </c>
      <c r="B10" s="40"/>
      <c r="C10" s="40"/>
      <c r="D10" s="10">
        <f t="shared" ref="D10:J10" si="2">SUM(D4:D9)</f>
        <v>2200</v>
      </c>
      <c r="E10" s="10">
        <f t="shared" si="2"/>
        <v>0</v>
      </c>
      <c r="F10" s="10">
        <f t="shared" si="2"/>
        <v>2800</v>
      </c>
      <c r="G10" s="10">
        <f t="shared" si="2"/>
        <v>250</v>
      </c>
      <c r="H10" s="10">
        <f t="shared" si="2"/>
        <v>5660</v>
      </c>
      <c r="I10" s="10">
        <f t="shared" si="2"/>
        <v>500</v>
      </c>
      <c r="J10" s="10">
        <f t="shared" si="2"/>
        <v>670</v>
      </c>
      <c r="K10" s="25">
        <f t="shared" si="3"/>
        <v>12080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42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 t="s">
        <v>43</v>
      </c>
      <c r="C14" s="20" t="s">
        <v>33</v>
      </c>
      <c r="D14" s="21">
        <v>480.0</v>
      </c>
      <c r="E14" s="10"/>
      <c r="F14" s="36">
        <v>900.0</v>
      </c>
      <c r="G14" s="32">
        <v>100.0</v>
      </c>
      <c r="H14" s="21">
        <v>920.0</v>
      </c>
      <c r="I14" s="23"/>
      <c r="J14" s="24">
        <v>100.0</v>
      </c>
      <c r="K14" s="25">
        <f t="shared" ref="K14:K20" si="4">SUM(D14:J14)</f>
        <v>2500</v>
      </c>
    </row>
    <row r="15" ht="13.5" customHeight="1">
      <c r="A15" s="26" t="s">
        <v>34</v>
      </c>
      <c r="B15" s="27"/>
      <c r="C15" s="28"/>
      <c r="D15" s="21">
        <v>480.0</v>
      </c>
      <c r="E15" s="10"/>
      <c r="F15" s="36">
        <v>900.0</v>
      </c>
      <c r="G15" s="22">
        <v>50.0</v>
      </c>
      <c r="H15" s="21">
        <v>470.0</v>
      </c>
      <c r="I15" s="29"/>
      <c r="J15" s="29">
        <v>100.0</v>
      </c>
      <c r="K15" s="25">
        <f t="shared" si="4"/>
        <v>2000</v>
      </c>
    </row>
    <row r="16" ht="13.5" customHeight="1">
      <c r="A16" s="18" t="s">
        <v>35</v>
      </c>
      <c r="B16" s="30">
        <v>2.0</v>
      </c>
      <c r="C16" s="31" t="s">
        <v>36</v>
      </c>
      <c r="D16" s="21">
        <v>360.0</v>
      </c>
      <c r="E16" s="10"/>
      <c r="F16" s="36">
        <v>800.0</v>
      </c>
      <c r="G16" s="32">
        <v>50.0</v>
      </c>
      <c r="H16" s="21"/>
      <c r="I16" s="23">
        <v>400.0</v>
      </c>
      <c r="J16" s="24"/>
      <c r="K16" s="25">
        <f t="shared" si="4"/>
        <v>1610</v>
      </c>
    </row>
    <row r="17" ht="13.5" customHeight="1">
      <c r="A17" s="26" t="s">
        <v>37</v>
      </c>
      <c r="B17" s="33"/>
      <c r="C17" s="34"/>
      <c r="D17" s="21"/>
      <c r="E17" s="36"/>
      <c r="F17" s="37"/>
      <c r="G17" s="22"/>
      <c r="H17" s="21"/>
      <c r="I17" s="29"/>
      <c r="J17" s="29"/>
      <c r="K17" s="25">
        <f t="shared" si="4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560.0</v>
      </c>
      <c r="E18" s="36"/>
      <c r="F18" s="41"/>
      <c r="G18" s="32"/>
      <c r="H18" s="21">
        <v>3410.0</v>
      </c>
      <c r="I18" s="23">
        <v>1000.0</v>
      </c>
      <c r="J18" s="24">
        <v>180.0</v>
      </c>
      <c r="K18" s="25">
        <f t="shared" si="4"/>
        <v>5150</v>
      </c>
    </row>
    <row r="19" ht="13.5" customHeight="1">
      <c r="A19" s="35" t="s">
        <v>41</v>
      </c>
      <c r="B19" s="27"/>
      <c r="C19" s="27"/>
      <c r="D19" s="21">
        <v>580.0</v>
      </c>
      <c r="E19" s="36"/>
      <c r="F19" s="37"/>
      <c r="G19" s="38"/>
      <c r="H19" s="21">
        <v>4620.0</v>
      </c>
      <c r="I19" s="29"/>
      <c r="J19" s="39">
        <v>150.0</v>
      </c>
      <c r="K19" s="25">
        <f t="shared" si="4"/>
        <v>5350</v>
      </c>
    </row>
    <row r="20" ht="13.5" customHeight="1">
      <c r="A20" s="40" t="s">
        <v>7</v>
      </c>
      <c r="B20" s="40"/>
      <c r="C20" s="40"/>
      <c r="D20" s="10">
        <f t="shared" ref="D20:J20" si="5">SUM(D14:D19)</f>
        <v>2460</v>
      </c>
      <c r="E20" s="10">
        <f t="shared" si="5"/>
        <v>0</v>
      </c>
      <c r="F20" s="10">
        <f t="shared" si="5"/>
        <v>2600</v>
      </c>
      <c r="G20" s="10">
        <f t="shared" si="5"/>
        <v>200</v>
      </c>
      <c r="H20" s="10">
        <f t="shared" si="5"/>
        <v>9420</v>
      </c>
      <c r="I20" s="10">
        <f t="shared" si="5"/>
        <v>1400</v>
      </c>
      <c r="J20" s="10">
        <f t="shared" si="5"/>
        <v>530</v>
      </c>
      <c r="K20" s="25">
        <f t="shared" si="4"/>
        <v>16610</v>
      </c>
    </row>
    <row r="21" ht="13.5" customHeight="1">
      <c r="A21" s="13" t="s">
        <v>44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 t="s">
        <v>45</v>
      </c>
      <c r="C23" s="20" t="s">
        <v>33</v>
      </c>
      <c r="D23" s="21">
        <v>470.0</v>
      </c>
      <c r="E23" s="10"/>
      <c r="F23" s="36">
        <v>900.0</v>
      </c>
      <c r="G23" s="32">
        <v>80.0</v>
      </c>
      <c r="H23" s="21">
        <v>550.0</v>
      </c>
      <c r="I23" s="23">
        <v>500.0</v>
      </c>
      <c r="J23" s="24">
        <v>100.0</v>
      </c>
      <c r="K23" s="25">
        <f t="shared" ref="K23:K29" si="6">SUM(D23:J23)</f>
        <v>2600</v>
      </c>
    </row>
    <row r="24" ht="13.5" customHeight="1">
      <c r="A24" s="26" t="s">
        <v>34</v>
      </c>
      <c r="B24" s="27"/>
      <c r="C24" s="28">
        <v>136.0</v>
      </c>
      <c r="D24" s="21">
        <v>550.0</v>
      </c>
      <c r="E24" s="10"/>
      <c r="F24" s="36">
        <v>700.0</v>
      </c>
      <c r="G24" s="22">
        <v>80.0</v>
      </c>
      <c r="H24" s="21">
        <v>490.0</v>
      </c>
      <c r="I24" s="29"/>
      <c r="J24" s="29">
        <v>80.0</v>
      </c>
      <c r="K24" s="25">
        <f t="shared" si="6"/>
        <v>1900</v>
      </c>
    </row>
    <row r="25" ht="13.5" customHeight="1">
      <c r="A25" s="18" t="s">
        <v>35</v>
      </c>
      <c r="B25" s="30">
        <v>2.0</v>
      </c>
      <c r="C25" s="31" t="s">
        <v>36</v>
      </c>
      <c r="D25" s="21">
        <v>380.0</v>
      </c>
      <c r="E25" s="36"/>
      <c r="F25" s="41">
        <v>800.0</v>
      </c>
      <c r="G25" s="32">
        <v>50.0</v>
      </c>
      <c r="H25" s="21">
        <v>750.0</v>
      </c>
      <c r="I25" s="23"/>
      <c r="J25" s="24">
        <v>120.0</v>
      </c>
      <c r="K25" s="25">
        <f t="shared" si="6"/>
        <v>2100</v>
      </c>
    </row>
    <row r="26" ht="13.5" customHeight="1">
      <c r="A26" s="26" t="s">
        <v>37</v>
      </c>
      <c r="B26" s="33"/>
      <c r="C26" s="34">
        <v>91.0</v>
      </c>
      <c r="D26" s="21"/>
      <c r="E26" s="36"/>
      <c r="F26" s="37"/>
      <c r="G26" s="38"/>
      <c r="H26" s="21"/>
      <c r="I26" s="29"/>
      <c r="J26" s="39"/>
      <c r="K26" s="25">
        <f t="shared" si="6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560.0</v>
      </c>
      <c r="E27" s="36"/>
      <c r="F27" s="41"/>
      <c r="G27" s="32"/>
      <c r="H27" s="21">
        <v>3140.0</v>
      </c>
      <c r="I27" s="23">
        <v>1400.0</v>
      </c>
      <c r="J27" s="24">
        <v>150.0</v>
      </c>
      <c r="K27" s="25">
        <f t="shared" si="6"/>
        <v>5250</v>
      </c>
    </row>
    <row r="28" ht="13.5" customHeight="1">
      <c r="A28" s="35" t="s">
        <v>41</v>
      </c>
      <c r="B28" s="27"/>
      <c r="C28" s="27"/>
      <c r="D28" s="21">
        <v>560.0</v>
      </c>
      <c r="E28" s="36"/>
      <c r="F28" s="37"/>
      <c r="G28" s="22"/>
      <c r="H28" s="21">
        <v>4530.0</v>
      </c>
      <c r="I28" s="29"/>
      <c r="J28" s="29">
        <v>170.0</v>
      </c>
      <c r="K28" s="25">
        <f t="shared" si="6"/>
        <v>5260</v>
      </c>
    </row>
    <row r="29" ht="13.5" customHeight="1">
      <c r="A29" s="40" t="s">
        <v>7</v>
      </c>
      <c r="B29" s="40"/>
      <c r="C29" s="40">
        <v>563.0</v>
      </c>
      <c r="D29" s="10">
        <f t="shared" ref="D29:J29" si="7">SUM(D23:D28)</f>
        <v>2520</v>
      </c>
      <c r="E29" s="10">
        <f t="shared" si="7"/>
        <v>0</v>
      </c>
      <c r="F29" s="10">
        <f t="shared" si="7"/>
        <v>2400</v>
      </c>
      <c r="G29" s="10">
        <f t="shared" si="7"/>
        <v>210</v>
      </c>
      <c r="H29" s="10">
        <f t="shared" si="7"/>
        <v>9460</v>
      </c>
      <c r="I29" s="10">
        <f t="shared" si="7"/>
        <v>1900</v>
      </c>
      <c r="J29" s="10">
        <f t="shared" si="7"/>
        <v>620</v>
      </c>
      <c r="K29" s="25">
        <f t="shared" si="6"/>
        <v>17110</v>
      </c>
    </row>
    <row r="30" ht="13.5" customHeight="1">
      <c r="A30" s="13" t="s">
        <v>46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 t="s">
        <v>47</v>
      </c>
      <c r="C32" s="20" t="s">
        <v>33</v>
      </c>
      <c r="D32" s="21">
        <v>460.0</v>
      </c>
      <c r="E32" s="10"/>
      <c r="F32" s="36">
        <v>800.0</v>
      </c>
      <c r="G32" s="32">
        <v>80.0</v>
      </c>
      <c r="H32" s="21">
        <v>890.0</v>
      </c>
      <c r="I32" s="23"/>
      <c r="J32" s="24">
        <v>120.0</v>
      </c>
      <c r="K32" s="25">
        <f t="shared" ref="K32:K37" si="8">SUM(D32:J32)</f>
        <v>2350</v>
      </c>
    </row>
    <row r="33" ht="13.5" customHeight="1">
      <c r="A33" s="26" t="s">
        <v>34</v>
      </c>
      <c r="B33" s="27"/>
      <c r="C33" s="28">
        <v>136.0</v>
      </c>
      <c r="D33" s="21">
        <v>500.0</v>
      </c>
      <c r="E33" s="10"/>
      <c r="F33" s="36">
        <v>900.0</v>
      </c>
      <c r="G33" s="22">
        <v>50.0</v>
      </c>
      <c r="H33" s="21">
        <v>370.0</v>
      </c>
      <c r="I33" s="21"/>
      <c r="J33" s="29">
        <v>80.0</v>
      </c>
      <c r="K33" s="25">
        <f t="shared" si="8"/>
        <v>1900</v>
      </c>
    </row>
    <row r="34" ht="13.5" customHeight="1">
      <c r="A34" s="18" t="s">
        <v>35</v>
      </c>
      <c r="B34" s="30">
        <v>2.0</v>
      </c>
      <c r="C34" s="31" t="s">
        <v>36</v>
      </c>
      <c r="D34" s="21">
        <v>360.0</v>
      </c>
      <c r="E34" s="10"/>
      <c r="F34" s="36">
        <v>800.0</v>
      </c>
      <c r="G34" s="32">
        <v>50.0</v>
      </c>
      <c r="H34" s="21">
        <v>390.0</v>
      </c>
      <c r="I34" s="21"/>
      <c r="J34" s="24">
        <v>100.0</v>
      </c>
      <c r="K34" s="25">
        <f t="shared" si="8"/>
        <v>1700</v>
      </c>
    </row>
    <row r="35" ht="13.5" customHeight="1">
      <c r="A35" s="26" t="s">
        <v>37</v>
      </c>
      <c r="B35" s="33"/>
      <c r="C35" s="34">
        <v>91.0</v>
      </c>
      <c r="D35" s="21"/>
      <c r="E35" s="36"/>
      <c r="F35" s="36"/>
      <c r="G35" s="38"/>
      <c r="H35" s="21"/>
      <c r="I35" s="21"/>
      <c r="J35" s="29"/>
      <c r="K35" s="25">
        <f t="shared" si="8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560.0</v>
      </c>
      <c r="E36" s="10"/>
      <c r="F36" s="41"/>
      <c r="G36" s="32"/>
      <c r="H36" s="21">
        <v>3440.0</v>
      </c>
      <c r="I36" s="21">
        <v>1100.0</v>
      </c>
      <c r="J36" s="24">
        <v>180.0</v>
      </c>
      <c r="K36" s="25">
        <f t="shared" si="8"/>
        <v>5280</v>
      </c>
    </row>
    <row r="37" ht="13.5" customHeight="1">
      <c r="A37" s="35" t="s">
        <v>41</v>
      </c>
      <c r="B37" s="27"/>
      <c r="C37" s="27"/>
      <c r="D37" s="21">
        <v>560.0</v>
      </c>
      <c r="E37" s="36"/>
      <c r="F37" s="37"/>
      <c r="G37" s="22"/>
      <c r="H37" s="21">
        <v>4720.0</v>
      </c>
      <c r="I37" s="29"/>
      <c r="J37" s="39">
        <v>150.0</v>
      </c>
      <c r="K37" s="25">
        <f t="shared" si="8"/>
        <v>5430</v>
      </c>
    </row>
    <row r="38" ht="13.5" customHeight="1">
      <c r="A38" s="40" t="s">
        <v>7</v>
      </c>
      <c r="B38" s="40"/>
      <c r="C38" s="40">
        <v>563.0</v>
      </c>
      <c r="D38" s="10">
        <f t="shared" ref="D38:K38" si="9">SUM(D32:D37)</f>
        <v>2440</v>
      </c>
      <c r="E38" s="10">
        <f t="shared" si="9"/>
        <v>0</v>
      </c>
      <c r="F38" s="10">
        <f t="shared" si="9"/>
        <v>2500</v>
      </c>
      <c r="G38" s="10">
        <f t="shared" si="9"/>
        <v>180</v>
      </c>
      <c r="H38" s="10">
        <f t="shared" si="9"/>
        <v>9810</v>
      </c>
      <c r="I38" s="10">
        <f t="shared" si="9"/>
        <v>1100</v>
      </c>
      <c r="J38" s="10">
        <f t="shared" si="9"/>
        <v>630</v>
      </c>
      <c r="K38" s="10">
        <f t="shared" si="9"/>
        <v>16660</v>
      </c>
    </row>
    <row r="39" ht="13.5" customHeight="1">
      <c r="A39" s="42" t="s">
        <v>48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 t="s">
        <v>49</v>
      </c>
      <c r="C41" s="20" t="s">
        <v>33</v>
      </c>
      <c r="D41" s="21">
        <v>450.0</v>
      </c>
      <c r="E41" s="10"/>
      <c r="F41" s="36">
        <v>800.0</v>
      </c>
      <c r="G41" s="32">
        <v>80.0</v>
      </c>
      <c r="H41" s="21">
        <v>420.0</v>
      </c>
      <c r="I41" s="21"/>
      <c r="J41" s="24">
        <v>100.0</v>
      </c>
      <c r="K41" s="25">
        <f t="shared" ref="K41:K47" si="10">SUM(D41:J41)</f>
        <v>1850</v>
      </c>
    </row>
    <row r="42" ht="13.5" customHeight="1">
      <c r="A42" s="26" t="s">
        <v>34</v>
      </c>
      <c r="B42" s="27"/>
      <c r="C42" s="28">
        <v>136.0</v>
      </c>
      <c r="D42" s="21">
        <v>550.0</v>
      </c>
      <c r="E42" s="10"/>
      <c r="F42" s="36">
        <v>800.0</v>
      </c>
      <c r="G42" s="22">
        <v>50.0</v>
      </c>
      <c r="H42" s="21">
        <v>450.0</v>
      </c>
      <c r="I42" s="21"/>
      <c r="J42" s="29">
        <v>50.0</v>
      </c>
      <c r="K42" s="25">
        <f t="shared" si="10"/>
        <v>1900</v>
      </c>
    </row>
    <row r="43" ht="13.5" customHeight="1">
      <c r="A43" s="18" t="s">
        <v>35</v>
      </c>
      <c r="B43" s="30">
        <v>2.0</v>
      </c>
      <c r="C43" s="31" t="s">
        <v>36</v>
      </c>
      <c r="D43" s="21">
        <v>360.0</v>
      </c>
      <c r="E43" s="10"/>
      <c r="F43" s="36">
        <v>900.0</v>
      </c>
      <c r="G43" s="32">
        <v>50.0</v>
      </c>
      <c r="H43" s="21">
        <v>490.0</v>
      </c>
      <c r="I43" s="21"/>
      <c r="J43" s="24">
        <v>100.0</v>
      </c>
      <c r="K43" s="25">
        <f t="shared" si="10"/>
        <v>1900</v>
      </c>
    </row>
    <row r="44" ht="13.5" customHeight="1">
      <c r="A44" s="26" t="s">
        <v>37</v>
      </c>
      <c r="B44" s="33"/>
      <c r="C44" s="34">
        <v>91.0</v>
      </c>
      <c r="D44" s="21"/>
      <c r="E44" s="10"/>
      <c r="F44" s="36"/>
      <c r="G44" s="38"/>
      <c r="H44" s="21"/>
      <c r="I44" s="21"/>
      <c r="J44" s="29"/>
      <c r="K44" s="25">
        <f t="shared" si="10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560.0</v>
      </c>
      <c r="E45" s="36"/>
      <c r="F45" s="41"/>
      <c r="G45" s="32"/>
      <c r="H45" s="21">
        <v>4670.0</v>
      </c>
      <c r="I45" s="21"/>
      <c r="J45" s="24">
        <v>170.0</v>
      </c>
      <c r="K45" s="25">
        <f t="shared" si="10"/>
        <v>5400</v>
      </c>
    </row>
    <row r="46" ht="13.5" customHeight="1">
      <c r="A46" s="35" t="s">
        <v>41</v>
      </c>
      <c r="B46" s="27"/>
      <c r="C46" s="27"/>
      <c r="D46" s="21">
        <v>560.0</v>
      </c>
      <c r="E46" s="36"/>
      <c r="F46" s="37"/>
      <c r="G46" s="38"/>
      <c r="H46" s="21">
        <v>4420.0</v>
      </c>
      <c r="I46" s="21"/>
      <c r="J46" s="39">
        <v>200.0</v>
      </c>
      <c r="K46" s="25">
        <f t="shared" si="10"/>
        <v>5180</v>
      </c>
    </row>
    <row r="47" ht="13.5" customHeight="1">
      <c r="A47" s="40" t="s">
        <v>7</v>
      </c>
      <c r="B47" s="40"/>
      <c r="C47" s="40">
        <v>563.0</v>
      </c>
      <c r="D47" s="10">
        <f t="shared" ref="D47:J47" si="11">SUM(D41:D46)</f>
        <v>2480</v>
      </c>
      <c r="E47" s="10">
        <f t="shared" si="11"/>
        <v>0</v>
      </c>
      <c r="F47" s="10">
        <f t="shared" si="11"/>
        <v>2500</v>
      </c>
      <c r="G47" s="10">
        <f t="shared" si="11"/>
        <v>180</v>
      </c>
      <c r="H47" s="10">
        <f t="shared" si="11"/>
        <v>10450</v>
      </c>
      <c r="I47" s="10">
        <f t="shared" si="11"/>
        <v>0</v>
      </c>
      <c r="J47" s="10">
        <f t="shared" si="11"/>
        <v>620</v>
      </c>
      <c r="K47" s="25">
        <f t="shared" si="10"/>
        <v>16230</v>
      </c>
    </row>
    <row r="48" ht="13.5" customHeight="1">
      <c r="A48" s="13" t="s">
        <v>50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 t="s">
        <v>51</v>
      </c>
      <c r="C50" s="20" t="s">
        <v>33</v>
      </c>
      <c r="D50" s="21">
        <v>550.0</v>
      </c>
      <c r="E50" s="10"/>
      <c r="F50" s="36">
        <v>900.0</v>
      </c>
      <c r="G50" s="32">
        <v>80.0</v>
      </c>
      <c r="H50" s="21">
        <v>670.0</v>
      </c>
      <c r="I50" s="21"/>
      <c r="J50" s="24">
        <v>100.0</v>
      </c>
      <c r="K50" s="25">
        <f t="shared" ref="K50:K56" si="12">SUM(D50:J50)</f>
        <v>2300</v>
      </c>
    </row>
    <row r="51" ht="13.5" customHeight="1">
      <c r="A51" s="26" t="s">
        <v>34</v>
      </c>
      <c r="B51" s="27"/>
      <c r="C51" s="28">
        <v>136.0</v>
      </c>
      <c r="D51" s="21">
        <v>450.0</v>
      </c>
      <c r="E51" s="10">
        <v>120.0</v>
      </c>
      <c r="F51" s="36">
        <v>900.0</v>
      </c>
      <c r="G51" s="22">
        <v>80.0</v>
      </c>
      <c r="H51" s="21">
        <v>520.0</v>
      </c>
      <c r="I51" s="21"/>
      <c r="J51" s="29">
        <v>50.0</v>
      </c>
      <c r="K51" s="25">
        <f t="shared" si="12"/>
        <v>2120</v>
      </c>
    </row>
    <row r="52" ht="13.5" customHeight="1">
      <c r="A52" s="18" t="s">
        <v>35</v>
      </c>
      <c r="B52" s="30">
        <v>2.0</v>
      </c>
      <c r="C52" s="31" t="s">
        <v>36</v>
      </c>
      <c r="D52" s="21">
        <v>360.0</v>
      </c>
      <c r="E52" s="10"/>
      <c r="F52" s="36">
        <v>800.0</v>
      </c>
      <c r="G52" s="38">
        <v>50.0</v>
      </c>
      <c r="H52" s="21">
        <v>690.0</v>
      </c>
      <c r="I52" s="21"/>
      <c r="J52" s="29">
        <v>100.0</v>
      </c>
      <c r="K52" s="25">
        <f t="shared" si="12"/>
        <v>2000</v>
      </c>
    </row>
    <row r="53" ht="13.5" customHeight="1">
      <c r="A53" s="26" t="s">
        <v>37</v>
      </c>
      <c r="B53" s="33"/>
      <c r="C53" s="34">
        <v>91.0</v>
      </c>
      <c r="D53" s="21"/>
      <c r="E53" s="10"/>
      <c r="F53" s="36"/>
      <c r="G53" s="38"/>
      <c r="H53" s="21"/>
      <c r="I53" s="21"/>
      <c r="J53" s="29"/>
      <c r="K53" s="25">
        <f t="shared" si="12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560.0</v>
      </c>
      <c r="E54" s="36">
        <v>120.0</v>
      </c>
      <c r="F54" s="41"/>
      <c r="G54" s="32"/>
      <c r="H54" s="21">
        <v>4590.0</v>
      </c>
      <c r="I54" s="21"/>
      <c r="J54" s="24">
        <v>180.0</v>
      </c>
      <c r="K54" s="25">
        <f t="shared" si="12"/>
        <v>5450</v>
      </c>
    </row>
    <row r="55" ht="13.5" customHeight="1">
      <c r="A55" s="35" t="s">
        <v>41</v>
      </c>
      <c r="B55" s="27"/>
      <c r="C55" s="27"/>
      <c r="D55" s="21"/>
      <c r="E55" s="36"/>
      <c r="F55" s="37"/>
      <c r="G55" s="38"/>
      <c r="H55" s="21"/>
      <c r="I55" s="21"/>
      <c r="J55" s="39"/>
      <c r="K55" s="25">
        <f t="shared" si="12"/>
        <v>0</v>
      </c>
    </row>
    <row r="56" ht="13.5" customHeight="1">
      <c r="A56" s="40" t="s">
        <v>7</v>
      </c>
      <c r="B56" s="40"/>
      <c r="C56" s="40">
        <v>563.0</v>
      </c>
      <c r="D56" s="10">
        <f t="shared" ref="D56:J56" si="13">SUM(D50:D55)</f>
        <v>1920</v>
      </c>
      <c r="E56" s="10">
        <f t="shared" si="13"/>
        <v>240</v>
      </c>
      <c r="F56" s="10">
        <f t="shared" si="13"/>
        <v>2600</v>
      </c>
      <c r="G56" s="10">
        <f t="shared" si="13"/>
        <v>210</v>
      </c>
      <c r="H56" s="10">
        <f t="shared" si="13"/>
        <v>6470</v>
      </c>
      <c r="I56" s="10">
        <f t="shared" si="13"/>
        <v>0</v>
      </c>
      <c r="J56" s="10">
        <f t="shared" si="13"/>
        <v>430</v>
      </c>
      <c r="K56" s="25">
        <f t="shared" si="12"/>
        <v>11870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52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 t="s">
        <v>53</v>
      </c>
      <c r="C60" s="20" t="s">
        <v>33</v>
      </c>
      <c r="D60" s="21">
        <v>460.0</v>
      </c>
      <c r="E60" s="10">
        <v>120.0</v>
      </c>
      <c r="F60" s="36">
        <v>900.0</v>
      </c>
      <c r="G60" s="21">
        <v>80.0</v>
      </c>
      <c r="H60" s="10">
        <v>760.0</v>
      </c>
      <c r="I60" s="10"/>
      <c r="J60" s="24">
        <v>100.0</v>
      </c>
      <c r="K60" s="25">
        <f t="shared" ref="K60:K66" si="14">SUM(D60:J60)</f>
        <v>2420</v>
      </c>
    </row>
    <row r="61" ht="13.5" customHeight="1">
      <c r="A61" s="26" t="s">
        <v>34</v>
      </c>
      <c r="B61" s="27"/>
      <c r="C61" s="28">
        <v>136.0</v>
      </c>
      <c r="D61" s="21">
        <v>500.0</v>
      </c>
      <c r="E61" s="10"/>
      <c r="F61" s="36">
        <v>900.0</v>
      </c>
      <c r="G61" s="21">
        <v>80.0</v>
      </c>
      <c r="H61" s="10">
        <v>570.0</v>
      </c>
      <c r="I61" s="10"/>
      <c r="J61" s="29">
        <v>50.0</v>
      </c>
      <c r="K61" s="25">
        <f t="shared" si="14"/>
        <v>2100</v>
      </c>
    </row>
    <row r="62" ht="13.5" customHeight="1">
      <c r="A62" s="18" t="s">
        <v>35</v>
      </c>
      <c r="B62" s="30">
        <v>2.0</v>
      </c>
      <c r="C62" s="31" t="s">
        <v>36</v>
      </c>
      <c r="D62" s="21">
        <v>370.0</v>
      </c>
      <c r="E62" s="10">
        <v>120.0</v>
      </c>
      <c r="F62" s="36">
        <v>900.0</v>
      </c>
      <c r="G62" s="21">
        <v>50.0</v>
      </c>
      <c r="H62" s="10">
        <v>500.0</v>
      </c>
      <c r="I62" s="10"/>
      <c r="J62" s="24">
        <v>80.0</v>
      </c>
      <c r="K62" s="25">
        <f t="shared" si="14"/>
        <v>2020</v>
      </c>
    </row>
    <row r="63" ht="13.5" customHeight="1">
      <c r="A63" s="26" t="s">
        <v>37</v>
      </c>
      <c r="B63" s="33"/>
      <c r="C63" s="34">
        <v>91.0</v>
      </c>
      <c r="D63" s="21"/>
      <c r="E63" s="36"/>
      <c r="F63" s="36"/>
      <c r="G63" s="21"/>
      <c r="H63" s="10"/>
      <c r="I63" s="10"/>
      <c r="J63" s="29"/>
      <c r="K63" s="25">
        <f t="shared" si="14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570.0</v>
      </c>
      <c r="E64" s="43">
        <v>120.0</v>
      </c>
      <c r="G64" s="21"/>
      <c r="H64" s="10">
        <v>4650.0</v>
      </c>
      <c r="I64" s="10"/>
      <c r="J64" s="24">
        <v>180.0</v>
      </c>
      <c r="K64" s="25">
        <f t="shared" si="14"/>
        <v>5520</v>
      </c>
    </row>
    <row r="65" ht="13.5" customHeight="1">
      <c r="A65" s="35" t="s">
        <v>41</v>
      </c>
      <c r="B65" s="27"/>
      <c r="C65" s="27"/>
      <c r="D65" s="21">
        <v>500.0</v>
      </c>
      <c r="E65" s="36"/>
      <c r="F65" s="36">
        <v>900.0</v>
      </c>
      <c r="G65" s="21">
        <v>80.0</v>
      </c>
      <c r="H65" s="10">
        <v>570.0</v>
      </c>
      <c r="I65" s="10"/>
      <c r="J65" s="39">
        <v>50.0</v>
      </c>
      <c r="K65" s="25">
        <f t="shared" si="14"/>
        <v>2100</v>
      </c>
    </row>
    <row r="66" ht="13.5" customHeight="1">
      <c r="A66" s="40" t="s">
        <v>7</v>
      </c>
      <c r="B66" s="40"/>
      <c r="C66" s="40">
        <v>563.0</v>
      </c>
      <c r="D66" s="10">
        <f t="shared" ref="D66:J66" si="15">SUM(D60:D65)</f>
        <v>2400</v>
      </c>
      <c r="E66" s="10">
        <f t="shared" si="15"/>
        <v>360</v>
      </c>
      <c r="F66" s="10">
        <f t="shared" si="15"/>
        <v>3600</v>
      </c>
      <c r="G66" s="10">
        <f t="shared" si="15"/>
        <v>290</v>
      </c>
      <c r="H66" s="10">
        <f t="shared" si="15"/>
        <v>7050</v>
      </c>
      <c r="I66" s="10">
        <f t="shared" si="15"/>
        <v>0</v>
      </c>
      <c r="J66" s="10">
        <f t="shared" si="15"/>
        <v>460</v>
      </c>
      <c r="K66" s="25">
        <f t="shared" si="14"/>
        <v>14160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54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 t="s">
        <v>55</v>
      </c>
      <c r="C70" s="20" t="s">
        <v>33</v>
      </c>
      <c r="D70" s="21">
        <v>460.0</v>
      </c>
      <c r="E70" s="10">
        <v>120.0</v>
      </c>
      <c r="F70" s="36">
        <v>900.0</v>
      </c>
      <c r="G70" s="21">
        <v>80.0</v>
      </c>
      <c r="H70" s="10">
        <v>860.0</v>
      </c>
      <c r="I70" s="10"/>
      <c r="J70" s="24">
        <v>100.0</v>
      </c>
      <c r="K70" s="25">
        <f t="shared" ref="K70:K76" si="16">SUM(D70:J70)</f>
        <v>2520</v>
      </c>
    </row>
    <row r="71" ht="13.5" customHeight="1">
      <c r="A71" s="26" t="s">
        <v>34</v>
      </c>
      <c r="B71" s="27"/>
      <c r="C71" s="28">
        <v>136.0</v>
      </c>
      <c r="D71" s="21">
        <v>470.0</v>
      </c>
      <c r="E71" s="10"/>
      <c r="F71" s="36">
        <v>900.0</v>
      </c>
      <c r="G71" s="21">
        <v>50.0</v>
      </c>
      <c r="H71" s="10">
        <v>680.0</v>
      </c>
      <c r="I71" s="10"/>
      <c r="J71" s="29">
        <v>50.0</v>
      </c>
      <c r="K71" s="25">
        <f t="shared" si="16"/>
        <v>2150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6"/>
        <v>0</v>
      </c>
    </row>
    <row r="73" ht="13.5" customHeight="1">
      <c r="A73" s="26" t="s">
        <v>37</v>
      </c>
      <c r="B73" s="33"/>
      <c r="C73" s="34">
        <v>91.0</v>
      </c>
      <c r="D73" s="21"/>
      <c r="E73" s="10"/>
      <c r="F73" s="36"/>
      <c r="G73" s="21"/>
      <c r="H73" s="10"/>
      <c r="I73" s="10"/>
      <c r="J73" s="29"/>
      <c r="K73" s="25">
        <f t="shared" si="16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560.0</v>
      </c>
      <c r="E74" s="10">
        <v>120.0</v>
      </c>
      <c r="F74" s="10"/>
      <c r="G74" s="21"/>
      <c r="H74" s="10">
        <v>4750.0</v>
      </c>
      <c r="I74" s="10"/>
      <c r="J74" s="24">
        <v>150.0</v>
      </c>
      <c r="K74" s="25">
        <f t="shared" si="16"/>
        <v>5580</v>
      </c>
    </row>
    <row r="75" ht="13.5" customHeight="1">
      <c r="A75" s="35" t="s">
        <v>41</v>
      </c>
      <c r="B75" s="27"/>
      <c r="C75" s="27"/>
      <c r="D75" s="21">
        <v>560.0</v>
      </c>
      <c r="E75" s="36"/>
      <c r="F75" s="36"/>
      <c r="G75" s="21"/>
      <c r="H75" s="10">
        <v>4770.0</v>
      </c>
      <c r="I75" s="10"/>
      <c r="J75" s="39">
        <v>150.0</v>
      </c>
      <c r="K75" s="25">
        <f t="shared" si="16"/>
        <v>5480</v>
      </c>
    </row>
    <row r="76" ht="13.5" customHeight="1">
      <c r="A76" s="40" t="s">
        <v>7</v>
      </c>
      <c r="B76" s="40"/>
      <c r="C76" s="40">
        <v>563.0</v>
      </c>
      <c r="D76" s="40">
        <f t="shared" ref="D76:J76" si="17">SUM(D70:D75)</f>
        <v>2050</v>
      </c>
      <c r="E76" s="40">
        <f t="shared" si="17"/>
        <v>240</v>
      </c>
      <c r="F76" s="40">
        <f t="shared" si="17"/>
        <v>1800</v>
      </c>
      <c r="G76" s="40">
        <f t="shared" si="17"/>
        <v>130</v>
      </c>
      <c r="H76" s="40">
        <f t="shared" si="17"/>
        <v>11060</v>
      </c>
      <c r="I76" s="40">
        <f t="shared" si="17"/>
        <v>0</v>
      </c>
      <c r="J76" s="40">
        <f t="shared" si="17"/>
        <v>450</v>
      </c>
      <c r="K76" s="25">
        <f t="shared" si="16"/>
        <v>15730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56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 t="s">
        <v>57</v>
      </c>
      <c r="C80" s="20" t="s">
        <v>33</v>
      </c>
      <c r="D80" s="21">
        <v>460.0</v>
      </c>
      <c r="E80" s="36">
        <v>120.0</v>
      </c>
      <c r="F80" s="36">
        <v>900.0</v>
      </c>
      <c r="G80" s="22">
        <v>80.0</v>
      </c>
      <c r="H80" s="21">
        <v>860.0</v>
      </c>
      <c r="I80" s="21"/>
      <c r="J80" s="29">
        <v>100.0</v>
      </c>
      <c r="K80" s="25">
        <f t="shared" ref="K80:K86" si="18">SUM(D80:J80)</f>
        <v>2520</v>
      </c>
    </row>
    <row r="81" ht="13.5" customHeight="1">
      <c r="A81" s="26" t="s">
        <v>34</v>
      </c>
      <c r="B81" s="27"/>
      <c r="C81" s="28">
        <v>136.0</v>
      </c>
      <c r="D81" s="21">
        <v>470.0</v>
      </c>
      <c r="E81" s="36"/>
      <c r="F81" s="36">
        <v>900.0</v>
      </c>
      <c r="G81" s="22">
        <v>50.0</v>
      </c>
      <c r="H81" s="21">
        <v>680.0</v>
      </c>
      <c r="I81" s="21"/>
      <c r="J81" s="29">
        <v>50.0</v>
      </c>
      <c r="K81" s="25">
        <f t="shared" si="18"/>
        <v>2150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8"/>
        <v>0</v>
      </c>
    </row>
    <row r="83" ht="13.5" customHeight="1">
      <c r="A83" s="26" t="s">
        <v>37</v>
      </c>
      <c r="B83" s="33"/>
      <c r="C83" s="34">
        <v>91.0</v>
      </c>
      <c r="D83" s="21"/>
      <c r="E83" s="36"/>
      <c r="F83" s="36"/>
      <c r="G83" s="22"/>
      <c r="H83" s="21"/>
      <c r="I83" s="21"/>
      <c r="J83" s="29"/>
      <c r="K83" s="25">
        <f t="shared" si="18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560.0</v>
      </c>
      <c r="E84" s="41">
        <v>120.0</v>
      </c>
      <c r="F84" s="41"/>
      <c r="G84" s="32"/>
      <c r="H84" s="21">
        <v>4750.0</v>
      </c>
      <c r="I84" s="21"/>
      <c r="J84" s="24">
        <v>150.0</v>
      </c>
      <c r="K84" s="25">
        <f t="shared" si="18"/>
        <v>5580</v>
      </c>
    </row>
    <row r="85" ht="13.5" customHeight="1">
      <c r="A85" s="35" t="s">
        <v>41</v>
      </c>
      <c r="B85" s="27"/>
      <c r="C85" s="27"/>
      <c r="D85" s="21">
        <v>560.0</v>
      </c>
      <c r="E85" s="36"/>
      <c r="F85" s="37"/>
      <c r="G85" s="38"/>
      <c r="H85" s="21">
        <v>4770.0</v>
      </c>
      <c r="I85" s="29"/>
      <c r="J85" s="39">
        <v>150.0</v>
      </c>
      <c r="K85" s="25">
        <f t="shared" si="18"/>
        <v>5480</v>
      </c>
    </row>
    <row r="86" ht="13.5" customHeight="1">
      <c r="A86" s="40" t="s">
        <v>7</v>
      </c>
      <c r="B86" s="40"/>
      <c r="C86" s="40">
        <v>563.0</v>
      </c>
      <c r="D86" s="10">
        <f t="shared" ref="D86:J86" si="19">SUM(D80:D85)</f>
        <v>2050</v>
      </c>
      <c r="E86" s="10">
        <f t="shared" si="19"/>
        <v>240</v>
      </c>
      <c r="F86" s="10">
        <f t="shared" si="19"/>
        <v>1800</v>
      </c>
      <c r="G86" s="10">
        <f t="shared" si="19"/>
        <v>130</v>
      </c>
      <c r="H86" s="10">
        <f t="shared" si="19"/>
        <v>11060</v>
      </c>
      <c r="I86" s="10">
        <f t="shared" si="19"/>
        <v>0</v>
      </c>
      <c r="J86" s="10">
        <f t="shared" si="19"/>
        <v>450</v>
      </c>
      <c r="K86" s="25">
        <f t="shared" si="18"/>
        <v>15730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ht="13.5" customHeight="1">
      <c r="A89" s="13" t="s">
        <v>58</v>
      </c>
    </row>
    <row r="90" ht="13.5" customHeight="1">
      <c r="A90" s="14" t="s">
        <v>25</v>
      </c>
      <c r="B90" s="14" t="s">
        <v>1</v>
      </c>
      <c r="C90" s="14" t="s">
        <v>27</v>
      </c>
      <c r="D90" s="15" t="s">
        <v>2</v>
      </c>
      <c r="E90" s="10" t="s">
        <v>28</v>
      </c>
      <c r="F90" s="16" t="s">
        <v>3</v>
      </c>
      <c r="G90" s="15" t="s">
        <v>4</v>
      </c>
      <c r="H90" s="15" t="s">
        <v>5</v>
      </c>
      <c r="I90" s="15" t="s">
        <v>29</v>
      </c>
      <c r="J90" s="14" t="s">
        <v>30</v>
      </c>
      <c r="K90" s="17" t="s">
        <v>7</v>
      </c>
    </row>
    <row r="91" ht="14.25" customHeight="1">
      <c r="A91" s="18" t="s">
        <v>31</v>
      </c>
      <c r="B91" s="19" t="s">
        <v>59</v>
      </c>
      <c r="C91" s="20" t="s">
        <v>33</v>
      </c>
      <c r="D91" s="21">
        <v>500.0</v>
      </c>
      <c r="E91" s="10">
        <v>120.0</v>
      </c>
      <c r="F91" s="36">
        <v>1100.0</v>
      </c>
      <c r="G91" s="32">
        <v>80.0</v>
      </c>
      <c r="H91" s="21">
        <v>540.0</v>
      </c>
      <c r="I91" s="21"/>
      <c r="J91" s="24">
        <v>90.0</v>
      </c>
      <c r="K91" s="25">
        <f t="shared" ref="K91:K97" si="20">SUM(D91:J91)</f>
        <v>2430</v>
      </c>
    </row>
    <row r="92" ht="13.5" customHeight="1">
      <c r="A92" s="26" t="s">
        <v>34</v>
      </c>
      <c r="B92" s="27"/>
      <c r="C92" s="28">
        <v>136.0</v>
      </c>
      <c r="D92" s="21">
        <v>310.0</v>
      </c>
      <c r="E92" s="10"/>
      <c r="F92" s="36">
        <v>500.0</v>
      </c>
      <c r="G92" s="32">
        <v>60.0</v>
      </c>
      <c r="H92" s="21">
        <v>630.0</v>
      </c>
      <c r="I92" s="21"/>
      <c r="J92" s="29"/>
      <c r="K92" s="25">
        <f t="shared" si="20"/>
        <v>1500</v>
      </c>
    </row>
    <row r="93" ht="13.5" customHeight="1">
      <c r="A93" s="18" t="s">
        <v>35</v>
      </c>
      <c r="B93" s="30">
        <v>2.0</v>
      </c>
      <c r="C93" s="31" t="s">
        <v>36</v>
      </c>
      <c r="D93" s="21">
        <v>380.0</v>
      </c>
      <c r="E93" s="10">
        <v>120.0</v>
      </c>
      <c r="F93" s="36">
        <v>800.0</v>
      </c>
      <c r="G93" s="32">
        <v>50.0</v>
      </c>
      <c r="H93" s="21">
        <v>660.0</v>
      </c>
      <c r="I93" s="21"/>
      <c r="J93" s="24">
        <v>80.0</v>
      </c>
      <c r="K93" s="25">
        <f t="shared" si="20"/>
        <v>2090</v>
      </c>
    </row>
    <row r="94" ht="13.5" customHeight="1">
      <c r="A94" s="26" t="s">
        <v>37</v>
      </c>
      <c r="B94" s="33"/>
      <c r="C94" s="34">
        <v>91.0</v>
      </c>
      <c r="D94" s="21"/>
      <c r="E94" s="10"/>
      <c r="F94" s="36"/>
      <c r="G94" s="32"/>
      <c r="H94" s="21"/>
      <c r="I94" s="21"/>
      <c r="J94" s="29"/>
      <c r="K94" s="25">
        <f t="shared" si="20"/>
        <v>0</v>
      </c>
    </row>
    <row r="95" ht="15.0" customHeight="1">
      <c r="A95" s="18" t="s">
        <v>38</v>
      </c>
      <c r="B95" s="19" t="s">
        <v>39</v>
      </c>
      <c r="C95" s="19" t="s">
        <v>40</v>
      </c>
      <c r="D95" s="21">
        <v>580.0</v>
      </c>
      <c r="E95" s="36">
        <v>120.0</v>
      </c>
      <c r="F95" s="41"/>
      <c r="G95" s="32"/>
      <c r="H95" s="21">
        <v>4760.0</v>
      </c>
      <c r="I95" s="21"/>
      <c r="J95" s="24">
        <v>230.0</v>
      </c>
      <c r="K95" s="25">
        <f t="shared" si="20"/>
        <v>5690</v>
      </c>
    </row>
    <row r="96" ht="13.5" customHeight="1">
      <c r="A96" s="35" t="s">
        <v>41</v>
      </c>
      <c r="B96" s="27"/>
      <c r="C96" s="27"/>
      <c r="D96" s="21">
        <v>550.0</v>
      </c>
      <c r="E96" s="36"/>
      <c r="F96" s="37"/>
      <c r="G96" s="38"/>
      <c r="H96" s="21">
        <v>4570.0</v>
      </c>
      <c r="I96" s="21"/>
      <c r="J96" s="39"/>
      <c r="K96" s="25">
        <f t="shared" si="20"/>
        <v>5120</v>
      </c>
    </row>
    <row r="97" ht="13.5" customHeight="1">
      <c r="A97" s="40" t="s">
        <v>7</v>
      </c>
      <c r="B97" s="40"/>
      <c r="C97" s="40">
        <v>563.0</v>
      </c>
      <c r="D97" s="10">
        <f t="shared" ref="D97:J97" si="21">SUM(D91:D96)</f>
        <v>2320</v>
      </c>
      <c r="E97" s="10">
        <f t="shared" si="21"/>
        <v>360</v>
      </c>
      <c r="F97" s="10">
        <f t="shared" si="21"/>
        <v>2400</v>
      </c>
      <c r="G97" s="10">
        <f t="shared" si="21"/>
        <v>190</v>
      </c>
      <c r="H97" s="10">
        <f t="shared" si="21"/>
        <v>11160</v>
      </c>
      <c r="I97" s="10">
        <f t="shared" si="21"/>
        <v>0</v>
      </c>
      <c r="J97" s="10">
        <f t="shared" si="21"/>
        <v>400</v>
      </c>
      <c r="K97" s="25">
        <f t="shared" si="20"/>
        <v>16830</v>
      </c>
    </row>
    <row r="98" ht="13.5" customHeight="1">
      <c r="A98" s="13" t="s">
        <v>60</v>
      </c>
    </row>
    <row r="99" ht="13.5" customHeight="1">
      <c r="A99" s="14" t="s">
        <v>25</v>
      </c>
      <c r="B99" s="14" t="s">
        <v>1</v>
      </c>
      <c r="C99" s="14" t="s">
        <v>27</v>
      </c>
      <c r="D99" s="15" t="s">
        <v>2</v>
      </c>
      <c r="E99" s="10" t="s">
        <v>28</v>
      </c>
      <c r="F99" s="16" t="s">
        <v>3</v>
      </c>
      <c r="G99" s="15" t="s">
        <v>4</v>
      </c>
      <c r="H99" s="15" t="s">
        <v>5</v>
      </c>
      <c r="I99" s="15" t="s">
        <v>29</v>
      </c>
      <c r="J99" s="14" t="s">
        <v>30</v>
      </c>
      <c r="K99" s="10" t="s">
        <v>7</v>
      </c>
    </row>
    <row r="100" ht="14.25" customHeight="1">
      <c r="A100" s="18" t="s">
        <v>31</v>
      </c>
      <c r="B100" s="19" t="s">
        <v>61</v>
      </c>
      <c r="C100" s="20" t="s">
        <v>33</v>
      </c>
      <c r="D100" s="21">
        <v>410.0</v>
      </c>
      <c r="E100" s="10">
        <v>120.0</v>
      </c>
      <c r="F100" s="36">
        <v>650.0</v>
      </c>
      <c r="G100" s="32">
        <v>60.0</v>
      </c>
      <c r="H100" s="21">
        <v>1040.0</v>
      </c>
      <c r="I100" s="21"/>
      <c r="J100" s="21"/>
      <c r="K100" s="10">
        <f t="shared" ref="K100:K106" si="22">SUM(D100:J100)</f>
        <v>2280</v>
      </c>
    </row>
    <row r="101" ht="13.5" customHeight="1">
      <c r="A101" s="26" t="s">
        <v>34</v>
      </c>
      <c r="B101" s="27"/>
      <c r="C101" s="28">
        <v>136.0</v>
      </c>
      <c r="D101" s="21">
        <v>320.0</v>
      </c>
      <c r="E101" s="10"/>
      <c r="F101" s="36">
        <v>500.0</v>
      </c>
      <c r="G101" s="32">
        <v>60.0</v>
      </c>
      <c r="H101" s="21">
        <v>680.0</v>
      </c>
      <c r="I101" s="21"/>
      <c r="J101" s="21"/>
      <c r="K101" s="10">
        <f t="shared" si="22"/>
        <v>1560</v>
      </c>
    </row>
    <row r="102" ht="13.5" customHeight="1">
      <c r="A102" s="18" t="s">
        <v>35</v>
      </c>
      <c r="B102" s="30">
        <v>2.0</v>
      </c>
      <c r="C102" s="31" t="s">
        <v>36</v>
      </c>
      <c r="D102" s="21">
        <v>280.0</v>
      </c>
      <c r="E102" s="10">
        <v>60.0</v>
      </c>
      <c r="F102" s="36">
        <v>600.0</v>
      </c>
      <c r="G102" s="32">
        <v>90.0</v>
      </c>
      <c r="H102" s="21">
        <v>710.0</v>
      </c>
      <c r="I102" s="21"/>
      <c r="J102" s="21"/>
      <c r="K102" s="10">
        <f t="shared" si="22"/>
        <v>1740</v>
      </c>
    </row>
    <row r="103" ht="13.5" customHeight="1">
      <c r="A103" s="26" t="s">
        <v>37</v>
      </c>
      <c r="B103" s="33"/>
      <c r="C103" s="34">
        <v>91.0</v>
      </c>
      <c r="D103" s="21"/>
      <c r="E103" s="10"/>
      <c r="F103" s="36"/>
      <c r="G103" s="32"/>
      <c r="H103" s="21"/>
      <c r="I103" s="21"/>
      <c r="J103" s="21"/>
      <c r="K103" s="10">
        <f t="shared" si="22"/>
        <v>0</v>
      </c>
    </row>
    <row r="104" ht="14.25" customHeight="1">
      <c r="A104" s="18" t="s">
        <v>38</v>
      </c>
      <c r="B104" s="19" t="s">
        <v>39</v>
      </c>
      <c r="C104" s="19" t="s">
        <v>40</v>
      </c>
      <c r="D104" s="21">
        <v>550.0</v>
      </c>
      <c r="E104" s="36"/>
      <c r="F104" s="41"/>
      <c r="G104" s="32"/>
      <c r="H104" s="21">
        <v>4670.0</v>
      </c>
      <c r="I104" s="21"/>
      <c r="J104" s="21"/>
      <c r="K104" s="10">
        <f t="shared" si="22"/>
        <v>5220</v>
      </c>
    </row>
    <row r="105" ht="13.5" customHeight="1">
      <c r="A105" s="35" t="s">
        <v>41</v>
      </c>
      <c r="B105" s="27"/>
      <c r="C105" s="27"/>
      <c r="D105" s="21">
        <v>550.0</v>
      </c>
      <c r="E105" s="36"/>
      <c r="F105" s="37"/>
      <c r="G105" s="38"/>
      <c r="H105" s="21">
        <v>4700.0</v>
      </c>
      <c r="I105" s="21"/>
      <c r="J105" s="21"/>
      <c r="K105" s="10">
        <f t="shared" si="22"/>
        <v>5250</v>
      </c>
    </row>
    <row r="106" ht="13.5" customHeight="1">
      <c r="A106" s="40" t="s">
        <v>7</v>
      </c>
      <c r="B106" s="40"/>
      <c r="C106" s="40">
        <v>563.0</v>
      </c>
      <c r="D106" s="10">
        <f t="shared" ref="D106:J106" si="23">SUM(D100:D105)</f>
        <v>2110</v>
      </c>
      <c r="E106" s="10">
        <f t="shared" si="23"/>
        <v>180</v>
      </c>
      <c r="F106" s="10">
        <f t="shared" si="23"/>
        <v>1750</v>
      </c>
      <c r="G106" s="10">
        <f t="shared" si="23"/>
        <v>210</v>
      </c>
      <c r="H106" s="10">
        <f t="shared" si="23"/>
        <v>11800</v>
      </c>
      <c r="I106" s="10">
        <f t="shared" si="23"/>
        <v>0</v>
      </c>
      <c r="J106" s="10">
        <f t="shared" si="23"/>
        <v>0</v>
      </c>
      <c r="K106" s="10">
        <f t="shared" si="22"/>
        <v>16050</v>
      </c>
    </row>
    <row r="107" ht="13.5" customHeight="1">
      <c r="A107" s="14"/>
      <c r="B107" s="14"/>
      <c r="C107" s="14"/>
      <c r="D107" s="14"/>
      <c r="E107" s="14"/>
      <c r="F107" s="14"/>
      <c r="G107" s="15"/>
      <c r="H107" s="15"/>
      <c r="I107" s="15"/>
      <c r="J107" s="10"/>
      <c r="K107" s="10"/>
    </row>
    <row r="108" ht="13.5" customHeight="1">
      <c r="A108" s="45" t="s">
        <v>62</v>
      </c>
    </row>
    <row r="109" ht="13.5" customHeight="1">
      <c r="A109" s="14" t="s">
        <v>25</v>
      </c>
      <c r="B109" s="14" t="s">
        <v>1</v>
      </c>
      <c r="C109" s="14" t="s">
        <v>27</v>
      </c>
      <c r="D109" s="15" t="s">
        <v>2</v>
      </c>
      <c r="E109" s="10" t="s">
        <v>28</v>
      </c>
      <c r="F109" s="16" t="s">
        <v>3</v>
      </c>
      <c r="G109" s="15" t="s">
        <v>4</v>
      </c>
      <c r="H109" s="15" t="s">
        <v>5</v>
      </c>
      <c r="I109" s="15" t="s">
        <v>29</v>
      </c>
      <c r="J109" s="14" t="s">
        <v>30</v>
      </c>
      <c r="K109" s="17" t="s">
        <v>7</v>
      </c>
    </row>
    <row r="110" ht="14.25" customHeight="1">
      <c r="A110" s="18" t="s">
        <v>31</v>
      </c>
      <c r="B110" s="19" t="s">
        <v>63</v>
      </c>
      <c r="C110" s="20" t="s">
        <v>33</v>
      </c>
      <c r="D110" s="21">
        <v>420.0</v>
      </c>
      <c r="E110" s="10">
        <v>120.0</v>
      </c>
      <c r="F110" s="10">
        <v>750.0</v>
      </c>
      <c r="G110" s="32">
        <v>80.0</v>
      </c>
      <c r="H110" s="21">
        <v>750.0</v>
      </c>
      <c r="I110" s="21"/>
      <c r="J110" s="21"/>
      <c r="K110" s="25">
        <f t="shared" ref="K110:K116" si="24">SUM(D110:J110)</f>
        <v>2120</v>
      </c>
    </row>
    <row r="111" ht="13.5" customHeight="1">
      <c r="A111" s="26" t="s">
        <v>34</v>
      </c>
      <c r="B111" s="27"/>
      <c r="C111" s="28">
        <v>136.0</v>
      </c>
      <c r="D111" s="21">
        <v>450.0</v>
      </c>
      <c r="E111" s="10"/>
      <c r="F111" s="10">
        <v>550.0</v>
      </c>
      <c r="G111" s="32">
        <v>30.0</v>
      </c>
      <c r="H111" s="21">
        <v>780.0</v>
      </c>
      <c r="I111" s="21"/>
      <c r="J111" s="21"/>
      <c r="K111" s="25">
        <f t="shared" si="24"/>
        <v>1810</v>
      </c>
    </row>
    <row r="112" ht="13.5" customHeight="1">
      <c r="A112" s="18" t="s">
        <v>35</v>
      </c>
      <c r="B112" s="30">
        <v>2.0</v>
      </c>
      <c r="C112" s="31" t="s">
        <v>36</v>
      </c>
      <c r="D112" s="21">
        <v>280.0</v>
      </c>
      <c r="E112" s="10">
        <v>60.0</v>
      </c>
      <c r="F112" s="10">
        <v>480.0</v>
      </c>
      <c r="G112" s="32">
        <v>90.0</v>
      </c>
      <c r="H112" s="21">
        <v>750.0</v>
      </c>
      <c r="I112" s="21"/>
      <c r="J112" s="21"/>
      <c r="K112" s="25">
        <f t="shared" si="24"/>
        <v>1660</v>
      </c>
    </row>
    <row r="113" ht="13.5" customHeight="1">
      <c r="A113" s="26" t="s">
        <v>37</v>
      </c>
      <c r="B113" s="33"/>
      <c r="C113" s="34">
        <v>91.0</v>
      </c>
      <c r="D113" s="21"/>
      <c r="E113" s="10"/>
      <c r="F113" s="36"/>
      <c r="G113" s="32"/>
      <c r="H113" s="21"/>
      <c r="I113" s="21"/>
      <c r="J113" s="21"/>
      <c r="K113" s="25">
        <f t="shared" si="24"/>
        <v>0</v>
      </c>
    </row>
    <row r="114" ht="15.0" customHeight="1">
      <c r="A114" s="18" t="s">
        <v>38</v>
      </c>
      <c r="B114" s="19" t="s">
        <v>39</v>
      </c>
      <c r="C114" s="19" t="s">
        <v>40</v>
      </c>
      <c r="D114" s="21">
        <v>550.0</v>
      </c>
      <c r="E114" s="36">
        <v>120.0</v>
      </c>
      <c r="F114" s="41"/>
      <c r="G114" s="32"/>
      <c r="H114" s="21">
        <v>4610.0</v>
      </c>
      <c r="I114" s="21"/>
      <c r="J114" s="21"/>
      <c r="K114" s="25">
        <f t="shared" si="24"/>
        <v>5280</v>
      </c>
    </row>
    <row r="115" ht="13.5" customHeight="1">
      <c r="A115" s="35" t="s">
        <v>41</v>
      </c>
      <c r="B115" s="27"/>
      <c r="C115" s="27"/>
      <c r="D115" s="21">
        <v>360.0</v>
      </c>
      <c r="E115" s="36"/>
      <c r="F115" s="41"/>
      <c r="G115" s="32"/>
      <c r="H115" s="21">
        <v>4810.0</v>
      </c>
      <c r="I115" s="21"/>
      <c r="J115" s="21"/>
      <c r="K115" s="25">
        <f t="shared" si="24"/>
        <v>5170</v>
      </c>
    </row>
    <row r="116" ht="13.5" customHeight="1">
      <c r="A116" s="40" t="s">
        <v>7</v>
      </c>
      <c r="B116" s="40"/>
      <c r="C116" s="40">
        <v>563.0</v>
      </c>
      <c r="D116" s="10">
        <f t="shared" ref="D116:J116" si="25">SUM(D110:D115)</f>
        <v>2060</v>
      </c>
      <c r="E116" s="10">
        <f t="shared" si="25"/>
        <v>300</v>
      </c>
      <c r="F116" s="10">
        <f t="shared" si="25"/>
        <v>1780</v>
      </c>
      <c r="G116" s="10">
        <f t="shared" si="25"/>
        <v>200</v>
      </c>
      <c r="H116" s="10">
        <f t="shared" si="25"/>
        <v>11700</v>
      </c>
      <c r="I116" s="10">
        <f t="shared" si="25"/>
        <v>0</v>
      </c>
      <c r="J116" s="10">
        <f t="shared" si="25"/>
        <v>0</v>
      </c>
      <c r="K116" s="25">
        <f t="shared" si="24"/>
        <v>16040</v>
      </c>
    </row>
    <row r="117" ht="13.5" customHeight="1">
      <c r="A117" s="13" t="s">
        <v>64</v>
      </c>
    </row>
    <row r="118" ht="13.5" customHeight="1">
      <c r="A118" s="14" t="s">
        <v>25</v>
      </c>
      <c r="B118" s="14" t="s">
        <v>1</v>
      </c>
      <c r="C118" s="14" t="s">
        <v>27</v>
      </c>
      <c r="D118" s="15" t="s">
        <v>2</v>
      </c>
      <c r="E118" s="10" t="s">
        <v>28</v>
      </c>
      <c r="F118" s="16" t="s">
        <v>3</v>
      </c>
      <c r="G118" s="15" t="s">
        <v>4</v>
      </c>
      <c r="H118" s="15" t="s">
        <v>5</v>
      </c>
      <c r="I118" s="15" t="s">
        <v>29</v>
      </c>
      <c r="J118" s="14" t="s">
        <v>30</v>
      </c>
      <c r="K118" s="17" t="s">
        <v>7</v>
      </c>
    </row>
    <row r="119" ht="14.25" customHeight="1">
      <c r="A119" s="18" t="s">
        <v>31</v>
      </c>
      <c r="B119" s="19" t="s">
        <v>65</v>
      </c>
      <c r="C119" s="20" t="s">
        <v>33</v>
      </c>
      <c r="D119" s="21">
        <v>440.0</v>
      </c>
      <c r="E119" s="10">
        <v>120.0</v>
      </c>
      <c r="F119" s="36">
        <v>700.0</v>
      </c>
      <c r="G119" s="32">
        <v>60.0</v>
      </c>
      <c r="H119" s="21">
        <v>770.0</v>
      </c>
      <c r="I119" s="21"/>
      <c r="J119" s="21"/>
      <c r="K119" s="25">
        <f t="shared" ref="K119:K125" si="26">SUM(D119:J119)</f>
        <v>2090</v>
      </c>
    </row>
    <row r="120" ht="13.5" customHeight="1">
      <c r="A120" s="26" t="s">
        <v>34</v>
      </c>
      <c r="B120" s="27"/>
      <c r="C120" s="28">
        <v>130.0</v>
      </c>
      <c r="D120" s="21">
        <v>530.0</v>
      </c>
      <c r="E120" s="10"/>
      <c r="F120" s="36"/>
      <c r="G120" s="32"/>
      <c r="H120" s="21">
        <v>4600.0</v>
      </c>
      <c r="I120" s="21"/>
      <c r="J120" s="21"/>
      <c r="K120" s="25">
        <f t="shared" si="26"/>
        <v>5130</v>
      </c>
    </row>
    <row r="121" ht="13.5" customHeight="1">
      <c r="A121" s="18" t="s">
        <v>35</v>
      </c>
      <c r="B121" s="30">
        <v>2.0</v>
      </c>
      <c r="C121" s="31" t="s">
        <v>36</v>
      </c>
      <c r="D121" s="21">
        <v>280.0</v>
      </c>
      <c r="E121" s="10">
        <v>60.0</v>
      </c>
      <c r="F121" s="36">
        <v>520.0</v>
      </c>
      <c r="G121" s="32">
        <v>90.0</v>
      </c>
      <c r="H121" s="21">
        <v>740.0</v>
      </c>
      <c r="I121" s="21"/>
      <c r="J121" s="21"/>
      <c r="K121" s="25">
        <f t="shared" si="26"/>
        <v>1690</v>
      </c>
    </row>
    <row r="122" ht="13.5" customHeight="1">
      <c r="A122" s="26" t="s">
        <v>37</v>
      </c>
      <c r="B122" s="33"/>
      <c r="C122" s="34">
        <v>91.0</v>
      </c>
      <c r="D122" s="21"/>
      <c r="E122" s="10"/>
      <c r="F122" s="36"/>
      <c r="G122" s="32"/>
      <c r="H122" s="21"/>
      <c r="I122" s="21"/>
      <c r="J122" s="21"/>
      <c r="K122" s="25">
        <f t="shared" si="26"/>
        <v>0</v>
      </c>
    </row>
    <row r="123" ht="15.0" customHeight="1">
      <c r="A123" s="18" t="s">
        <v>38</v>
      </c>
      <c r="B123" s="19" t="s">
        <v>39</v>
      </c>
      <c r="C123" s="19" t="s">
        <v>40</v>
      </c>
      <c r="D123" s="21"/>
      <c r="E123" s="36">
        <v>120.0</v>
      </c>
      <c r="F123" s="41">
        <v>1240.0</v>
      </c>
      <c r="G123" s="44"/>
      <c r="H123" s="44">
        <v>3830.0</v>
      </c>
      <c r="I123" s="23"/>
      <c r="J123" s="23"/>
      <c r="K123" s="25">
        <f t="shared" si="26"/>
        <v>5190</v>
      </c>
    </row>
    <row r="124" ht="13.5" customHeight="1">
      <c r="A124" s="35" t="s">
        <v>41</v>
      </c>
      <c r="B124" s="27"/>
      <c r="C124" s="27"/>
      <c r="D124" s="21">
        <v>530.0</v>
      </c>
      <c r="E124" s="36"/>
      <c r="F124" s="37"/>
      <c r="G124" s="38"/>
      <c r="H124" s="21">
        <v>4600.0</v>
      </c>
      <c r="I124" s="29"/>
      <c r="J124" s="39"/>
      <c r="K124" s="25">
        <f t="shared" si="26"/>
        <v>5130</v>
      </c>
    </row>
    <row r="125" ht="13.5" customHeight="1">
      <c r="A125" s="40" t="s">
        <v>7</v>
      </c>
      <c r="B125" s="40"/>
      <c r="C125" s="40">
        <v>563.0</v>
      </c>
      <c r="D125" s="10">
        <f t="shared" ref="D125:J125" si="27">SUM(D119:D124)</f>
        <v>1780</v>
      </c>
      <c r="E125" s="10">
        <f t="shared" si="27"/>
        <v>300</v>
      </c>
      <c r="F125" s="10">
        <f t="shared" si="27"/>
        <v>2460</v>
      </c>
      <c r="G125" s="10">
        <f t="shared" si="27"/>
        <v>150</v>
      </c>
      <c r="H125" s="10">
        <f t="shared" si="27"/>
        <v>14540</v>
      </c>
      <c r="I125" s="10">
        <f t="shared" si="27"/>
        <v>0</v>
      </c>
      <c r="J125" s="10">
        <f t="shared" si="27"/>
        <v>0</v>
      </c>
      <c r="K125" s="25">
        <f t="shared" si="26"/>
        <v>19230</v>
      </c>
    </row>
    <row r="126" ht="13.5" customHeight="1">
      <c r="A126" s="13" t="s">
        <v>66</v>
      </c>
    </row>
    <row r="127" ht="13.5" customHeight="1">
      <c r="A127" s="14" t="s">
        <v>25</v>
      </c>
      <c r="B127" s="14" t="s">
        <v>1</v>
      </c>
      <c r="C127" s="14" t="s">
        <v>27</v>
      </c>
      <c r="D127" s="15" t="s">
        <v>2</v>
      </c>
      <c r="E127" s="10" t="s">
        <v>28</v>
      </c>
      <c r="F127" s="16" t="s">
        <v>3</v>
      </c>
      <c r="G127" s="15" t="s">
        <v>4</v>
      </c>
      <c r="H127" s="15" t="s">
        <v>5</v>
      </c>
      <c r="I127" s="15" t="s">
        <v>29</v>
      </c>
      <c r="J127" s="14" t="s">
        <v>30</v>
      </c>
      <c r="K127" s="17" t="s">
        <v>7</v>
      </c>
    </row>
    <row r="128" ht="13.5" customHeight="1">
      <c r="A128" s="18" t="s">
        <v>31</v>
      </c>
      <c r="B128" s="19" t="s">
        <v>67</v>
      </c>
      <c r="C128" s="20" t="s">
        <v>33</v>
      </c>
      <c r="D128" s="21">
        <v>300.0</v>
      </c>
      <c r="E128" s="36">
        <v>120.0</v>
      </c>
      <c r="F128" s="36">
        <v>1200.0</v>
      </c>
      <c r="G128" s="32">
        <v>60.0</v>
      </c>
      <c r="H128" s="21">
        <v>104.0</v>
      </c>
      <c r="I128" s="21"/>
      <c r="J128" s="21"/>
      <c r="K128" s="25">
        <f t="shared" ref="K128:K134" si="28">SUM(D128:J128)</f>
        <v>1784</v>
      </c>
    </row>
    <row r="129" ht="13.5" customHeight="1">
      <c r="A129" s="26" t="s">
        <v>34</v>
      </c>
      <c r="B129" s="27"/>
      <c r="C129" s="28">
        <v>130.0</v>
      </c>
      <c r="D129" s="21">
        <v>410.0</v>
      </c>
      <c r="E129" s="36"/>
      <c r="F129" s="36">
        <v>670.0</v>
      </c>
      <c r="G129" s="32">
        <v>60.0</v>
      </c>
      <c r="H129" s="21">
        <v>600.0</v>
      </c>
      <c r="I129" s="21"/>
      <c r="J129" s="21">
        <v>110.0</v>
      </c>
      <c r="K129" s="25">
        <f t="shared" si="28"/>
        <v>1850</v>
      </c>
    </row>
    <row r="130" ht="13.5" customHeight="1">
      <c r="A130" s="18" t="s">
        <v>35</v>
      </c>
      <c r="B130" s="30">
        <v>2.0</v>
      </c>
      <c r="C130" s="31" t="s">
        <v>36</v>
      </c>
      <c r="D130" s="21"/>
      <c r="E130" s="36"/>
      <c r="F130" s="36"/>
      <c r="G130" s="32"/>
      <c r="H130" s="21"/>
      <c r="I130" s="21"/>
      <c r="J130" s="21"/>
      <c r="K130" s="25">
        <f t="shared" si="28"/>
        <v>0</v>
      </c>
    </row>
    <row r="131" ht="13.5" customHeight="1">
      <c r="A131" s="26" t="s">
        <v>37</v>
      </c>
      <c r="B131" s="33"/>
      <c r="C131" s="34">
        <v>91.0</v>
      </c>
      <c r="D131" s="21"/>
      <c r="E131" s="36"/>
      <c r="F131" s="36"/>
      <c r="G131" s="32"/>
      <c r="H131" s="21"/>
      <c r="I131" s="21"/>
      <c r="J131" s="21"/>
      <c r="K131" s="25">
        <f t="shared" si="28"/>
        <v>0</v>
      </c>
    </row>
    <row r="132" ht="15.0" customHeight="1">
      <c r="A132" s="18" t="s">
        <v>38</v>
      </c>
      <c r="B132" s="19" t="s">
        <v>39</v>
      </c>
      <c r="C132" s="19" t="s">
        <v>40</v>
      </c>
      <c r="D132" s="21"/>
      <c r="E132" s="36">
        <v>300.0</v>
      </c>
      <c r="F132" s="36"/>
      <c r="G132" s="21"/>
      <c r="H132" s="21">
        <v>4890.0</v>
      </c>
      <c r="I132" s="21"/>
      <c r="J132" s="21">
        <v>160.0</v>
      </c>
      <c r="K132" s="25">
        <f t="shared" si="28"/>
        <v>5350</v>
      </c>
    </row>
    <row r="133" ht="13.5" customHeight="1">
      <c r="A133" s="35" t="s">
        <v>41</v>
      </c>
      <c r="B133" s="27"/>
      <c r="C133" s="27"/>
      <c r="D133" s="21">
        <v>550.0</v>
      </c>
      <c r="E133" s="36"/>
      <c r="F133" s="36"/>
      <c r="G133" s="21"/>
      <c r="H133" s="21">
        <v>4430.0</v>
      </c>
      <c r="I133" s="21"/>
      <c r="J133" s="21">
        <v>170.0</v>
      </c>
      <c r="K133" s="25">
        <f t="shared" si="28"/>
        <v>5150</v>
      </c>
    </row>
    <row r="134" ht="13.5" customHeight="1">
      <c r="A134" s="40" t="s">
        <v>7</v>
      </c>
      <c r="B134" s="40"/>
      <c r="C134" s="40">
        <v>563.0</v>
      </c>
      <c r="D134" s="10">
        <f t="shared" ref="D134:J134" si="29">SUM(D128:D133)</f>
        <v>1260</v>
      </c>
      <c r="E134" s="10">
        <f t="shared" si="29"/>
        <v>420</v>
      </c>
      <c r="F134" s="10">
        <f t="shared" si="29"/>
        <v>1870</v>
      </c>
      <c r="G134" s="10">
        <f t="shared" si="29"/>
        <v>120</v>
      </c>
      <c r="H134" s="10">
        <f t="shared" si="29"/>
        <v>10024</v>
      </c>
      <c r="I134" s="10">
        <f t="shared" si="29"/>
        <v>0</v>
      </c>
      <c r="J134" s="10">
        <f t="shared" si="29"/>
        <v>440</v>
      </c>
      <c r="K134" s="25">
        <f t="shared" si="28"/>
        <v>14134</v>
      </c>
    </row>
    <row r="135" ht="13.5" customHeight="1">
      <c r="A135" s="46" t="s">
        <v>68</v>
      </c>
    </row>
    <row r="136" ht="13.5" customHeight="1">
      <c r="A136" s="14" t="s">
        <v>25</v>
      </c>
      <c r="B136" s="14" t="s">
        <v>1</v>
      </c>
      <c r="C136" s="14" t="s">
        <v>27</v>
      </c>
      <c r="D136" s="15" t="s">
        <v>2</v>
      </c>
      <c r="E136" s="10" t="s">
        <v>28</v>
      </c>
      <c r="F136" s="16" t="s">
        <v>3</v>
      </c>
      <c r="G136" s="15" t="s">
        <v>4</v>
      </c>
      <c r="H136" s="15" t="s">
        <v>5</v>
      </c>
      <c r="I136" s="15" t="s">
        <v>29</v>
      </c>
      <c r="J136" s="14" t="s">
        <v>30</v>
      </c>
      <c r="K136" s="17" t="s">
        <v>7</v>
      </c>
    </row>
    <row r="137" ht="13.5" customHeight="1">
      <c r="A137" s="18" t="s">
        <v>31</v>
      </c>
      <c r="B137" s="19" t="s">
        <v>69</v>
      </c>
      <c r="C137" s="20" t="s">
        <v>33</v>
      </c>
      <c r="D137" s="21">
        <v>430.0</v>
      </c>
      <c r="E137" s="36">
        <v>120.0</v>
      </c>
      <c r="F137" s="36">
        <v>900.0</v>
      </c>
      <c r="G137" s="32">
        <v>60.0</v>
      </c>
      <c r="H137" s="21">
        <v>910.0</v>
      </c>
      <c r="I137" s="21"/>
      <c r="J137" s="21">
        <v>100.0</v>
      </c>
      <c r="K137" s="25">
        <f t="shared" ref="K137:K143" si="30">SUM(D137:J137)</f>
        <v>2520</v>
      </c>
    </row>
    <row r="138" ht="13.5" customHeight="1">
      <c r="A138" s="26" t="s">
        <v>34</v>
      </c>
      <c r="B138" s="27"/>
      <c r="C138" s="28">
        <v>130.0</v>
      </c>
      <c r="D138" s="21">
        <v>300.0</v>
      </c>
      <c r="E138" s="36"/>
      <c r="F138" s="36">
        <v>550.0</v>
      </c>
      <c r="G138" s="32">
        <v>60.0</v>
      </c>
      <c r="H138" s="21"/>
      <c r="I138" s="21"/>
      <c r="J138" s="21">
        <v>90.0</v>
      </c>
      <c r="K138" s="25">
        <f t="shared" si="30"/>
        <v>1000</v>
      </c>
    </row>
    <row r="139" ht="13.5" customHeight="1">
      <c r="A139" s="18" t="s">
        <v>35</v>
      </c>
      <c r="B139" s="30">
        <v>2.0</v>
      </c>
      <c r="C139" s="31" t="s">
        <v>36</v>
      </c>
      <c r="D139" s="21">
        <v>270.0</v>
      </c>
      <c r="E139" s="36">
        <v>60.0</v>
      </c>
      <c r="F139" s="36">
        <v>450.0</v>
      </c>
      <c r="G139" s="32">
        <v>90.0</v>
      </c>
      <c r="H139" s="21">
        <v>820.0</v>
      </c>
      <c r="I139" s="21"/>
      <c r="J139" s="21">
        <v>70.0</v>
      </c>
      <c r="K139" s="25">
        <f t="shared" si="30"/>
        <v>1760</v>
      </c>
    </row>
    <row r="140" ht="13.5" customHeight="1">
      <c r="A140" s="26" t="s">
        <v>37</v>
      </c>
      <c r="B140" s="33"/>
      <c r="C140" s="34">
        <v>91.0</v>
      </c>
      <c r="D140" s="21"/>
      <c r="E140" s="36"/>
      <c r="F140" s="36"/>
      <c r="G140" s="32"/>
      <c r="H140" s="21"/>
      <c r="I140" s="21"/>
      <c r="J140" s="21"/>
      <c r="K140" s="25">
        <f t="shared" si="30"/>
        <v>0</v>
      </c>
    </row>
    <row r="141" ht="15.0" customHeight="1">
      <c r="A141" s="18" t="s">
        <v>38</v>
      </c>
      <c r="B141" s="19" t="s">
        <v>39</v>
      </c>
      <c r="C141" s="19" t="s">
        <v>40</v>
      </c>
      <c r="D141" s="44">
        <v>550.0</v>
      </c>
      <c r="E141" s="41">
        <v>120.0</v>
      </c>
      <c r="F141" s="41"/>
      <c r="G141" s="44"/>
      <c r="H141" s="44">
        <v>4370.0</v>
      </c>
      <c r="I141" s="23"/>
      <c r="J141" s="24">
        <v>130.0</v>
      </c>
      <c r="K141" s="25">
        <f t="shared" si="30"/>
        <v>5170</v>
      </c>
      <c r="L141" s="47"/>
      <c r="M141" s="12"/>
    </row>
    <row r="142" ht="13.5" customHeight="1">
      <c r="A142" s="35" t="s">
        <v>41</v>
      </c>
      <c r="B142" s="27"/>
      <c r="C142" s="27"/>
      <c r="D142" s="21">
        <v>300.0</v>
      </c>
      <c r="E142" s="36"/>
      <c r="F142" s="36">
        <v>550.0</v>
      </c>
      <c r="G142" s="21">
        <v>60.0</v>
      </c>
      <c r="H142" s="21"/>
      <c r="I142" s="29"/>
      <c r="J142" s="39">
        <v>90.0</v>
      </c>
      <c r="K142" s="25">
        <f t="shared" si="30"/>
        <v>1000</v>
      </c>
    </row>
    <row r="143" ht="13.5" customHeight="1">
      <c r="A143" s="40" t="s">
        <v>7</v>
      </c>
      <c r="B143" s="40"/>
      <c r="C143" s="40">
        <v>563.0</v>
      </c>
      <c r="D143" s="10">
        <f t="shared" ref="D143:J143" si="31">SUM(D137:D142)</f>
        <v>1850</v>
      </c>
      <c r="E143" s="10">
        <f t="shared" si="31"/>
        <v>300</v>
      </c>
      <c r="F143" s="10">
        <f t="shared" si="31"/>
        <v>2450</v>
      </c>
      <c r="G143" s="10">
        <f t="shared" si="31"/>
        <v>270</v>
      </c>
      <c r="H143" s="10">
        <f t="shared" si="31"/>
        <v>6100</v>
      </c>
      <c r="I143" s="10">
        <f t="shared" si="31"/>
        <v>0</v>
      </c>
      <c r="J143" s="10">
        <f t="shared" si="31"/>
        <v>480</v>
      </c>
      <c r="K143" s="25">
        <f t="shared" si="30"/>
        <v>11450</v>
      </c>
    </row>
    <row r="144" ht="13.5" customHeight="1">
      <c r="A144" s="48" t="s">
        <v>70</v>
      </c>
    </row>
    <row r="145" ht="13.5" customHeight="1">
      <c r="A145" s="14" t="s">
        <v>25</v>
      </c>
      <c r="B145" s="14" t="s">
        <v>1</v>
      </c>
      <c r="C145" s="14" t="s">
        <v>27</v>
      </c>
      <c r="D145" s="15" t="s">
        <v>2</v>
      </c>
      <c r="E145" s="10" t="s">
        <v>28</v>
      </c>
      <c r="F145" s="16" t="s">
        <v>3</v>
      </c>
      <c r="G145" s="15" t="s">
        <v>4</v>
      </c>
      <c r="H145" s="15" t="s">
        <v>5</v>
      </c>
      <c r="I145" s="15" t="s">
        <v>29</v>
      </c>
      <c r="J145" s="14" t="s">
        <v>30</v>
      </c>
      <c r="K145" s="17" t="s">
        <v>7</v>
      </c>
    </row>
    <row r="146" ht="15.0" customHeight="1">
      <c r="A146" s="18" t="s">
        <v>31</v>
      </c>
      <c r="B146" s="19" t="s">
        <v>71</v>
      </c>
      <c r="C146" s="20" t="s">
        <v>33</v>
      </c>
      <c r="D146" s="21">
        <v>410.0</v>
      </c>
      <c r="E146" s="36">
        <v>120.0</v>
      </c>
      <c r="F146" s="36">
        <v>630.0</v>
      </c>
      <c r="G146" s="32">
        <v>60.0</v>
      </c>
      <c r="H146" s="21">
        <v>1050.0</v>
      </c>
      <c r="I146" s="23"/>
      <c r="J146" s="24">
        <v>100.0</v>
      </c>
      <c r="K146" s="25">
        <f t="shared" ref="K146:K152" si="32">SUM(D146:J146)</f>
        <v>2370</v>
      </c>
    </row>
    <row r="147" ht="13.5" customHeight="1">
      <c r="A147" s="26" t="s">
        <v>34</v>
      </c>
      <c r="B147" s="27"/>
      <c r="C147" s="28">
        <v>130.0</v>
      </c>
      <c r="D147" s="21"/>
      <c r="E147" s="36"/>
      <c r="F147" s="36"/>
      <c r="G147" s="32"/>
      <c r="H147" s="21"/>
      <c r="I147" s="21"/>
      <c r="J147" s="29"/>
      <c r="K147" s="25">
        <f t="shared" si="32"/>
        <v>0</v>
      </c>
    </row>
    <row r="148" ht="13.5" customHeight="1">
      <c r="A148" s="18" t="s">
        <v>35</v>
      </c>
      <c r="B148" s="30">
        <v>2.0</v>
      </c>
      <c r="C148" s="31" t="s">
        <v>36</v>
      </c>
      <c r="D148" s="21">
        <v>300.0</v>
      </c>
      <c r="E148" s="36">
        <v>60.0</v>
      </c>
      <c r="F148" s="41">
        <v>520.0</v>
      </c>
      <c r="G148" s="32">
        <v>90.0</v>
      </c>
      <c r="H148" s="21">
        <v>790.0</v>
      </c>
      <c r="I148" s="21"/>
      <c r="J148" s="24">
        <v>50.0</v>
      </c>
      <c r="K148" s="25">
        <f t="shared" si="32"/>
        <v>1810</v>
      </c>
    </row>
    <row r="149" ht="13.5" customHeight="1">
      <c r="A149" s="26" t="s">
        <v>37</v>
      </c>
      <c r="B149" s="33"/>
      <c r="C149" s="34">
        <v>91.0</v>
      </c>
      <c r="D149" s="21"/>
      <c r="E149" s="21"/>
      <c r="F149" s="21"/>
      <c r="G149" s="21"/>
      <c r="H149" s="21"/>
      <c r="I149" s="21"/>
      <c r="J149" s="21"/>
      <c r="K149" s="25">
        <f t="shared" si="32"/>
        <v>0</v>
      </c>
    </row>
    <row r="150" ht="14.25" customHeight="1">
      <c r="A150" s="18" t="s">
        <v>38</v>
      </c>
      <c r="B150" s="19" t="s">
        <v>39</v>
      </c>
      <c r="C150" s="19" t="s">
        <v>40</v>
      </c>
      <c r="D150" s="21">
        <v>540.0</v>
      </c>
      <c r="E150" s="36">
        <v>120.0</v>
      </c>
      <c r="F150" s="41"/>
      <c r="G150" s="32"/>
      <c r="H150" s="21">
        <v>4360.0</v>
      </c>
      <c r="I150" s="21"/>
      <c r="J150" s="24">
        <v>150.0</v>
      </c>
      <c r="K150" s="25">
        <f t="shared" si="32"/>
        <v>5170</v>
      </c>
      <c r="L150" s="47"/>
      <c r="M150" s="12"/>
    </row>
    <row r="151" ht="13.5" customHeight="1">
      <c r="A151" s="35" t="s">
        <v>41</v>
      </c>
      <c r="B151" s="27"/>
      <c r="C151" s="27"/>
      <c r="D151" s="21">
        <v>550.0</v>
      </c>
      <c r="E151" s="21"/>
      <c r="F151" s="21"/>
      <c r="G151" s="21"/>
      <c r="H151" s="21">
        <v>4560.0</v>
      </c>
      <c r="I151" s="21"/>
      <c r="J151" s="21">
        <v>210.0</v>
      </c>
      <c r="K151" s="25">
        <f t="shared" si="32"/>
        <v>5320</v>
      </c>
    </row>
    <row r="152" ht="13.5" customHeight="1">
      <c r="A152" s="40" t="s">
        <v>7</v>
      </c>
      <c r="B152" s="40"/>
      <c r="C152" s="40">
        <v>563.0</v>
      </c>
      <c r="D152" s="10">
        <f t="shared" ref="D152:J152" si="33">SUM(D146:D151)</f>
        <v>1800</v>
      </c>
      <c r="E152" s="10">
        <f t="shared" si="33"/>
        <v>300</v>
      </c>
      <c r="F152" s="10">
        <f t="shared" si="33"/>
        <v>1150</v>
      </c>
      <c r="G152" s="10">
        <f t="shared" si="33"/>
        <v>150</v>
      </c>
      <c r="H152" s="10">
        <f t="shared" si="33"/>
        <v>10760</v>
      </c>
      <c r="I152" s="10">
        <f t="shared" si="33"/>
        <v>0</v>
      </c>
      <c r="J152" s="10">
        <f t="shared" si="33"/>
        <v>510</v>
      </c>
      <c r="K152" s="25">
        <f t="shared" si="32"/>
        <v>14670</v>
      </c>
    </row>
    <row r="153" ht="13.5" customHeight="1">
      <c r="A153" s="48" t="s">
        <v>72</v>
      </c>
    </row>
    <row r="154" ht="13.5" customHeight="1">
      <c r="A154" s="14" t="s">
        <v>25</v>
      </c>
      <c r="B154" s="14" t="s">
        <v>1</v>
      </c>
      <c r="C154" s="14" t="s">
        <v>27</v>
      </c>
      <c r="D154" s="15" t="s">
        <v>2</v>
      </c>
      <c r="E154" s="10" t="s">
        <v>28</v>
      </c>
      <c r="F154" s="16" t="s">
        <v>3</v>
      </c>
      <c r="G154" s="15" t="s">
        <v>4</v>
      </c>
      <c r="H154" s="15" t="s">
        <v>5</v>
      </c>
      <c r="I154" s="15" t="s">
        <v>29</v>
      </c>
      <c r="J154" s="14" t="s">
        <v>30</v>
      </c>
      <c r="K154" s="17" t="s">
        <v>7</v>
      </c>
      <c r="L154" s="49"/>
    </row>
    <row r="155" ht="13.5" customHeight="1">
      <c r="A155" s="18" t="s">
        <v>31</v>
      </c>
      <c r="B155" s="19" t="s">
        <v>73</v>
      </c>
      <c r="C155" s="20" t="s">
        <v>33</v>
      </c>
      <c r="D155" s="21">
        <v>420.0</v>
      </c>
      <c r="E155" s="36">
        <v>120.0</v>
      </c>
      <c r="F155" s="36">
        <v>600.0</v>
      </c>
      <c r="G155" s="32">
        <v>60.0</v>
      </c>
      <c r="H155" s="21">
        <v>1220.0</v>
      </c>
      <c r="I155" s="21"/>
      <c r="J155" s="21">
        <v>100.0</v>
      </c>
      <c r="K155" s="25">
        <f t="shared" ref="K155:K161" si="34">SUM(D155:J155)</f>
        <v>2520</v>
      </c>
    </row>
    <row r="156" ht="13.5" customHeight="1">
      <c r="A156" s="26" t="s">
        <v>34</v>
      </c>
      <c r="B156" s="27"/>
      <c r="C156" s="28"/>
      <c r="D156" s="21">
        <v>300.0</v>
      </c>
      <c r="E156" s="36"/>
      <c r="F156" s="36">
        <v>600.0</v>
      </c>
      <c r="G156" s="32">
        <v>50.0</v>
      </c>
      <c r="H156" s="21">
        <v>450.0</v>
      </c>
      <c r="I156" s="21"/>
      <c r="J156" s="21"/>
      <c r="K156" s="25">
        <f t="shared" si="34"/>
        <v>1400</v>
      </c>
    </row>
    <row r="157" ht="13.5" customHeight="1">
      <c r="A157" s="18" t="s">
        <v>35</v>
      </c>
      <c r="B157" s="30">
        <v>2.0</v>
      </c>
      <c r="C157" s="31" t="s">
        <v>36</v>
      </c>
      <c r="D157" s="21">
        <v>320.0</v>
      </c>
      <c r="E157" s="36">
        <v>60.0</v>
      </c>
      <c r="F157" s="36">
        <v>550.0</v>
      </c>
      <c r="G157" s="32">
        <v>80.0</v>
      </c>
      <c r="H157" s="21">
        <v>800.0</v>
      </c>
      <c r="I157" s="21"/>
      <c r="J157" s="21">
        <v>50.0</v>
      </c>
      <c r="K157" s="25">
        <f t="shared" si="34"/>
        <v>1860</v>
      </c>
    </row>
    <row r="158" ht="13.5" customHeight="1">
      <c r="A158" s="26" t="s">
        <v>37</v>
      </c>
      <c r="B158" s="33"/>
      <c r="C158" s="34"/>
      <c r="D158" s="21"/>
      <c r="E158" s="36"/>
      <c r="F158" s="36"/>
      <c r="G158" s="32"/>
      <c r="H158" s="21"/>
      <c r="I158" s="21"/>
      <c r="J158" s="21"/>
      <c r="K158" s="25">
        <f t="shared" si="34"/>
        <v>0</v>
      </c>
    </row>
    <row r="159" ht="14.25" customHeight="1">
      <c r="A159" s="18" t="s">
        <v>38</v>
      </c>
      <c r="B159" s="19" t="s">
        <v>39</v>
      </c>
      <c r="C159" s="19" t="s">
        <v>40</v>
      </c>
      <c r="D159" s="21">
        <v>580.0</v>
      </c>
      <c r="E159" s="36"/>
      <c r="F159" s="36"/>
      <c r="G159" s="21"/>
      <c r="H159" s="21">
        <v>4490.0</v>
      </c>
      <c r="I159" s="21"/>
      <c r="J159" s="21">
        <v>200.0</v>
      </c>
      <c r="K159" s="25">
        <f t="shared" si="34"/>
        <v>5270</v>
      </c>
      <c r="L159" s="47"/>
      <c r="M159" s="12"/>
    </row>
    <row r="160" ht="13.5" customHeight="1">
      <c r="A160" s="35" t="s">
        <v>41</v>
      </c>
      <c r="B160" s="27"/>
      <c r="C160" s="27"/>
      <c r="D160" s="21">
        <v>550.0</v>
      </c>
      <c r="E160" s="21">
        <v>120.0</v>
      </c>
      <c r="F160" s="21"/>
      <c r="G160" s="21"/>
      <c r="H160" s="21">
        <v>4650.0</v>
      </c>
      <c r="I160" s="21"/>
      <c r="J160" s="21">
        <v>170.0</v>
      </c>
      <c r="K160" s="25">
        <f t="shared" si="34"/>
        <v>5490</v>
      </c>
    </row>
    <row r="161" ht="13.5" customHeight="1">
      <c r="A161" s="40" t="s">
        <v>7</v>
      </c>
      <c r="B161" s="40"/>
      <c r="C161" s="40"/>
      <c r="D161" s="10">
        <f t="shared" ref="D161:J161" si="35">SUM(D155:D160)</f>
        <v>2170</v>
      </c>
      <c r="E161" s="10">
        <f t="shared" si="35"/>
        <v>300</v>
      </c>
      <c r="F161" s="10">
        <f t="shared" si="35"/>
        <v>1750</v>
      </c>
      <c r="G161" s="10">
        <f t="shared" si="35"/>
        <v>190</v>
      </c>
      <c r="H161" s="10">
        <f t="shared" si="35"/>
        <v>11610</v>
      </c>
      <c r="I161" s="10">
        <f t="shared" si="35"/>
        <v>0</v>
      </c>
      <c r="J161" s="10">
        <f t="shared" si="35"/>
        <v>520</v>
      </c>
      <c r="K161" s="25">
        <f t="shared" si="34"/>
        <v>16540</v>
      </c>
    </row>
    <row r="162" ht="13.5" customHeight="1">
      <c r="A162" s="48" t="s">
        <v>74</v>
      </c>
    </row>
    <row r="163" ht="13.5" customHeight="1">
      <c r="A163" s="14" t="s">
        <v>25</v>
      </c>
      <c r="B163" s="14" t="s">
        <v>1</v>
      </c>
      <c r="C163" s="14" t="s">
        <v>27</v>
      </c>
      <c r="D163" s="15" t="s">
        <v>2</v>
      </c>
      <c r="E163" s="10" t="s">
        <v>28</v>
      </c>
      <c r="F163" s="16" t="s">
        <v>3</v>
      </c>
      <c r="G163" s="15" t="s">
        <v>4</v>
      </c>
      <c r="H163" s="15" t="s">
        <v>5</v>
      </c>
      <c r="I163" s="15" t="s">
        <v>29</v>
      </c>
      <c r="J163" s="14" t="s">
        <v>30</v>
      </c>
      <c r="K163" s="17" t="s">
        <v>7</v>
      </c>
    </row>
    <row r="164" ht="13.5" customHeight="1">
      <c r="A164" s="18" t="s">
        <v>31</v>
      </c>
      <c r="B164" s="19" t="s">
        <v>75</v>
      </c>
      <c r="C164" s="20" t="s">
        <v>33</v>
      </c>
      <c r="D164" s="21">
        <v>430.0</v>
      </c>
      <c r="E164" s="36">
        <v>120.0</v>
      </c>
      <c r="F164" s="36">
        <v>700.0</v>
      </c>
      <c r="G164" s="32">
        <v>60.0</v>
      </c>
      <c r="H164" s="21">
        <v>1100.0</v>
      </c>
      <c r="I164" s="21"/>
      <c r="J164" s="24">
        <v>130.0</v>
      </c>
      <c r="K164" s="25">
        <f t="shared" ref="K164:K170" si="36">SUM(D164:J164)</f>
        <v>2540</v>
      </c>
    </row>
    <row r="165" ht="13.5" customHeight="1">
      <c r="A165" s="26" t="s">
        <v>34</v>
      </c>
      <c r="B165" s="27"/>
      <c r="C165" s="28"/>
      <c r="D165" s="21">
        <v>350.0</v>
      </c>
      <c r="E165" s="36"/>
      <c r="F165" s="36">
        <v>500.0</v>
      </c>
      <c r="G165" s="32">
        <v>50.0</v>
      </c>
      <c r="H165" s="21">
        <v>470.0</v>
      </c>
      <c r="I165" s="21"/>
      <c r="J165" s="29">
        <v>80.0</v>
      </c>
      <c r="K165" s="25">
        <f t="shared" si="36"/>
        <v>1450</v>
      </c>
    </row>
    <row r="166" ht="13.5" customHeight="1">
      <c r="A166" s="18" t="s">
        <v>35</v>
      </c>
      <c r="B166" s="30">
        <v>2.0</v>
      </c>
      <c r="C166" s="31" t="s">
        <v>36</v>
      </c>
      <c r="D166" s="21">
        <v>270.0</v>
      </c>
      <c r="E166" s="36">
        <v>60.0</v>
      </c>
      <c r="F166" s="36">
        <v>550.0</v>
      </c>
      <c r="G166" s="32">
        <v>90.0</v>
      </c>
      <c r="H166" s="21">
        <v>460.0</v>
      </c>
      <c r="I166" s="21"/>
      <c r="J166" s="24">
        <v>70.0</v>
      </c>
      <c r="K166" s="25">
        <f t="shared" si="36"/>
        <v>1500</v>
      </c>
    </row>
    <row r="167" ht="13.5" customHeight="1">
      <c r="A167" s="26" t="s">
        <v>37</v>
      </c>
      <c r="B167" s="33"/>
      <c r="C167" s="34"/>
      <c r="D167" s="21"/>
      <c r="E167" s="36"/>
      <c r="F167" s="36"/>
      <c r="G167" s="21"/>
      <c r="H167" s="21"/>
      <c r="I167" s="21"/>
      <c r="J167" s="29"/>
      <c r="K167" s="25">
        <f t="shared" si="36"/>
        <v>0</v>
      </c>
    </row>
    <row r="168" ht="14.25" customHeight="1">
      <c r="A168" s="18" t="s">
        <v>38</v>
      </c>
      <c r="B168" s="19" t="s">
        <v>39</v>
      </c>
      <c r="C168" s="19" t="s">
        <v>40</v>
      </c>
      <c r="D168" s="21">
        <v>540.0</v>
      </c>
      <c r="E168" s="36"/>
      <c r="F168" s="36"/>
      <c r="G168" s="21"/>
      <c r="H168" s="21">
        <v>4600.0</v>
      </c>
      <c r="I168" s="21"/>
      <c r="J168" s="21">
        <v>130.0</v>
      </c>
      <c r="K168" s="25">
        <f t="shared" si="36"/>
        <v>5270</v>
      </c>
      <c r="L168" s="47"/>
      <c r="M168" s="12"/>
    </row>
    <row r="169" ht="13.5" customHeight="1">
      <c r="A169" s="35" t="s">
        <v>41</v>
      </c>
      <c r="B169" s="27"/>
      <c r="C169" s="27"/>
      <c r="D169" s="21">
        <v>560.0</v>
      </c>
      <c r="E169" s="21">
        <v>120.0</v>
      </c>
      <c r="F169" s="21"/>
      <c r="G169" s="21"/>
      <c r="H169" s="21">
        <v>4670.0</v>
      </c>
      <c r="I169" s="21"/>
      <c r="J169" s="21">
        <v>220.0</v>
      </c>
      <c r="K169" s="25">
        <f t="shared" si="36"/>
        <v>5570</v>
      </c>
    </row>
    <row r="170" ht="13.5" customHeight="1">
      <c r="A170" s="40" t="s">
        <v>7</v>
      </c>
      <c r="B170" s="40"/>
      <c r="C170" s="40"/>
      <c r="D170" s="10">
        <f t="shared" ref="D170:J170" si="37">SUM(D164:D169)</f>
        <v>2150</v>
      </c>
      <c r="E170" s="10">
        <f t="shared" si="37"/>
        <v>300</v>
      </c>
      <c r="F170" s="10">
        <f t="shared" si="37"/>
        <v>1750</v>
      </c>
      <c r="G170" s="10">
        <f t="shared" si="37"/>
        <v>200</v>
      </c>
      <c r="H170" s="10">
        <f t="shared" si="37"/>
        <v>11300</v>
      </c>
      <c r="I170" s="10">
        <f t="shared" si="37"/>
        <v>0</v>
      </c>
      <c r="J170" s="10">
        <f t="shared" si="37"/>
        <v>630</v>
      </c>
      <c r="K170" s="25">
        <f t="shared" si="36"/>
        <v>16330</v>
      </c>
    </row>
    <row r="171" ht="13.5" customHeight="1">
      <c r="A171" s="48" t="s">
        <v>76</v>
      </c>
    </row>
    <row r="172" ht="13.5" customHeight="1">
      <c r="A172" s="14"/>
      <c r="B172" s="14" t="s">
        <v>1</v>
      </c>
      <c r="C172" s="14" t="s">
        <v>27</v>
      </c>
      <c r="D172" s="15" t="s">
        <v>2</v>
      </c>
      <c r="E172" s="10" t="s">
        <v>28</v>
      </c>
      <c r="F172" s="16" t="s">
        <v>3</v>
      </c>
      <c r="G172" s="15" t="s">
        <v>4</v>
      </c>
      <c r="H172" s="15" t="s">
        <v>5</v>
      </c>
      <c r="I172" s="15" t="s">
        <v>77</v>
      </c>
      <c r="J172" s="14" t="s">
        <v>30</v>
      </c>
      <c r="K172" s="17" t="s">
        <v>7</v>
      </c>
    </row>
    <row r="173" ht="13.5" customHeight="1">
      <c r="A173" s="18" t="s">
        <v>31</v>
      </c>
      <c r="B173" s="19" t="s">
        <v>78</v>
      </c>
      <c r="C173" s="20" t="s">
        <v>33</v>
      </c>
      <c r="D173" s="21">
        <v>420.0</v>
      </c>
      <c r="E173" s="36">
        <v>120.0</v>
      </c>
      <c r="F173" s="36">
        <v>670.0</v>
      </c>
      <c r="G173" s="32">
        <v>60.0</v>
      </c>
      <c r="H173" s="21">
        <v>1220.0</v>
      </c>
      <c r="I173" s="21"/>
      <c r="J173" s="24">
        <v>160.0</v>
      </c>
      <c r="K173" s="25">
        <f t="shared" ref="K173:K179" si="38">SUM(D173:J173)</f>
        <v>2650</v>
      </c>
    </row>
    <row r="174" ht="13.5" customHeight="1">
      <c r="A174" s="26" t="s">
        <v>34</v>
      </c>
      <c r="B174" s="27"/>
      <c r="C174" s="28"/>
      <c r="D174" s="21">
        <v>370.0</v>
      </c>
      <c r="E174" s="36"/>
      <c r="F174" s="36">
        <v>500.0</v>
      </c>
      <c r="G174" s="32">
        <v>40.0</v>
      </c>
      <c r="H174" s="21">
        <v>660.0</v>
      </c>
      <c r="I174" s="21"/>
      <c r="J174" s="24">
        <v>90.0</v>
      </c>
      <c r="K174" s="25">
        <f t="shared" si="38"/>
        <v>1660</v>
      </c>
    </row>
    <row r="175" ht="13.5" customHeight="1">
      <c r="A175" s="18" t="s">
        <v>35</v>
      </c>
      <c r="B175" s="30">
        <v>2.0</v>
      </c>
      <c r="C175" s="31" t="s">
        <v>36</v>
      </c>
      <c r="D175" s="21">
        <v>270.0</v>
      </c>
      <c r="E175" s="36">
        <v>60.0</v>
      </c>
      <c r="F175" s="41">
        <v>440.0</v>
      </c>
      <c r="G175" s="32">
        <v>90.0</v>
      </c>
      <c r="H175" s="21">
        <v>730.0</v>
      </c>
      <c r="I175" s="21"/>
      <c r="J175" s="24">
        <v>70.0</v>
      </c>
      <c r="K175" s="25">
        <f t="shared" si="38"/>
        <v>1660</v>
      </c>
    </row>
    <row r="176" ht="13.5" customHeight="1">
      <c r="A176" s="26" t="s">
        <v>37</v>
      </c>
      <c r="B176" s="33"/>
      <c r="C176" s="34"/>
      <c r="D176" s="21"/>
      <c r="E176" s="36"/>
      <c r="F176" s="41"/>
      <c r="G176" s="32"/>
      <c r="H176" s="21"/>
      <c r="I176" s="21"/>
      <c r="J176" s="29"/>
      <c r="K176" s="25">
        <f t="shared" si="38"/>
        <v>0</v>
      </c>
    </row>
    <row r="177" ht="14.25" customHeight="1">
      <c r="A177" s="18" t="s">
        <v>38</v>
      </c>
      <c r="B177" s="19" t="s">
        <v>39</v>
      </c>
      <c r="C177" s="19" t="s">
        <v>40</v>
      </c>
      <c r="D177" s="21">
        <v>560.0</v>
      </c>
      <c r="E177" s="36">
        <v>120.0</v>
      </c>
      <c r="F177" s="36"/>
      <c r="G177" s="21"/>
      <c r="H177" s="21">
        <v>4460.0</v>
      </c>
      <c r="I177" s="21"/>
      <c r="J177" s="21">
        <v>200.0</v>
      </c>
      <c r="K177" s="25">
        <f t="shared" si="38"/>
        <v>5340</v>
      </c>
      <c r="L177" s="47"/>
      <c r="M177" s="12"/>
    </row>
    <row r="178" ht="13.5" customHeight="1">
      <c r="A178" s="35" t="s">
        <v>41</v>
      </c>
      <c r="B178" s="27"/>
      <c r="C178" s="27"/>
      <c r="D178" s="21">
        <v>550.0</v>
      </c>
      <c r="E178" s="36"/>
      <c r="F178" s="36"/>
      <c r="G178" s="21"/>
      <c r="H178" s="21">
        <v>4890.0</v>
      </c>
      <c r="I178" s="21"/>
      <c r="J178" s="21">
        <v>160.0</v>
      </c>
      <c r="K178" s="25">
        <f t="shared" si="38"/>
        <v>5600</v>
      </c>
    </row>
    <row r="179" ht="13.5" customHeight="1">
      <c r="A179" s="40" t="s">
        <v>7</v>
      </c>
      <c r="B179" s="40"/>
      <c r="C179" s="40"/>
      <c r="D179" s="10">
        <f t="shared" ref="D179:J179" si="39">SUM(D173:D178)</f>
        <v>2170</v>
      </c>
      <c r="E179" s="10">
        <f t="shared" si="39"/>
        <v>300</v>
      </c>
      <c r="F179" s="10">
        <f t="shared" si="39"/>
        <v>1610</v>
      </c>
      <c r="G179" s="10">
        <f t="shared" si="39"/>
        <v>190</v>
      </c>
      <c r="H179" s="10">
        <f t="shared" si="39"/>
        <v>11960</v>
      </c>
      <c r="I179" s="10">
        <f t="shared" si="39"/>
        <v>0</v>
      </c>
      <c r="J179" s="10">
        <f t="shared" si="39"/>
        <v>680</v>
      </c>
      <c r="K179" s="25">
        <f t="shared" si="38"/>
        <v>16910</v>
      </c>
    </row>
    <row r="180" ht="13.5" customHeight="1">
      <c r="A180" s="48" t="s">
        <v>79</v>
      </c>
    </row>
    <row r="181" ht="13.5" customHeight="1">
      <c r="A181" s="14" t="s">
        <v>25</v>
      </c>
      <c r="B181" s="14" t="s">
        <v>1</v>
      </c>
      <c r="C181" s="14" t="s">
        <v>27</v>
      </c>
      <c r="D181" s="15" t="s">
        <v>2</v>
      </c>
      <c r="E181" s="10" t="s">
        <v>28</v>
      </c>
      <c r="F181" s="16" t="s">
        <v>3</v>
      </c>
      <c r="G181" s="15" t="s">
        <v>4</v>
      </c>
      <c r="H181" s="15" t="s">
        <v>5</v>
      </c>
      <c r="I181" s="15" t="s">
        <v>77</v>
      </c>
      <c r="J181" s="14" t="s">
        <v>30</v>
      </c>
      <c r="K181" s="17" t="s">
        <v>7</v>
      </c>
    </row>
    <row r="182" ht="13.5" customHeight="1">
      <c r="A182" s="18" t="s">
        <v>31</v>
      </c>
      <c r="B182" s="19" t="s">
        <v>80</v>
      </c>
      <c r="C182" s="20" t="s">
        <v>33</v>
      </c>
      <c r="D182" s="21">
        <v>420.0</v>
      </c>
      <c r="E182" s="36">
        <v>120.0</v>
      </c>
      <c r="F182" s="41">
        <v>800.0</v>
      </c>
      <c r="G182" s="32">
        <v>60.0</v>
      </c>
      <c r="H182" s="21">
        <v>770.0</v>
      </c>
      <c r="I182" s="21"/>
      <c r="J182" s="24">
        <v>150.0</v>
      </c>
      <c r="K182" s="25">
        <f t="shared" ref="K182:K188" si="40">SUM(D182:J182)</f>
        <v>2320</v>
      </c>
    </row>
    <row r="183" ht="13.5" customHeight="1">
      <c r="A183" s="26" t="s">
        <v>34</v>
      </c>
      <c r="B183" s="27"/>
      <c r="C183" s="28"/>
      <c r="D183" s="21">
        <v>300.0</v>
      </c>
      <c r="E183" s="36"/>
      <c r="F183" s="41">
        <v>410.0</v>
      </c>
      <c r="G183" s="32"/>
      <c r="H183" s="21">
        <v>620.0</v>
      </c>
      <c r="I183" s="21"/>
      <c r="J183" s="29"/>
      <c r="K183" s="25">
        <f t="shared" si="40"/>
        <v>1330</v>
      </c>
    </row>
    <row r="184" ht="13.5" customHeight="1">
      <c r="A184" s="18" t="s">
        <v>35</v>
      </c>
      <c r="B184" s="30">
        <v>2.0</v>
      </c>
      <c r="C184" s="31" t="s">
        <v>36</v>
      </c>
      <c r="D184" s="21">
        <v>310.0</v>
      </c>
      <c r="E184" s="36">
        <v>60.0</v>
      </c>
      <c r="F184" s="41">
        <v>660.0</v>
      </c>
      <c r="G184" s="32">
        <v>90.0</v>
      </c>
      <c r="H184" s="21">
        <v>540.0</v>
      </c>
      <c r="I184" s="21"/>
      <c r="J184" s="24">
        <v>80.0</v>
      </c>
      <c r="K184" s="25">
        <f t="shared" si="40"/>
        <v>1740</v>
      </c>
    </row>
    <row r="185" ht="13.5" customHeight="1">
      <c r="A185" s="26" t="s">
        <v>37</v>
      </c>
      <c r="B185" s="33"/>
      <c r="C185" s="34"/>
      <c r="D185" s="21"/>
      <c r="E185" s="36"/>
      <c r="F185" s="41"/>
      <c r="G185" s="32"/>
      <c r="H185" s="21"/>
      <c r="I185" s="21"/>
      <c r="J185" s="29"/>
      <c r="K185" s="25">
        <f t="shared" si="40"/>
        <v>0</v>
      </c>
    </row>
    <row r="186" ht="14.25" customHeight="1">
      <c r="A186" s="18" t="s">
        <v>38</v>
      </c>
      <c r="B186" s="19" t="s">
        <v>39</v>
      </c>
      <c r="C186" s="19" t="s">
        <v>40</v>
      </c>
      <c r="D186" s="21">
        <v>600.0</v>
      </c>
      <c r="E186" s="36">
        <v>120.0</v>
      </c>
      <c r="F186" s="36">
        <v>570.0</v>
      </c>
      <c r="G186" s="21"/>
      <c r="H186" s="21">
        <v>4050.0</v>
      </c>
      <c r="I186" s="21"/>
      <c r="J186" s="21">
        <v>230.0</v>
      </c>
      <c r="K186" s="25">
        <f t="shared" si="40"/>
        <v>5570</v>
      </c>
      <c r="L186" s="47"/>
      <c r="M186" s="12"/>
    </row>
    <row r="187" ht="13.5" customHeight="1">
      <c r="A187" s="35" t="s">
        <v>41</v>
      </c>
      <c r="B187" s="27"/>
      <c r="C187" s="27"/>
      <c r="D187" s="21">
        <v>550.0</v>
      </c>
      <c r="E187" s="21"/>
      <c r="F187" s="21">
        <v>550.0</v>
      </c>
      <c r="G187" s="21"/>
      <c r="H187" s="21">
        <v>4230.0</v>
      </c>
      <c r="I187" s="21"/>
      <c r="J187" s="21">
        <v>190.0</v>
      </c>
      <c r="K187" s="25">
        <f t="shared" si="40"/>
        <v>5520</v>
      </c>
    </row>
    <row r="188" ht="13.5" customHeight="1">
      <c r="A188" s="40" t="s">
        <v>7</v>
      </c>
      <c r="B188" s="40"/>
      <c r="C188" s="40"/>
      <c r="D188" s="10">
        <f t="shared" ref="D188:J188" si="41">SUM(D182:D187)</f>
        <v>2180</v>
      </c>
      <c r="E188" s="10">
        <f t="shared" si="41"/>
        <v>300</v>
      </c>
      <c r="F188" s="10">
        <f t="shared" si="41"/>
        <v>2990</v>
      </c>
      <c r="G188" s="10">
        <f t="shared" si="41"/>
        <v>150</v>
      </c>
      <c r="H188" s="10">
        <f t="shared" si="41"/>
        <v>10210</v>
      </c>
      <c r="I188" s="10">
        <f t="shared" si="41"/>
        <v>0</v>
      </c>
      <c r="J188" s="10">
        <f t="shared" si="41"/>
        <v>650</v>
      </c>
      <c r="K188" s="25">
        <f t="shared" si="40"/>
        <v>16480</v>
      </c>
    </row>
    <row r="189" ht="13.5" customHeight="1">
      <c r="A189" s="48" t="s">
        <v>81</v>
      </c>
    </row>
    <row r="190" ht="13.5" customHeight="1">
      <c r="A190" s="14" t="s">
        <v>25</v>
      </c>
      <c r="B190" s="14" t="s">
        <v>1</v>
      </c>
      <c r="C190" s="14" t="s">
        <v>27</v>
      </c>
      <c r="D190" s="15" t="s">
        <v>2</v>
      </c>
      <c r="E190" s="10" t="s">
        <v>28</v>
      </c>
      <c r="F190" s="16" t="s">
        <v>3</v>
      </c>
      <c r="G190" s="15" t="s">
        <v>4</v>
      </c>
      <c r="H190" s="15" t="s">
        <v>5</v>
      </c>
      <c r="I190" s="15" t="s">
        <v>82</v>
      </c>
      <c r="J190" s="14" t="s">
        <v>30</v>
      </c>
      <c r="K190" s="17" t="s">
        <v>7</v>
      </c>
    </row>
    <row r="191" ht="13.5" customHeight="1">
      <c r="A191" s="18" t="s">
        <v>31</v>
      </c>
      <c r="B191" s="19" t="s">
        <v>83</v>
      </c>
      <c r="C191" s="20" t="s">
        <v>33</v>
      </c>
      <c r="D191" s="21">
        <v>430.0</v>
      </c>
      <c r="E191" s="36">
        <v>120.0</v>
      </c>
      <c r="F191" s="36">
        <v>800.0</v>
      </c>
      <c r="G191" s="32">
        <v>60.0</v>
      </c>
      <c r="H191" s="21">
        <v>1030.0</v>
      </c>
      <c r="I191" s="21"/>
      <c r="J191" s="50"/>
      <c r="K191" s="25">
        <f t="shared" ref="K191:K197" si="42">SUM(D191:J191)</f>
        <v>2440</v>
      </c>
    </row>
    <row r="192" ht="13.5" customHeight="1">
      <c r="A192" s="26" t="s">
        <v>34</v>
      </c>
      <c r="B192" s="27"/>
      <c r="C192" s="28"/>
      <c r="D192" s="21">
        <v>380.0</v>
      </c>
      <c r="E192" s="36"/>
      <c r="F192" s="36">
        <v>470.0</v>
      </c>
      <c r="G192" s="32">
        <v>30.0</v>
      </c>
      <c r="H192" s="21">
        <v>820.0</v>
      </c>
      <c r="I192" s="21"/>
      <c r="J192" s="51"/>
      <c r="K192" s="25">
        <f t="shared" si="42"/>
        <v>1700</v>
      </c>
    </row>
    <row r="193" ht="13.5" customHeight="1">
      <c r="A193" s="18" t="s">
        <v>35</v>
      </c>
      <c r="B193" s="30">
        <v>2.0</v>
      </c>
      <c r="C193" s="31" t="s">
        <v>36</v>
      </c>
      <c r="D193" s="21">
        <v>300.0</v>
      </c>
      <c r="E193" s="36">
        <v>60.0</v>
      </c>
      <c r="F193" s="36">
        <v>470.0</v>
      </c>
      <c r="G193" s="32">
        <v>90.0</v>
      </c>
      <c r="H193" s="21">
        <v>770.0</v>
      </c>
      <c r="I193" s="21"/>
      <c r="J193" s="50">
        <v>70.0</v>
      </c>
      <c r="K193" s="25">
        <f t="shared" si="42"/>
        <v>1760</v>
      </c>
    </row>
    <row r="194" ht="13.5" customHeight="1">
      <c r="A194" s="26" t="s">
        <v>37</v>
      </c>
      <c r="B194" s="33"/>
      <c r="C194" s="34"/>
      <c r="D194" s="10"/>
      <c r="E194" s="10"/>
      <c r="F194" s="10"/>
      <c r="G194" s="32"/>
      <c r="H194" s="10"/>
      <c r="I194" s="10"/>
      <c r="J194" s="52"/>
      <c r="K194" s="25">
        <f t="shared" si="42"/>
        <v>0</v>
      </c>
    </row>
    <row r="195" ht="14.25" customHeight="1">
      <c r="A195" s="18" t="s">
        <v>38</v>
      </c>
      <c r="B195" s="19" t="s">
        <v>39</v>
      </c>
      <c r="C195" s="19" t="s">
        <v>40</v>
      </c>
      <c r="D195" s="21">
        <v>550.0</v>
      </c>
      <c r="E195" s="36">
        <v>120.0</v>
      </c>
      <c r="F195" s="36">
        <v>600.0</v>
      </c>
      <c r="G195" s="21"/>
      <c r="H195" s="21">
        <v>4110.0</v>
      </c>
      <c r="I195" s="21"/>
      <c r="J195" s="21">
        <v>190.0</v>
      </c>
      <c r="K195" s="25">
        <f t="shared" si="42"/>
        <v>5570</v>
      </c>
      <c r="L195" s="47"/>
      <c r="M195" s="12"/>
    </row>
    <row r="196" ht="13.5" customHeight="1">
      <c r="A196" s="35" t="s">
        <v>41</v>
      </c>
      <c r="B196" s="27"/>
      <c r="C196" s="27"/>
      <c r="D196" s="21">
        <v>550.0</v>
      </c>
      <c r="E196" s="21"/>
      <c r="F196" s="21">
        <v>620.0</v>
      </c>
      <c r="G196" s="21"/>
      <c r="H196" s="21">
        <v>4130.0</v>
      </c>
      <c r="I196" s="21"/>
      <c r="J196" s="21">
        <v>210.0</v>
      </c>
      <c r="K196" s="25">
        <f t="shared" si="42"/>
        <v>5510</v>
      </c>
    </row>
    <row r="197" ht="13.5" customHeight="1">
      <c r="A197" s="40" t="s">
        <v>7</v>
      </c>
      <c r="B197" s="40"/>
      <c r="C197" s="40"/>
      <c r="D197" s="10">
        <f t="shared" ref="D197:J197" si="43">SUM(D191:D196)</f>
        <v>2210</v>
      </c>
      <c r="E197" s="10">
        <f t="shared" si="43"/>
        <v>300</v>
      </c>
      <c r="F197" s="10">
        <f t="shared" si="43"/>
        <v>2960</v>
      </c>
      <c r="G197" s="10">
        <f t="shared" si="43"/>
        <v>180</v>
      </c>
      <c r="H197" s="10">
        <f t="shared" si="43"/>
        <v>10860</v>
      </c>
      <c r="I197" s="10">
        <f t="shared" si="43"/>
        <v>0</v>
      </c>
      <c r="J197" s="10">
        <f t="shared" si="43"/>
        <v>470</v>
      </c>
      <c r="K197" s="25">
        <f t="shared" si="42"/>
        <v>16980</v>
      </c>
    </row>
    <row r="198" ht="13.5" customHeight="1"/>
    <row r="199" ht="13.5" customHeight="1">
      <c r="A199" s="48" t="s">
        <v>84</v>
      </c>
    </row>
    <row r="200" ht="13.5" customHeight="1">
      <c r="A200" s="14" t="s">
        <v>25</v>
      </c>
      <c r="B200" s="14" t="s">
        <v>1</v>
      </c>
      <c r="C200" s="14" t="s">
        <v>27</v>
      </c>
      <c r="D200" s="15" t="s">
        <v>2</v>
      </c>
      <c r="E200" s="10" t="s">
        <v>28</v>
      </c>
      <c r="F200" s="16" t="s">
        <v>3</v>
      </c>
      <c r="G200" s="15" t="s">
        <v>4</v>
      </c>
      <c r="H200" s="15" t="s">
        <v>5</v>
      </c>
      <c r="I200" s="15" t="s">
        <v>29</v>
      </c>
      <c r="J200" s="14" t="s">
        <v>30</v>
      </c>
      <c r="K200" s="17" t="s">
        <v>7</v>
      </c>
    </row>
    <row r="201" ht="13.5" customHeight="1">
      <c r="A201" s="18" t="s">
        <v>31</v>
      </c>
      <c r="B201" s="19" t="s">
        <v>85</v>
      </c>
      <c r="C201" s="20" t="s">
        <v>33</v>
      </c>
      <c r="D201" s="21">
        <v>450.0</v>
      </c>
      <c r="E201" s="36">
        <v>120.0</v>
      </c>
      <c r="F201" s="41">
        <v>830.0</v>
      </c>
      <c r="G201" s="32">
        <v>60.0</v>
      </c>
      <c r="H201" s="21"/>
      <c r="I201" s="21">
        <v>910.0</v>
      </c>
      <c r="J201" s="24"/>
      <c r="K201" s="25">
        <f t="shared" ref="K201:K207" si="44">SUM(D201:J201)</f>
        <v>2370</v>
      </c>
    </row>
    <row r="202" ht="13.5" customHeight="1">
      <c r="A202" s="26" t="s">
        <v>34</v>
      </c>
      <c r="B202" s="27"/>
      <c r="C202" s="28"/>
      <c r="D202" s="21">
        <v>310.0</v>
      </c>
      <c r="E202" s="36"/>
      <c r="F202" s="41">
        <v>460.0</v>
      </c>
      <c r="G202" s="32">
        <v>50.0</v>
      </c>
      <c r="H202" s="21">
        <v>730.0</v>
      </c>
      <c r="I202" s="21"/>
      <c r="J202" s="29"/>
      <c r="K202" s="25">
        <f t="shared" si="44"/>
        <v>1550</v>
      </c>
    </row>
    <row r="203" ht="13.5" customHeight="1">
      <c r="A203" s="18" t="s">
        <v>35</v>
      </c>
      <c r="B203" s="30">
        <v>2.0</v>
      </c>
      <c r="C203" s="31" t="s">
        <v>36</v>
      </c>
      <c r="D203" s="21">
        <v>270.0</v>
      </c>
      <c r="E203" s="41">
        <v>60.0</v>
      </c>
      <c r="F203" s="10">
        <v>450.0</v>
      </c>
      <c r="G203" s="32">
        <v>90.0</v>
      </c>
      <c r="H203" s="21"/>
      <c r="I203" s="24">
        <v>810.0</v>
      </c>
      <c r="J203" s="24">
        <v>40.0</v>
      </c>
      <c r="K203" s="25">
        <f t="shared" si="44"/>
        <v>1720</v>
      </c>
    </row>
    <row r="204" ht="13.5" customHeight="1">
      <c r="A204" s="26" t="s">
        <v>37</v>
      </c>
      <c r="B204" s="33"/>
      <c r="C204" s="34"/>
      <c r="D204" s="21"/>
      <c r="E204" s="36"/>
      <c r="F204" s="36"/>
      <c r="G204" s="32"/>
      <c r="H204" s="21"/>
      <c r="I204" s="29"/>
      <c r="J204" s="29"/>
      <c r="K204" s="25">
        <f t="shared" si="44"/>
        <v>0</v>
      </c>
    </row>
    <row r="205" ht="14.25" customHeight="1">
      <c r="A205" s="18" t="s">
        <v>38</v>
      </c>
      <c r="B205" s="19" t="s">
        <v>39</v>
      </c>
      <c r="C205" s="19" t="s">
        <v>40</v>
      </c>
      <c r="D205" s="21">
        <v>560.0</v>
      </c>
      <c r="E205" s="36">
        <v>120.0</v>
      </c>
      <c r="F205" s="36">
        <v>450.0</v>
      </c>
      <c r="G205" s="21"/>
      <c r="H205" s="21">
        <v>4040.0</v>
      </c>
      <c r="I205" s="21">
        <v>200.0</v>
      </c>
      <c r="J205" s="24">
        <v>230.0</v>
      </c>
      <c r="K205" s="25">
        <f t="shared" si="44"/>
        <v>5600</v>
      </c>
      <c r="L205" s="47"/>
      <c r="M205" s="12"/>
    </row>
    <row r="206" ht="13.5" customHeight="1">
      <c r="A206" s="35" t="s">
        <v>41</v>
      </c>
      <c r="B206" s="27"/>
      <c r="C206" s="27"/>
      <c r="D206" s="21">
        <v>580.0</v>
      </c>
      <c r="E206" s="36"/>
      <c r="F206" s="36">
        <v>500.0</v>
      </c>
      <c r="G206" s="21"/>
      <c r="H206" s="21">
        <v>4150.0</v>
      </c>
      <c r="I206" s="21"/>
      <c r="J206" s="39">
        <v>220.0</v>
      </c>
      <c r="K206" s="25">
        <f t="shared" si="44"/>
        <v>5450</v>
      </c>
    </row>
    <row r="207" ht="13.5" customHeight="1">
      <c r="A207" s="40" t="s">
        <v>7</v>
      </c>
      <c r="B207" s="40"/>
      <c r="C207" s="40"/>
      <c r="D207" s="10">
        <f t="shared" ref="D207:J207" si="45">SUM(D201:D206)</f>
        <v>2170</v>
      </c>
      <c r="E207" s="10">
        <f t="shared" si="45"/>
        <v>300</v>
      </c>
      <c r="F207" s="10">
        <f t="shared" si="45"/>
        <v>2690</v>
      </c>
      <c r="G207" s="10">
        <f t="shared" si="45"/>
        <v>200</v>
      </c>
      <c r="H207" s="10">
        <f t="shared" si="45"/>
        <v>8920</v>
      </c>
      <c r="I207" s="10">
        <f t="shared" si="45"/>
        <v>1920</v>
      </c>
      <c r="J207" s="10">
        <f t="shared" si="45"/>
        <v>490</v>
      </c>
      <c r="K207" s="25">
        <f t="shared" si="44"/>
        <v>16690</v>
      </c>
    </row>
    <row r="208" ht="13.5" customHeight="1"/>
    <row r="209" ht="13.5" customHeight="1">
      <c r="A209" s="48" t="s">
        <v>86</v>
      </c>
    </row>
    <row r="210" ht="13.5" customHeight="1">
      <c r="A210" s="14"/>
      <c r="B210" s="14" t="s">
        <v>1</v>
      </c>
      <c r="C210" s="14" t="s">
        <v>27</v>
      </c>
      <c r="D210" s="15" t="s">
        <v>2</v>
      </c>
      <c r="E210" s="10" t="s">
        <v>28</v>
      </c>
      <c r="F210" s="16" t="s">
        <v>3</v>
      </c>
      <c r="G210" s="15" t="s">
        <v>4</v>
      </c>
      <c r="H210" s="15" t="s">
        <v>5</v>
      </c>
      <c r="I210" s="15" t="s">
        <v>29</v>
      </c>
      <c r="J210" s="14" t="s">
        <v>30</v>
      </c>
      <c r="K210" s="17" t="s">
        <v>7</v>
      </c>
    </row>
    <row r="211" ht="13.5" customHeight="1">
      <c r="A211" s="18" t="s">
        <v>31</v>
      </c>
      <c r="B211" s="19" t="s">
        <v>87</v>
      </c>
      <c r="C211" s="20" t="s">
        <v>33</v>
      </c>
      <c r="D211" s="21">
        <v>430.0</v>
      </c>
      <c r="E211" s="36">
        <v>120.0</v>
      </c>
      <c r="F211" s="36">
        <v>820.0</v>
      </c>
      <c r="G211" s="32">
        <v>60.0</v>
      </c>
      <c r="H211" s="21">
        <v>940.0</v>
      </c>
      <c r="I211" s="23"/>
      <c r="J211" s="24"/>
      <c r="K211" s="25">
        <f t="shared" ref="K211:K217" si="46">SUM(D211:J211)</f>
        <v>2370</v>
      </c>
    </row>
    <row r="212" ht="13.5" customHeight="1">
      <c r="A212" s="26" t="s">
        <v>34</v>
      </c>
      <c r="B212" s="27"/>
      <c r="C212" s="28"/>
      <c r="D212" s="21">
        <v>570.0</v>
      </c>
      <c r="E212" s="36"/>
      <c r="F212" s="37">
        <v>450.0</v>
      </c>
      <c r="G212" s="53"/>
      <c r="H212" s="22">
        <v>4350.0</v>
      </c>
      <c r="I212" s="29"/>
      <c r="J212" s="29">
        <v>180.0</v>
      </c>
      <c r="K212" s="25">
        <f t="shared" si="46"/>
        <v>5550</v>
      </c>
    </row>
    <row r="213" ht="13.5" customHeight="1">
      <c r="A213" s="18" t="s">
        <v>35</v>
      </c>
      <c r="B213" s="30">
        <v>2.0</v>
      </c>
      <c r="C213" s="31" t="s">
        <v>36</v>
      </c>
      <c r="D213" s="21">
        <v>270.0</v>
      </c>
      <c r="E213" s="36">
        <v>60.0</v>
      </c>
      <c r="F213" s="36">
        <v>390.0</v>
      </c>
      <c r="G213" s="21">
        <v>90.0</v>
      </c>
      <c r="H213" s="21">
        <v>770.0</v>
      </c>
      <c r="I213" s="21"/>
      <c r="J213" s="24">
        <v>70.0</v>
      </c>
      <c r="K213" s="25">
        <f t="shared" si="46"/>
        <v>1650</v>
      </c>
    </row>
    <row r="214" ht="13.5" customHeight="1">
      <c r="A214" s="26" t="s">
        <v>37</v>
      </c>
      <c r="B214" s="33"/>
      <c r="C214" s="34"/>
      <c r="D214" s="21"/>
      <c r="E214" s="36"/>
      <c r="F214" s="36"/>
      <c r="G214" s="21"/>
      <c r="H214" s="21"/>
      <c r="I214" s="21"/>
      <c r="J214" s="29"/>
      <c r="K214" s="25">
        <f t="shared" si="46"/>
        <v>0</v>
      </c>
    </row>
    <row r="215" ht="14.25" customHeight="1">
      <c r="A215" s="18" t="s">
        <v>38</v>
      </c>
      <c r="B215" s="19" t="s">
        <v>39</v>
      </c>
      <c r="C215" s="19" t="s">
        <v>40</v>
      </c>
      <c r="D215" s="21">
        <v>550.0</v>
      </c>
      <c r="E215" s="36">
        <v>120.0</v>
      </c>
      <c r="F215" s="36">
        <v>450.0</v>
      </c>
      <c r="G215" s="21"/>
      <c r="H215" s="21">
        <v>4360.0</v>
      </c>
      <c r="I215" s="21"/>
      <c r="J215" s="24">
        <v>180.0</v>
      </c>
      <c r="K215" s="25">
        <f t="shared" si="46"/>
        <v>5660</v>
      </c>
      <c r="L215" s="47"/>
      <c r="M215" s="12"/>
    </row>
    <row r="216" ht="13.5" customHeight="1">
      <c r="A216" s="35" t="s">
        <v>41</v>
      </c>
      <c r="B216" s="27"/>
      <c r="C216" s="27"/>
      <c r="D216" s="21">
        <v>570.0</v>
      </c>
      <c r="E216" s="21"/>
      <c r="F216" s="21">
        <v>450.0</v>
      </c>
      <c r="G216" s="21"/>
      <c r="H216" s="21">
        <v>4350.0</v>
      </c>
      <c r="I216" s="21"/>
      <c r="J216" s="21">
        <v>180.0</v>
      </c>
      <c r="K216" s="25">
        <f t="shared" si="46"/>
        <v>5550</v>
      </c>
    </row>
    <row r="217" ht="13.5" customHeight="1">
      <c r="A217" s="40" t="s">
        <v>7</v>
      </c>
      <c r="B217" s="40"/>
      <c r="C217" s="40"/>
      <c r="D217" s="10">
        <f t="shared" ref="D217:J217" si="47">SUM(D211:D216)</f>
        <v>2390</v>
      </c>
      <c r="E217" s="10">
        <f t="shared" si="47"/>
        <v>300</v>
      </c>
      <c r="F217" s="10">
        <f t="shared" si="47"/>
        <v>2560</v>
      </c>
      <c r="G217" s="10">
        <f t="shared" si="47"/>
        <v>150</v>
      </c>
      <c r="H217" s="10">
        <f t="shared" si="47"/>
        <v>14770</v>
      </c>
      <c r="I217" s="10">
        <f t="shared" si="47"/>
        <v>0</v>
      </c>
      <c r="J217" s="10">
        <f t="shared" si="47"/>
        <v>610</v>
      </c>
      <c r="K217" s="25">
        <f t="shared" si="46"/>
        <v>20780</v>
      </c>
    </row>
    <row r="218" ht="13.5" customHeight="1"/>
    <row r="219" ht="13.5" customHeight="1">
      <c r="A219" s="48" t="s">
        <v>88</v>
      </c>
    </row>
    <row r="220" ht="13.5" customHeight="1">
      <c r="A220" s="14" t="s">
        <v>25</v>
      </c>
      <c r="B220" s="14" t="s">
        <v>1</v>
      </c>
      <c r="C220" s="14" t="s">
        <v>27</v>
      </c>
      <c r="D220" s="15" t="s">
        <v>2</v>
      </c>
      <c r="E220" s="10" t="s">
        <v>28</v>
      </c>
      <c r="F220" s="16" t="s">
        <v>3</v>
      </c>
      <c r="G220" s="15" t="s">
        <v>4</v>
      </c>
      <c r="H220" s="15" t="s">
        <v>5</v>
      </c>
      <c r="I220" s="15" t="s">
        <v>29</v>
      </c>
      <c r="J220" s="14" t="s">
        <v>30</v>
      </c>
      <c r="K220" s="17" t="s">
        <v>7</v>
      </c>
    </row>
    <row r="221" ht="13.5" customHeight="1">
      <c r="A221" s="18" t="s">
        <v>31</v>
      </c>
      <c r="B221" s="19" t="s">
        <v>89</v>
      </c>
      <c r="C221" s="20" t="s">
        <v>33</v>
      </c>
      <c r="D221" s="21">
        <v>400.0</v>
      </c>
      <c r="E221" s="36">
        <v>120.0</v>
      </c>
      <c r="F221" s="36">
        <v>850.0</v>
      </c>
      <c r="G221" s="32">
        <v>60.0</v>
      </c>
      <c r="H221" s="21"/>
      <c r="I221" s="23">
        <v>990.0</v>
      </c>
      <c r="J221" s="24"/>
      <c r="K221" s="25">
        <f t="shared" ref="K221:K227" si="48">SUM(D221:J221)</f>
        <v>2420</v>
      </c>
    </row>
    <row r="222" ht="13.5" customHeight="1">
      <c r="A222" s="26" t="s">
        <v>34</v>
      </c>
      <c r="B222" s="27"/>
      <c r="C222" s="28"/>
      <c r="D222" s="21">
        <v>430.0</v>
      </c>
      <c r="E222" s="36"/>
      <c r="F222" s="37">
        <v>600.0</v>
      </c>
      <c r="G222" s="53">
        <v>50.0</v>
      </c>
      <c r="H222" s="22">
        <v>720.0</v>
      </c>
      <c r="I222" s="29"/>
      <c r="J222" s="29"/>
      <c r="K222" s="25">
        <f t="shared" si="48"/>
        <v>1800</v>
      </c>
    </row>
    <row r="223" ht="13.5" customHeight="1">
      <c r="A223" s="18" t="s">
        <v>35</v>
      </c>
      <c r="B223" s="30">
        <v>2.0</v>
      </c>
      <c r="C223" s="31" t="s">
        <v>36</v>
      </c>
      <c r="D223" s="21">
        <v>270.0</v>
      </c>
      <c r="E223" s="36">
        <v>60.0</v>
      </c>
      <c r="F223" s="36">
        <v>500.0</v>
      </c>
      <c r="G223" s="21">
        <v>90.0</v>
      </c>
      <c r="H223" s="21"/>
      <c r="I223" s="21">
        <v>810.0</v>
      </c>
      <c r="J223" s="24">
        <v>80.0</v>
      </c>
      <c r="K223" s="25">
        <f t="shared" si="48"/>
        <v>1810</v>
      </c>
    </row>
    <row r="224" ht="13.5" customHeight="1">
      <c r="A224" s="26" t="s">
        <v>37</v>
      </c>
      <c r="B224" s="33"/>
      <c r="C224" s="34"/>
      <c r="D224" s="21"/>
      <c r="E224" s="36"/>
      <c r="F224" s="36"/>
      <c r="G224" s="21"/>
      <c r="H224" s="21"/>
      <c r="I224" s="21"/>
      <c r="J224" s="29"/>
      <c r="K224" s="25">
        <f t="shared" si="48"/>
        <v>0</v>
      </c>
    </row>
    <row r="225" ht="14.25" customHeight="1">
      <c r="A225" s="18" t="s">
        <v>38</v>
      </c>
      <c r="B225" s="19" t="s">
        <v>39</v>
      </c>
      <c r="C225" s="19" t="s">
        <v>40</v>
      </c>
      <c r="D225" s="21">
        <v>550.0</v>
      </c>
      <c r="E225" s="36">
        <v>120.0</v>
      </c>
      <c r="F225" s="36">
        <v>600.0</v>
      </c>
      <c r="G225" s="21"/>
      <c r="H225" s="21">
        <v>2350.0</v>
      </c>
      <c r="I225" s="21">
        <v>2100.0</v>
      </c>
      <c r="J225" s="24">
        <v>180.0</v>
      </c>
      <c r="K225" s="25">
        <f t="shared" si="48"/>
        <v>5900</v>
      </c>
      <c r="L225" s="47"/>
      <c r="M225" s="12"/>
    </row>
    <row r="226" ht="13.5" customHeight="1">
      <c r="A226" s="35" t="s">
        <v>41</v>
      </c>
      <c r="B226" s="27"/>
      <c r="C226" s="27"/>
      <c r="D226" s="21">
        <v>500.0</v>
      </c>
      <c r="E226" s="21"/>
      <c r="F226" s="21">
        <v>600.0</v>
      </c>
      <c r="G226" s="21"/>
      <c r="H226" s="21">
        <v>4300.0</v>
      </c>
      <c r="I226" s="21"/>
      <c r="J226" s="21">
        <v>250.0</v>
      </c>
      <c r="K226" s="25">
        <f t="shared" si="48"/>
        <v>5650</v>
      </c>
    </row>
    <row r="227" ht="13.5" customHeight="1">
      <c r="A227" s="40" t="s">
        <v>7</v>
      </c>
      <c r="B227" s="40"/>
      <c r="C227" s="40"/>
      <c r="D227" s="10">
        <f t="shared" ref="D227:J227" si="49">SUM(D221:D226)</f>
        <v>2150</v>
      </c>
      <c r="E227" s="10">
        <f t="shared" si="49"/>
        <v>300</v>
      </c>
      <c r="F227" s="10">
        <f t="shared" si="49"/>
        <v>3150</v>
      </c>
      <c r="G227" s="10">
        <f t="shared" si="49"/>
        <v>200</v>
      </c>
      <c r="H227" s="10">
        <f t="shared" si="49"/>
        <v>7370</v>
      </c>
      <c r="I227" s="10">
        <f t="shared" si="49"/>
        <v>3900</v>
      </c>
      <c r="J227" s="10">
        <f t="shared" si="49"/>
        <v>510</v>
      </c>
      <c r="K227" s="25">
        <f t="shared" si="48"/>
        <v>17580</v>
      </c>
    </row>
    <row r="228" ht="13.5" customHeight="1"/>
    <row r="229" ht="13.5" customHeight="1">
      <c r="A229" s="48" t="s">
        <v>90</v>
      </c>
    </row>
    <row r="230" ht="13.5" customHeight="1">
      <c r="A230" s="14" t="s">
        <v>25</v>
      </c>
      <c r="B230" s="14" t="s">
        <v>1</v>
      </c>
      <c r="C230" s="14" t="s">
        <v>27</v>
      </c>
      <c r="D230" s="15" t="s">
        <v>2</v>
      </c>
      <c r="E230" s="10" t="s">
        <v>28</v>
      </c>
      <c r="F230" s="16" t="s">
        <v>3</v>
      </c>
      <c r="G230" s="15" t="s">
        <v>4</v>
      </c>
      <c r="H230" s="14" t="s">
        <v>5</v>
      </c>
      <c r="I230" s="15" t="s">
        <v>29</v>
      </c>
      <c r="J230" s="14" t="s">
        <v>30</v>
      </c>
      <c r="K230" s="17" t="s">
        <v>7</v>
      </c>
    </row>
    <row r="231" ht="13.5" customHeight="1">
      <c r="A231" s="18" t="s">
        <v>31</v>
      </c>
      <c r="B231" s="19" t="s">
        <v>91</v>
      </c>
      <c r="C231" s="20" t="s">
        <v>33</v>
      </c>
      <c r="D231" s="21">
        <v>420.0</v>
      </c>
      <c r="E231" s="36">
        <v>120.0</v>
      </c>
      <c r="F231" s="36">
        <v>820.0</v>
      </c>
      <c r="G231" s="32">
        <v>60.0</v>
      </c>
      <c r="H231" s="21">
        <v>970.0</v>
      </c>
      <c r="I231" s="21"/>
      <c r="J231" s="21"/>
      <c r="K231" s="25">
        <f t="shared" ref="K231:K237" si="50">SUM(D231:J231)</f>
        <v>2390</v>
      </c>
    </row>
    <row r="232" ht="13.5" customHeight="1">
      <c r="A232" s="26" t="s">
        <v>34</v>
      </c>
      <c r="B232" s="27"/>
      <c r="C232" s="28"/>
      <c r="D232" s="21">
        <v>320.0</v>
      </c>
      <c r="E232" s="36"/>
      <c r="F232" s="36">
        <v>670.0</v>
      </c>
      <c r="G232" s="32">
        <v>50.0</v>
      </c>
      <c r="H232" s="21">
        <v>800.0</v>
      </c>
      <c r="I232" s="21"/>
      <c r="J232" s="21"/>
      <c r="K232" s="25">
        <f t="shared" si="50"/>
        <v>1840</v>
      </c>
    </row>
    <row r="233" ht="13.5" customHeight="1">
      <c r="A233" s="18" t="s">
        <v>35</v>
      </c>
      <c r="B233" s="30">
        <v>2.0</v>
      </c>
      <c r="C233" s="31" t="s">
        <v>36</v>
      </c>
      <c r="D233" s="21">
        <v>280.0</v>
      </c>
      <c r="E233" s="36">
        <v>60.0</v>
      </c>
      <c r="F233" s="36">
        <v>550.0</v>
      </c>
      <c r="G233" s="32">
        <v>90.0</v>
      </c>
      <c r="H233" s="21">
        <v>670.0</v>
      </c>
      <c r="I233" s="21"/>
      <c r="J233" s="21">
        <v>70.0</v>
      </c>
      <c r="K233" s="25">
        <f t="shared" si="50"/>
        <v>1720</v>
      </c>
    </row>
    <row r="234" ht="13.5" customHeight="1">
      <c r="A234" s="26" t="s">
        <v>37</v>
      </c>
      <c r="B234" s="33"/>
      <c r="C234" s="34"/>
      <c r="D234" s="21"/>
      <c r="E234" s="36"/>
      <c r="F234" s="36"/>
      <c r="G234" s="32"/>
      <c r="H234" s="21"/>
      <c r="I234" s="21"/>
      <c r="J234" s="21"/>
      <c r="K234" s="25">
        <f t="shared" si="50"/>
        <v>0</v>
      </c>
    </row>
    <row r="235" ht="14.25" customHeight="1">
      <c r="A235" s="18" t="s">
        <v>38</v>
      </c>
      <c r="B235" s="19" t="s">
        <v>39</v>
      </c>
      <c r="C235" s="19" t="s">
        <v>40</v>
      </c>
      <c r="D235" s="21">
        <v>560.0</v>
      </c>
      <c r="E235" s="36">
        <v>120.0</v>
      </c>
      <c r="F235" s="36">
        <v>780.0</v>
      </c>
      <c r="G235" s="32"/>
      <c r="H235" s="21">
        <v>4220.0</v>
      </c>
      <c r="I235" s="21"/>
      <c r="J235" s="21">
        <v>190.0</v>
      </c>
      <c r="K235" s="25">
        <f t="shared" si="50"/>
        <v>5870</v>
      </c>
      <c r="L235" s="47"/>
      <c r="M235" s="12"/>
    </row>
    <row r="236" ht="13.5" customHeight="1">
      <c r="A236" s="35" t="s">
        <v>41</v>
      </c>
      <c r="B236" s="27"/>
      <c r="C236" s="27"/>
      <c r="D236" s="21">
        <v>550.0</v>
      </c>
      <c r="E236" s="36"/>
      <c r="F236" s="36">
        <v>460.0</v>
      </c>
      <c r="G236" s="38"/>
      <c r="H236" s="21">
        <v>4220.0</v>
      </c>
      <c r="I236" s="29"/>
      <c r="J236" s="39">
        <v>220.0</v>
      </c>
      <c r="K236" s="25">
        <f t="shared" si="50"/>
        <v>5450</v>
      </c>
    </row>
    <row r="237" ht="13.5" customHeight="1">
      <c r="A237" s="40" t="s">
        <v>7</v>
      </c>
      <c r="B237" s="40"/>
      <c r="C237" s="40"/>
      <c r="D237" s="10">
        <f t="shared" ref="D237:J237" si="51">SUM(D231:D236)</f>
        <v>2130</v>
      </c>
      <c r="E237" s="10">
        <f t="shared" si="51"/>
        <v>300</v>
      </c>
      <c r="F237" s="10">
        <f t="shared" si="51"/>
        <v>3280</v>
      </c>
      <c r="G237" s="10">
        <f t="shared" si="51"/>
        <v>200</v>
      </c>
      <c r="H237" s="10">
        <f t="shared" si="51"/>
        <v>10880</v>
      </c>
      <c r="I237" s="10">
        <f t="shared" si="51"/>
        <v>0</v>
      </c>
      <c r="J237" s="10">
        <f t="shared" si="51"/>
        <v>480</v>
      </c>
      <c r="K237" s="25">
        <f t="shared" si="50"/>
        <v>17270</v>
      </c>
    </row>
    <row r="238" ht="13.5" customHeight="1"/>
    <row r="239" ht="13.5" customHeight="1">
      <c r="A239" s="48" t="s">
        <v>92</v>
      </c>
    </row>
    <row r="240" ht="13.5" customHeight="1">
      <c r="A240" s="14" t="s">
        <v>25</v>
      </c>
      <c r="B240" s="14" t="s">
        <v>1</v>
      </c>
      <c r="C240" s="14" t="s">
        <v>27</v>
      </c>
      <c r="D240" s="15" t="s">
        <v>2</v>
      </c>
      <c r="E240" s="10" t="s">
        <v>28</v>
      </c>
      <c r="F240" s="16" t="s">
        <v>3</v>
      </c>
      <c r="G240" s="15" t="s">
        <v>4</v>
      </c>
      <c r="H240" s="15" t="s">
        <v>5</v>
      </c>
      <c r="I240" s="15" t="s">
        <v>29</v>
      </c>
      <c r="J240" s="14" t="s">
        <v>30</v>
      </c>
      <c r="K240" s="17" t="s">
        <v>7</v>
      </c>
    </row>
    <row r="241" ht="13.5" customHeight="1">
      <c r="A241" s="18" t="s">
        <v>31</v>
      </c>
      <c r="B241" s="19" t="s">
        <v>93</v>
      </c>
      <c r="C241" s="20" t="s">
        <v>33</v>
      </c>
      <c r="D241" s="21">
        <v>440.0</v>
      </c>
      <c r="E241" s="36">
        <v>120.0</v>
      </c>
      <c r="F241" s="36">
        <v>930.0</v>
      </c>
      <c r="G241" s="32">
        <v>50.0</v>
      </c>
      <c r="H241" s="21">
        <v>880.0</v>
      </c>
      <c r="I241" s="23"/>
      <c r="J241" s="24"/>
      <c r="K241" s="25">
        <f t="shared" ref="K241:K247" si="52">SUM(D241:J241)</f>
        <v>2420</v>
      </c>
    </row>
    <row r="242" ht="13.5" customHeight="1">
      <c r="A242" s="26" t="s">
        <v>34</v>
      </c>
      <c r="B242" s="27"/>
      <c r="C242" s="28"/>
      <c r="D242" s="21">
        <v>350.0</v>
      </c>
      <c r="E242" s="36"/>
      <c r="F242" s="36">
        <v>580.0</v>
      </c>
      <c r="G242" s="32">
        <v>30.0</v>
      </c>
      <c r="H242" s="21">
        <v>740.0</v>
      </c>
      <c r="I242" s="29"/>
      <c r="J242" s="29"/>
      <c r="K242" s="25">
        <f t="shared" si="52"/>
        <v>1700</v>
      </c>
    </row>
    <row r="243" ht="13.5" customHeight="1">
      <c r="A243" s="18" t="s">
        <v>35</v>
      </c>
      <c r="B243" s="30">
        <v>2.0</v>
      </c>
      <c r="C243" s="31" t="s">
        <v>36</v>
      </c>
      <c r="D243" s="21">
        <v>280.0</v>
      </c>
      <c r="E243" s="36">
        <v>60.0</v>
      </c>
      <c r="F243" s="36">
        <v>550.0</v>
      </c>
      <c r="G243" s="32">
        <v>90.0</v>
      </c>
      <c r="H243" s="21">
        <v>620.0</v>
      </c>
      <c r="I243" s="23"/>
      <c r="J243" s="24">
        <v>130.0</v>
      </c>
      <c r="K243" s="25">
        <f t="shared" si="52"/>
        <v>1730</v>
      </c>
    </row>
    <row r="244" ht="13.5" customHeight="1">
      <c r="A244" s="26" t="s">
        <v>37</v>
      </c>
      <c r="B244" s="33"/>
      <c r="C244" s="34"/>
      <c r="D244" s="21"/>
      <c r="E244" s="36"/>
      <c r="F244" s="36"/>
      <c r="G244" s="32"/>
      <c r="H244" s="21"/>
      <c r="I244" s="29"/>
      <c r="J244" s="29"/>
      <c r="K244" s="25">
        <f t="shared" si="52"/>
        <v>0</v>
      </c>
    </row>
    <row r="245" ht="14.25" customHeight="1">
      <c r="A245" s="18" t="s">
        <v>38</v>
      </c>
      <c r="B245" s="19" t="s">
        <v>39</v>
      </c>
      <c r="C245" s="19" t="s">
        <v>40</v>
      </c>
      <c r="D245" s="21">
        <v>550.0</v>
      </c>
      <c r="E245" s="36">
        <v>120.0</v>
      </c>
      <c r="F245" s="36">
        <v>330.0</v>
      </c>
      <c r="G245" s="32"/>
      <c r="H245" s="21">
        <v>4520.0</v>
      </c>
      <c r="I245" s="23"/>
      <c r="J245" s="24">
        <v>200.0</v>
      </c>
      <c r="K245" s="25">
        <f t="shared" si="52"/>
        <v>5720</v>
      </c>
      <c r="L245" s="12"/>
    </row>
    <row r="246" ht="13.5" customHeight="1">
      <c r="A246" s="35" t="s">
        <v>41</v>
      </c>
      <c r="B246" s="27"/>
      <c r="C246" s="27"/>
      <c r="D246" s="21">
        <v>550.0</v>
      </c>
      <c r="E246" s="21"/>
      <c r="F246" s="21">
        <v>470.0</v>
      </c>
      <c r="G246" s="21"/>
      <c r="H246" s="21">
        <v>4310.0</v>
      </c>
      <c r="I246" s="21"/>
      <c r="J246" s="21">
        <v>250.0</v>
      </c>
      <c r="K246" s="25">
        <f t="shared" si="52"/>
        <v>5580</v>
      </c>
    </row>
    <row r="247" ht="13.5" customHeight="1">
      <c r="A247" s="40" t="s">
        <v>7</v>
      </c>
      <c r="B247" s="40"/>
      <c r="C247" s="40"/>
      <c r="D247" s="10">
        <f t="shared" ref="D247:J247" si="53">SUM(D241:D246)</f>
        <v>2170</v>
      </c>
      <c r="E247" s="10">
        <f t="shared" si="53"/>
        <v>300</v>
      </c>
      <c r="F247" s="10">
        <f t="shared" si="53"/>
        <v>2860</v>
      </c>
      <c r="G247" s="10">
        <f t="shared" si="53"/>
        <v>170</v>
      </c>
      <c r="H247" s="10">
        <f t="shared" si="53"/>
        <v>11070</v>
      </c>
      <c r="I247" s="10">
        <f t="shared" si="53"/>
        <v>0</v>
      </c>
      <c r="J247" s="10">
        <f t="shared" si="53"/>
        <v>580</v>
      </c>
      <c r="K247" s="25">
        <f t="shared" si="52"/>
        <v>17150</v>
      </c>
    </row>
    <row r="248" ht="13.5" customHeight="1"/>
    <row r="249" ht="13.5" customHeight="1">
      <c r="A249" s="48" t="s">
        <v>94</v>
      </c>
    </row>
    <row r="250" ht="13.5" customHeight="1">
      <c r="A250" s="14" t="s">
        <v>25</v>
      </c>
      <c r="B250" s="14" t="s">
        <v>1</v>
      </c>
      <c r="C250" s="14" t="s">
        <v>27</v>
      </c>
      <c r="D250" s="15" t="s">
        <v>2</v>
      </c>
      <c r="E250" s="10" t="s">
        <v>28</v>
      </c>
      <c r="F250" s="16" t="s">
        <v>3</v>
      </c>
      <c r="G250" s="15" t="s">
        <v>4</v>
      </c>
      <c r="H250" s="15" t="s">
        <v>5</v>
      </c>
      <c r="I250" s="15" t="s">
        <v>29</v>
      </c>
      <c r="J250" s="14" t="s">
        <v>30</v>
      </c>
      <c r="K250" s="17" t="s">
        <v>7</v>
      </c>
    </row>
    <row r="251" ht="14.25" customHeight="1">
      <c r="A251" s="18" t="s">
        <v>31</v>
      </c>
      <c r="B251" s="19" t="s">
        <v>95</v>
      </c>
      <c r="C251" s="20" t="s">
        <v>33</v>
      </c>
      <c r="D251" s="21">
        <v>440.0</v>
      </c>
      <c r="E251" s="36">
        <v>120.0</v>
      </c>
      <c r="F251" s="36">
        <v>860.0</v>
      </c>
      <c r="G251" s="36"/>
      <c r="H251" s="32">
        <v>1000.0</v>
      </c>
      <c r="I251" s="23"/>
      <c r="J251" s="24"/>
      <c r="K251" s="25">
        <f t="shared" ref="K251:K254" si="54">SUM(D251:J251)</f>
        <v>2420</v>
      </c>
    </row>
    <row r="252" ht="13.5" customHeight="1">
      <c r="A252" s="26" t="s">
        <v>34</v>
      </c>
      <c r="B252" s="27"/>
      <c r="C252" s="28"/>
      <c r="D252" s="21">
        <v>290.0</v>
      </c>
      <c r="E252" s="36"/>
      <c r="F252" s="36">
        <v>450.0</v>
      </c>
      <c r="G252" s="32"/>
      <c r="H252" s="21">
        <v>970.0</v>
      </c>
      <c r="I252" s="29"/>
      <c r="J252" s="29"/>
      <c r="K252" s="25">
        <f t="shared" si="54"/>
        <v>1710</v>
      </c>
    </row>
    <row r="253" ht="13.5" customHeight="1">
      <c r="A253" s="18" t="s">
        <v>35</v>
      </c>
      <c r="B253" s="30">
        <v>2.0</v>
      </c>
      <c r="C253" s="31" t="s">
        <v>36</v>
      </c>
      <c r="D253" s="21">
        <v>260.0</v>
      </c>
      <c r="E253" s="36">
        <v>60.0</v>
      </c>
      <c r="F253" s="36">
        <v>450.0</v>
      </c>
      <c r="G253" s="36"/>
      <c r="H253" s="32">
        <v>950.0</v>
      </c>
      <c r="I253" s="23"/>
      <c r="J253" s="24"/>
      <c r="K253" s="25">
        <f t="shared" si="54"/>
        <v>1720</v>
      </c>
    </row>
    <row r="254" ht="13.5" customHeight="1">
      <c r="A254" s="26" t="s">
        <v>37</v>
      </c>
      <c r="B254" s="33"/>
      <c r="C254" s="34"/>
      <c r="D254" s="21"/>
      <c r="E254" s="36"/>
      <c r="F254" s="36"/>
      <c r="G254" s="21"/>
      <c r="H254" s="21"/>
      <c r="I254" s="21"/>
      <c r="J254" s="21"/>
      <c r="K254" s="25">
        <f t="shared" si="54"/>
        <v>0</v>
      </c>
    </row>
    <row r="255" ht="14.25" customHeight="1">
      <c r="A255" s="18" t="s">
        <v>38</v>
      </c>
      <c r="B255" s="19" t="s">
        <v>39</v>
      </c>
      <c r="C255" s="19" t="s">
        <v>40</v>
      </c>
      <c r="D255" s="10">
        <v>550.0</v>
      </c>
      <c r="E255" s="10">
        <v>120.0</v>
      </c>
      <c r="F255" s="10">
        <v>420.0</v>
      </c>
      <c r="G255" s="10"/>
      <c r="H255" s="10">
        <v>4500.0</v>
      </c>
      <c r="I255" s="10"/>
      <c r="J255" s="10">
        <v>180.0</v>
      </c>
      <c r="K255" s="25">
        <f>SUM(D265:J265)</f>
        <v>5680</v>
      </c>
      <c r="L255" s="47"/>
      <c r="M255" s="12"/>
    </row>
    <row r="256" ht="13.5" customHeight="1">
      <c r="A256" s="35" t="s">
        <v>41</v>
      </c>
      <c r="B256" s="27"/>
      <c r="C256" s="27"/>
      <c r="D256" s="21">
        <v>290.0</v>
      </c>
      <c r="E256" s="21"/>
      <c r="F256" s="21">
        <v>450.0</v>
      </c>
      <c r="G256" s="21"/>
      <c r="H256" s="21">
        <v>970.0</v>
      </c>
      <c r="I256" s="21"/>
      <c r="J256" s="21"/>
      <c r="K256" s="25">
        <f t="shared" ref="K256:K257" si="56">SUM(D256:J256)</f>
        <v>1710</v>
      </c>
    </row>
    <row r="257" ht="13.5" customHeight="1">
      <c r="A257" s="40" t="s">
        <v>7</v>
      </c>
      <c r="B257" s="40"/>
      <c r="C257" s="40"/>
      <c r="D257" s="10">
        <f t="shared" ref="D257:J257" si="55">SUM(D251:D256)</f>
        <v>1830</v>
      </c>
      <c r="E257" s="10">
        <f t="shared" si="55"/>
        <v>300</v>
      </c>
      <c r="F257" s="10">
        <f t="shared" si="55"/>
        <v>2630</v>
      </c>
      <c r="G257" s="10">
        <f t="shared" si="55"/>
        <v>0</v>
      </c>
      <c r="H257" s="10">
        <f t="shared" si="55"/>
        <v>8390</v>
      </c>
      <c r="I257" s="10">
        <f t="shared" si="55"/>
        <v>0</v>
      </c>
      <c r="J257" s="10">
        <f t="shared" si="55"/>
        <v>180</v>
      </c>
      <c r="K257" s="25">
        <f t="shared" si="56"/>
        <v>13330</v>
      </c>
    </row>
    <row r="258" ht="13.5" customHeight="1"/>
    <row r="259" ht="13.5" customHeight="1">
      <c r="A259" s="48" t="s">
        <v>96</v>
      </c>
    </row>
    <row r="260" ht="13.5" customHeight="1">
      <c r="A260" s="14" t="s">
        <v>25</v>
      </c>
      <c r="B260" s="14" t="s">
        <v>1</v>
      </c>
      <c r="C260" s="14" t="s">
        <v>27</v>
      </c>
      <c r="D260" s="15" t="s">
        <v>2</v>
      </c>
      <c r="E260" s="10" t="s">
        <v>28</v>
      </c>
      <c r="F260" s="16" t="s">
        <v>3</v>
      </c>
      <c r="G260" s="15" t="s">
        <v>4</v>
      </c>
      <c r="H260" s="15" t="s">
        <v>5</v>
      </c>
      <c r="I260" s="15" t="s">
        <v>29</v>
      </c>
      <c r="J260" s="14" t="s">
        <v>30</v>
      </c>
      <c r="K260" s="17" t="s">
        <v>7</v>
      </c>
    </row>
    <row r="261" ht="14.25" customHeight="1">
      <c r="A261" s="18" t="s">
        <v>31</v>
      </c>
      <c r="B261" s="19" t="s">
        <v>97</v>
      </c>
      <c r="C261" s="20" t="s">
        <v>33</v>
      </c>
      <c r="D261" s="21">
        <v>440.0</v>
      </c>
      <c r="E261" s="36">
        <v>120.0</v>
      </c>
      <c r="F261" s="36">
        <v>600.0</v>
      </c>
      <c r="G261" s="32"/>
      <c r="H261" s="21">
        <v>1160.0</v>
      </c>
      <c r="I261" s="23"/>
      <c r="J261" s="24"/>
      <c r="K261" s="25">
        <f t="shared" ref="K261:K264" si="57">SUM(D261:J261)</f>
        <v>2320</v>
      </c>
    </row>
    <row r="262" ht="13.5" customHeight="1">
      <c r="A262" s="26" t="s">
        <v>34</v>
      </c>
      <c r="B262" s="27"/>
      <c r="C262" s="28"/>
      <c r="D262" s="21"/>
      <c r="E262" s="36"/>
      <c r="F262" s="36"/>
      <c r="G262" s="22"/>
      <c r="H262" s="21"/>
      <c r="I262" s="29"/>
      <c r="J262" s="29"/>
      <c r="K262" s="25">
        <f t="shared" si="57"/>
        <v>0</v>
      </c>
    </row>
    <row r="263" ht="13.5" customHeight="1">
      <c r="A263" s="18" t="s">
        <v>35</v>
      </c>
      <c r="B263" s="30">
        <v>2.0</v>
      </c>
      <c r="C263" s="31" t="s">
        <v>36</v>
      </c>
      <c r="D263" s="21">
        <v>230.0</v>
      </c>
      <c r="E263" s="10">
        <v>60.0</v>
      </c>
      <c r="F263" s="10">
        <v>470.0</v>
      </c>
      <c r="G263" s="36"/>
      <c r="H263" s="21">
        <v>500.0</v>
      </c>
      <c r="I263" s="23"/>
      <c r="J263" s="24">
        <v>80.0</v>
      </c>
      <c r="K263" s="25">
        <f t="shared" si="57"/>
        <v>1340</v>
      </c>
    </row>
    <row r="264" ht="13.5" customHeight="1">
      <c r="A264" s="26" t="s">
        <v>37</v>
      </c>
      <c r="B264" s="33"/>
      <c r="C264" s="34"/>
      <c r="D264" s="21"/>
      <c r="E264" s="36"/>
      <c r="F264" s="36"/>
      <c r="G264" s="22"/>
      <c r="H264" s="21"/>
      <c r="I264" s="29"/>
      <c r="J264" s="29"/>
      <c r="K264" s="25">
        <f t="shared" si="57"/>
        <v>0</v>
      </c>
    </row>
    <row r="265" ht="14.25" customHeight="1">
      <c r="A265" s="18" t="s">
        <v>38</v>
      </c>
      <c r="B265" s="19" t="s">
        <v>39</v>
      </c>
      <c r="C265" s="19" t="s">
        <v>40</v>
      </c>
      <c r="D265" s="21">
        <v>580.0</v>
      </c>
      <c r="E265" s="36">
        <v>120.0</v>
      </c>
      <c r="F265" s="36">
        <v>430.0</v>
      </c>
      <c r="G265" s="32"/>
      <c r="H265" s="21">
        <v>4360.0</v>
      </c>
      <c r="I265" s="23"/>
      <c r="J265" s="24">
        <v>190.0</v>
      </c>
      <c r="K265" s="25">
        <v>180.0</v>
      </c>
      <c r="L265" s="47"/>
      <c r="M265" s="12"/>
    </row>
    <row r="266" ht="13.5" customHeight="1">
      <c r="A266" s="35" t="s">
        <v>41</v>
      </c>
      <c r="B266" s="27"/>
      <c r="C266" s="27"/>
      <c r="D266" s="21"/>
      <c r="E266" s="21"/>
      <c r="F266" s="21"/>
      <c r="G266" s="21"/>
      <c r="H266" s="21"/>
      <c r="I266" s="21"/>
      <c r="J266" s="21"/>
      <c r="K266" s="25">
        <f t="shared" ref="K266:K267" si="59">SUM(D266:J266)</f>
        <v>0</v>
      </c>
    </row>
    <row r="267" ht="13.5" customHeight="1">
      <c r="A267" s="40" t="s">
        <v>7</v>
      </c>
      <c r="B267" s="40"/>
      <c r="C267" s="40"/>
      <c r="D267" s="10">
        <f t="shared" ref="D267:J267" si="58">SUM(D261:D266)</f>
        <v>1250</v>
      </c>
      <c r="E267" s="10">
        <f t="shared" si="58"/>
        <v>300</v>
      </c>
      <c r="F267" s="10">
        <f t="shared" si="58"/>
        <v>1500</v>
      </c>
      <c r="G267" s="10">
        <f t="shared" si="58"/>
        <v>0</v>
      </c>
      <c r="H267" s="10">
        <f t="shared" si="58"/>
        <v>6020</v>
      </c>
      <c r="I267" s="10">
        <f t="shared" si="58"/>
        <v>0</v>
      </c>
      <c r="J267" s="10">
        <f t="shared" si="58"/>
        <v>270</v>
      </c>
      <c r="K267" s="25">
        <f t="shared" si="59"/>
        <v>9340</v>
      </c>
    </row>
    <row r="268" ht="13.5" customHeight="1">
      <c r="A268" s="48"/>
    </row>
    <row r="269" ht="13.5" customHeight="1">
      <c r="A269" s="48" t="s">
        <v>98</v>
      </c>
    </row>
    <row r="270" ht="13.5" customHeight="1">
      <c r="A270" s="14" t="s">
        <v>25</v>
      </c>
      <c r="B270" s="14" t="s">
        <v>1</v>
      </c>
      <c r="C270" s="14" t="s">
        <v>27</v>
      </c>
      <c r="D270" s="15" t="s">
        <v>2</v>
      </c>
      <c r="E270" s="16" t="s">
        <v>28</v>
      </c>
      <c r="F270" s="16" t="s">
        <v>3</v>
      </c>
      <c r="G270" s="14" t="s">
        <v>4</v>
      </c>
      <c r="H270" s="15" t="s">
        <v>5</v>
      </c>
      <c r="I270" s="15" t="s">
        <v>29</v>
      </c>
      <c r="J270" s="14" t="s">
        <v>30</v>
      </c>
      <c r="K270" s="17" t="s">
        <v>7</v>
      </c>
    </row>
    <row r="271" ht="13.5" customHeight="1">
      <c r="A271" s="18" t="s">
        <v>31</v>
      </c>
      <c r="B271" s="19" t="s">
        <v>99</v>
      </c>
      <c r="C271" s="20" t="s">
        <v>33</v>
      </c>
      <c r="D271" s="21">
        <v>430.0</v>
      </c>
      <c r="E271" s="36">
        <v>120.0</v>
      </c>
      <c r="F271" s="36">
        <v>760.0</v>
      </c>
      <c r="G271" s="32"/>
      <c r="H271" s="21">
        <v>350.0</v>
      </c>
      <c r="I271" s="21">
        <v>790.0</v>
      </c>
      <c r="J271" s="24"/>
      <c r="K271" s="25">
        <f t="shared" ref="K271:K281" si="60">SUM(D271:J271)</f>
        <v>2450</v>
      </c>
    </row>
    <row r="272" ht="13.5" customHeight="1">
      <c r="A272" s="26" t="s">
        <v>34</v>
      </c>
      <c r="B272" s="27"/>
      <c r="C272" s="28"/>
      <c r="D272" s="21">
        <v>330.0</v>
      </c>
      <c r="E272" s="36"/>
      <c r="F272" s="36">
        <v>530.0</v>
      </c>
      <c r="G272" s="22"/>
      <c r="H272" s="21"/>
      <c r="I272" s="21">
        <v>800.0</v>
      </c>
      <c r="J272" s="29"/>
      <c r="K272" s="25">
        <f t="shared" si="60"/>
        <v>1660</v>
      </c>
    </row>
    <row r="273" ht="13.5" customHeight="1">
      <c r="A273" s="18" t="s">
        <v>35</v>
      </c>
      <c r="B273" s="30">
        <v>2.0</v>
      </c>
      <c r="C273" s="31" t="s">
        <v>36</v>
      </c>
      <c r="D273" s="21">
        <v>270.0</v>
      </c>
      <c r="E273" s="36">
        <v>60.0</v>
      </c>
      <c r="F273" s="36">
        <v>570.0</v>
      </c>
      <c r="G273" s="32"/>
      <c r="H273" s="21"/>
      <c r="I273" s="21">
        <v>660.0</v>
      </c>
      <c r="J273" s="24">
        <v>60.0</v>
      </c>
      <c r="K273" s="25">
        <f t="shared" si="60"/>
        <v>1620</v>
      </c>
    </row>
    <row r="274" ht="13.5" customHeight="1">
      <c r="A274" s="26" t="s">
        <v>37</v>
      </c>
      <c r="B274" s="33"/>
      <c r="C274" s="34"/>
      <c r="D274" s="21"/>
      <c r="E274" s="36"/>
      <c r="F274" s="36"/>
      <c r="G274" s="22"/>
      <c r="H274" s="21"/>
      <c r="I274" s="21"/>
      <c r="J274" s="29"/>
      <c r="K274" s="25">
        <f t="shared" si="60"/>
        <v>0</v>
      </c>
    </row>
    <row r="275" ht="15.0" customHeight="1">
      <c r="A275" s="18" t="s">
        <v>38</v>
      </c>
      <c r="B275" s="19" t="s">
        <v>39</v>
      </c>
      <c r="C275" s="19" t="s">
        <v>40</v>
      </c>
      <c r="D275" s="21">
        <v>530.0</v>
      </c>
      <c r="E275" s="41">
        <v>120.0</v>
      </c>
      <c r="F275" s="41">
        <v>500.0</v>
      </c>
      <c r="G275" s="32"/>
      <c r="H275" s="21">
        <v>2700.0</v>
      </c>
      <c r="I275" s="21">
        <v>1540.0</v>
      </c>
      <c r="J275" s="24">
        <v>160.0</v>
      </c>
      <c r="K275" s="25">
        <f t="shared" si="60"/>
        <v>5550</v>
      </c>
    </row>
    <row r="276" ht="13.5" customHeight="1">
      <c r="A276" s="35" t="s">
        <v>41</v>
      </c>
      <c r="B276" s="27"/>
      <c r="C276" s="27"/>
      <c r="D276" s="21">
        <v>330.0</v>
      </c>
      <c r="E276" s="36"/>
      <c r="F276" s="37">
        <v>530.0</v>
      </c>
      <c r="G276" s="38"/>
      <c r="H276" s="21"/>
      <c r="I276" s="21">
        <v>800.0</v>
      </c>
      <c r="J276" s="39"/>
      <c r="K276" s="25">
        <f t="shared" si="60"/>
        <v>1660</v>
      </c>
    </row>
    <row r="277" ht="13.5" customHeight="1">
      <c r="A277" s="54" t="s">
        <v>100</v>
      </c>
      <c r="B277" s="55"/>
      <c r="C277" s="55"/>
      <c r="D277" s="21"/>
      <c r="E277" s="36"/>
      <c r="F277" s="36"/>
      <c r="G277" s="21"/>
      <c r="H277" s="21"/>
      <c r="I277" s="21"/>
      <c r="J277" s="56"/>
      <c r="K277" s="25">
        <f t="shared" si="60"/>
        <v>0</v>
      </c>
    </row>
    <row r="278" ht="13.5" customHeight="1">
      <c r="A278" s="26" t="s">
        <v>101</v>
      </c>
      <c r="B278" s="7"/>
      <c r="C278" s="7"/>
      <c r="D278" s="21"/>
      <c r="E278" s="36"/>
      <c r="F278" s="37"/>
      <c r="G278" s="22"/>
      <c r="H278" s="21"/>
      <c r="I278" s="29"/>
      <c r="J278" s="29"/>
      <c r="K278" s="25">
        <f t="shared" si="60"/>
        <v>0</v>
      </c>
    </row>
    <row r="279" ht="13.5" customHeight="1">
      <c r="A279" s="18" t="s">
        <v>102</v>
      </c>
      <c r="B279" s="57"/>
      <c r="C279" s="57"/>
      <c r="D279" s="21"/>
      <c r="E279" s="36"/>
      <c r="F279" s="41"/>
      <c r="G279" s="58"/>
      <c r="H279" s="21"/>
      <c r="I279" s="23"/>
      <c r="J279" s="59"/>
      <c r="K279" s="25">
        <f t="shared" si="60"/>
        <v>0</v>
      </c>
    </row>
    <row r="280" ht="13.5" customHeight="1">
      <c r="A280" s="35" t="s">
        <v>103</v>
      </c>
      <c r="B280" s="27"/>
      <c r="C280" s="27"/>
      <c r="D280" s="21"/>
      <c r="E280" s="36"/>
      <c r="F280" s="37"/>
      <c r="G280" s="60"/>
      <c r="H280" s="21"/>
      <c r="I280" s="29"/>
      <c r="J280" s="61"/>
      <c r="K280" s="25">
        <f t="shared" si="60"/>
        <v>0</v>
      </c>
    </row>
    <row r="281" ht="13.5" customHeight="1">
      <c r="A281" s="40" t="s">
        <v>7</v>
      </c>
      <c r="B281" s="40"/>
      <c r="C281" s="40"/>
      <c r="D281" s="10">
        <f t="shared" ref="D281:J281" si="61">SUM(D271:D280)</f>
        <v>1890</v>
      </c>
      <c r="E281" s="10">
        <f t="shared" si="61"/>
        <v>300</v>
      </c>
      <c r="F281" s="10">
        <f t="shared" si="61"/>
        <v>2890</v>
      </c>
      <c r="G281" s="10">
        <f t="shared" si="61"/>
        <v>0</v>
      </c>
      <c r="H281" s="10">
        <f t="shared" si="61"/>
        <v>3050</v>
      </c>
      <c r="I281" s="10">
        <f t="shared" si="61"/>
        <v>4590</v>
      </c>
      <c r="J281" s="10">
        <f t="shared" si="61"/>
        <v>220</v>
      </c>
      <c r="K281" s="25">
        <f t="shared" si="60"/>
        <v>12940</v>
      </c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ht="13.5" customHeight="1">
      <c r="A283" s="48" t="s">
        <v>104</v>
      </c>
    </row>
    <row r="284" ht="13.5" customHeight="1">
      <c r="A284" s="14" t="s">
        <v>25</v>
      </c>
      <c r="B284" s="14" t="s">
        <v>1</v>
      </c>
      <c r="C284" s="14" t="s">
        <v>27</v>
      </c>
      <c r="D284" s="15" t="s">
        <v>2</v>
      </c>
      <c r="E284" s="16" t="s">
        <v>28</v>
      </c>
      <c r="F284" s="16" t="s">
        <v>3</v>
      </c>
      <c r="G284" s="14" t="s">
        <v>4</v>
      </c>
      <c r="H284" s="15" t="s">
        <v>5</v>
      </c>
      <c r="I284" s="15" t="s">
        <v>29</v>
      </c>
      <c r="J284" s="14" t="s">
        <v>30</v>
      </c>
      <c r="K284" s="17" t="s">
        <v>7</v>
      </c>
    </row>
    <row r="285" ht="13.5" customHeight="1">
      <c r="A285" s="18" t="s">
        <v>31</v>
      </c>
      <c r="B285" s="19" t="s">
        <v>105</v>
      </c>
      <c r="C285" s="20" t="s">
        <v>33</v>
      </c>
      <c r="D285" s="21"/>
      <c r="E285" s="36"/>
      <c r="F285" s="36"/>
      <c r="G285" s="32"/>
      <c r="H285" s="21"/>
      <c r="I285" s="21"/>
      <c r="J285" s="24"/>
      <c r="K285" s="25">
        <f t="shared" ref="K285:K295" si="62">SUM(D285:J285)</f>
        <v>0</v>
      </c>
    </row>
    <row r="286" ht="13.5" customHeight="1">
      <c r="A286" s="26" t="s">
        <v>34</v>
      </c>
      <c r="B286" s="27"/>
      <c r="C286" s="28"/>
      <c r="D286" s="21">
        <v>350.0</v>
      </c>
      <c r="E286" s="36"/>
      <c r="F286" s="36">
        <v>650.0</v>
      </c>
      <c r="G286" s="22"/>
      <c r="H286" s="21">
        <v>350.0</v>
      </c>
      <c r="I286" s="21"/>
      <c r="J286" s="29">
        <v>350.0</v>
      </c>
      <c r="K286" s="25">
        <f t="shared" si="62"/>
        <v>1700</v>
      </c>
    </row>
    <row r="287" ht="13.5" customHeight="1">
      <c r="A287" s="18" t="s">
        <v>35</v>
      </c>
      <c r="B287" s="30">
        <v>2.0</v>
      </c>
      <c r="C287" s="31" t="s">
        <v>36</v>
      </c>
      <c r="D287" s="21"/>
      <c r="E287" s="36"/>
      <c r="F287" s="36"/>
      <c r="G287" s="32"/>
      <c r="H287" s="21"/>
      <c r="I287" s="21"/>
      <c r="J287" s="24"/>
      <c r="K287" s="25">
        <f t="shared" si="62"/>
        <v>0</v>
      </c>
    </row>
    <row r="288" ht="13.5" customHeight="1">
      <c r="A288" s="26" t="s">
        <v>37</v>
      </c>
      <c r="B288" s="33"/>
      <c r="C288" s="34"/>
      <c r="D288" s="21"/>
      <c r="E288" s="36"/>
      <c r="F288" s="36"/>
      <c r="G288" s="22"/>
      <c r="H288" s="21"/>
      <c r="I288" s="21"/>
      <c r="J288" s="29"/>
      <c r="K288" s="25">
        <f t="shared" si="62"/>
        <v>0</v>
      </c>
    </row>
    <row r="289" ht="15.0" customHeight="1">
      <c r="A289" s="18" t="s">
        <v>38</v>
      </c>
      <c r="B289" s="19" t="s">
        <v>39</v>
      </c>
      <c r="C289" s="19" t="s">
        <v>40</v>
      </c>
      <c r="D289" s="21">
        <v>550.0</v>
      </c>
      <c r="E289" s="41"/>
      <c r="F289" s="41">
        <v>350.0</v>
      </c>
      <c r="G289" s="32"/>
      <c r="H289" s="21">
        <v>3030.0</v>
      </c>
      <c r="I289" s="21">
        <v>1400.0</v>
      </c>
      <c r="J289" s="24">
        <v>160.0</v>
      </c>
      <c r="K289" s="25">
        <f t="shared" si="62"/>
        <v>5490</v>
      </c>
    </row>
    <row r="290" ht="13.5" customHeight="1">
      <c r="A290" s="35" t="s">
        <v>41</v>
      </c>
      <c r="B290" s="27"/>
      <c r="C290" s="27"/>
      <c r="D290" s="21"/>
      <c r="E290" s="36"/>
      <c r="F290" s="37"/>
      <c r="G290" s="38"/>
      <c r="H290" s="21"/>
      <c r="I290" s="21"/>
      <c r="J290" s="39"/>
      <c r="K290" s="25">
        <f t="shared" si="62"/>
        <v>0</v>
      </c>
    </row>
    <row r="291" ht="13.5" customHeight="1">
      <c r="A291" s="54" t="s">
        <v>100</v>
      </c>
      <c r="B291" s="55"/>
      <c r="C291" s="55"/>
      <c r="D291" s="21"/>
      <c r="E291" s="36"/>
      <c r="F291" s="36"/>
      <c r="G291" s="21"/>
      <c r="H291" s="21"/>
      <c r="I291" s="21"/>
      <c r="J291" s="56"/>
      <c r="K291" s="25">
        <f t="shared" si="62"/>
        <v>0</v>
      </c>
    </row>
    <row r="292" ht="13.5" customHeight="1">
      <c r="A292" s="26" t="s">
        <v>101</v>
      </c>
      <c r="B292" s="7"/>
      <c r="C292" s="7"/>
      <c r="D292" s="21"/>
      <c r="E292" s="36"/>
      <c r="F292" s="37"/>
      <c r="G292" s="22"/>
      <c r="H292" s="21"/>
      <c r="I292" s="29"/>
      <c r="J292" s="29"/>
      <c r="K292" s="25">
        <f t="shared" si="62"/>
        <v>0</v>
      </c>
    </row>
    <row r="293" ht="13.5" customHeight="1">
      <c r="A293" s="18" t="s">
        <v>102</v>
      </c>
      <c r="B293" s="57"/>
      <c r="C293" s="57"/>
      <c r="D293" s="21"/>
      <c r="E293" s="36"/>
      <c r="F293" s="41"/>
      <c r="G293" s="58"/>
      <c r="H293" s="21"/>
      <c r="I293" s="23"/>
      <c r="J293" s="59"/>
      <c r="K293" s="25">
        <f t="shared" si="62"/>
        <v>0</v>
      </c>
    </row>
    <row r="294" ht="13.5" customHeight="1">
      <c r="A294" s="35" t="s">
        <v>103</v>
      </c>
      <c r="B294" s="27"/>
      <c r="C294" s="27"/>
      <c r="D294" s="21"/>
      <c r="E294" s="36"/>
      <c r="F294" s="37"/>
      <c r="G294" s="60"/>
      <c r="H294" s="21"/>
      <c r="I294" s="29"/>
      <c r="J294" s="61"/>
      <c r="K294" s="25">
        <f t="shared" si="62"/>
        <v>0</v>
      </c>
    </row>
    <row r="295" ht="13.5" customHeight="1">
      <c r="A295" s="40" t="s">
        <v>7</v>
      </c>
      <c r="B295" s="40"/>
      <c r="C295" s="40"/>
      <c r="D295" s="10">
        <f t="shared" ref="D295:J295" si="63">SUM(D285:D294)</f>
        <v>900</v>
      </c>
      <c r="E295" s="10">
        <f t="shared" si="63"/>
        <v>0</v>
      </c>
      <c r="F295" s="10">
        <f t="shared" si="63"/>
        <v>1000</v>
      </c>
      <c r="G295" s="10">
        <f t="shared" si="63"/>
        <v>0</v>
      </c>
      <c r="H295" s="10">
        <f t="shared" si="63"/>
        <v>3380</v>
      </c>
      <c r="I295" s="10">
        <f t="shared" si="63"/>
        <v>1400</v>
      </c>
      <c r="J295" s="10">
        <f t="shared" si="63"/>
        <v>510</v>
      </c>
      <c r="K295" s="25">
        <f t="shared" si="62"/>
        <v>7190</v>
      </c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ht="13.5" customHeight="1">
      <c r="A297" s="48" t="s">
        <v>106</v>
      </c>
    </row>
    <row r="298" ht="13.5" customHeight="1">
      <c r="A298" s="14" t="s">
        <v>25</v>
      </c>
      <c r="B298" s="14" t="s">
        <v>1</v>
      </c>
      <c r="C298" s="14" t="s">
        <v>27</v>
      </c>
      <c r="D298" s="15" t="s">
        <v>2</v>
      </c>
      <c r="E298" s="16" t="s">
        <v>28</v>
      </c>
      <c r="F298" s="16" t="s">
        <v>3</v>
      </c>
      <c r="G298" s="14" t="s">
        <v>4</v>
      </c>
      <c r="H298" s="15" t="s">
        <v>5</v>
      </c>
      <c r="I298" s="15" t="s">
        <v>29</v>
      </c>
      <c r="J298" s="14" t="s">
        <v>107</v>
      </c>
      <c r="K298" s="17" t="s">
        <v>7</v>
      </c>
    </row>
    <row r="299" ht="13.5" customHeight="1">
      <c r="A299" s="18" t="s">
        <v>31</v>
      </c>
      <c r="B299" s="19" t="s">
        <v>108</v>
      </c>
      <c r="C299" s="20" t="s">
        <v>33</v>
      </c>
      <c r="D299" s="21">
        <v>370.0</v>
      </c>
      <c r="E299" s="36">
        <v>120.0</v>
      </c>
      <c r="F299" s="36">
        <v>650.0</v>
      </c>
      <c r="G299" s="32"/>
      <c r="H299" s="21">
        <v>1200.0</v>
      </c>
      <c r="I299" s="21"/>
      <c r="J299" s="24">
        <v>80.0</v>
      </c>
      <c r="K299" s="25">
        <f t="shared" ref="K299:K309" si="64">SUM(D299:J299)</f>
        <v>2420</v>
      </c>
    </row>
    <row r="300" ht="13.5" customHeight="1">
      <c r="A300" s="26" t="s">
        <v>34</v>
      </c>
      <c r="B300" s="27"/>
      <c r="C300" s="28"/>
      <c r="D300" s="21">
        <v>450.0</v>
      </c>
      <c r="E300" s="36"/>
      <c r="F300" s="36">
        <v>500.0</v>
      </c>
      <c r="G300" s="22"/>
      <c r="H300" s="21">
        <v>800.0</v>
      </c>
      <c r="I300" s="21"/>
      <c r="J300" s="29"/>
      <c r="K300" s="25">
        <f t="shared" si="64"/>
        <v>1750</v>
      </c>
    </row>
    <row r="301" ht="13.5" customHeight="1">
      <c r="A301" s="18" t="s">
        <v>35</v>
      </c>
      <c r="B301" s="30">
        <v>2.0</v>
      </c>
      <c r="C301" s="31" t="s">
        <v>36</v>
      </c>
      <c r="D301" s="21">
        <v>300.0</v>
      </c>
      <c r="E301" s="36">
        <v>60.0</v>
      </c>
      <c r="F301" s="36">
        <v>450.0</v>
      </c>
      <c r="G301" s="32"/>
      <c r="H301" s="21">
        <v>850.0</v>
      </c>
      <c r="I301" s="21"/>
      <c r="J301" s="24"/>
      <c r="K301" s="25">
        <f t="shared" si="64"/>
        <v>1660</v>
      </c>
    </row>
    <row r="302" ht="13.5" customHeight="1">
      <c r="A302" s="26" t="s">
        <v>37</v>
      </c>
      <c r="B302" s="33"/>
      <c r="C302" s="34"/>
      <c r="D302" s="21"/>
      <c r="E302" s="36"/>
      <c r="F302" s="36"/>
      <c r="G302" s="22"/>
      <c r="H302" s="21"/>
      <c r="I302" s="21"/>
      <c r="J302" s="29"/>
      <c r="K302" s="25">
        <f t="shared" si="64"/>
        <v>0</v>
      </c>
    </row>
    <row r="303" ht="15.0" customHeight="1">
      <c r="A303" s="18" t="s">
        <v>38</v>
      </c>
      <c r="B303" s="19" t="s">
        <v>39</v>
      </c>
      <c r="C303" s="19" t="s">
        <v>40</v>
      </c>
      <c r="D303" s="21">
        <v>530.0</v>
      </c>
      <c r="E303" s="41">
        <v>120.0</v>
      </c>
      <c r="F303" s="41">
        <v>400.0</v>
      </c>
      <c r="G303" s="32"/>
      <c r="H303" s="21">
        <v>2880.0</v>
      </c>
      <c r="I303" s="21">
        <v>1800.0</v>
      </c>
      <c r="J303" s="24">
        <v>150.0</v>
      </c>
      <c r="K303" s="25">
        <f t="shared" si="64"/>
        <v>5880</v>
      </c>
    </row>
    <row r="304" ht="13.5" customHeight="1">
      <c r="A304" s="35" t="s">
        <v>41</v>
      </c>
      <c r="B304" s="27"/>
      <c r="C304" s="27"/>
      <c r="D304" s="21">
        <v>550.0</v>
      </c>
      <c r="E304" s="36"/>
      <c r="F304" s="37">
        <v>450.0</v>
      </c>
      <c r="G304" s="38"/>
      <c r="H304" s="21">
        <v>2470.0</v>
      </c>
      <c r="I304" s="21">
        <v>1900.0</v>
      </c>
      <c r="J304" s="39">
        <v>150.0</v>
      </c>
      <c r="K304" s="25">
        <f t="shared" si="64"/>
        <v>5520</v>
      </c>
    </row>
    <row r="305" ht="13.5" customHeight="1">
      <c r="A305" s="54" t="s">
        <v>100</v>
      </c>
      <c r="B305" s="55"/>
      <c r="C305" s="55"/>
      <c r="D305" s="21"/>
      <c r="E305" s="36"/>
      <c r="F305" s="36"/>
      <c r="G305" s="21"/>
      <c r="H305" s="21"/>
      <c r="I305" s="21"/>
      <c r="J305" s="56"/>
      <c r="K305" s="25">
        <f t="shared" si="64"/>
        <v>0</v>
      </c>
    </row>
    <row r="306" ht="13.5" customHeight="1">
      <c r="A306" s="26" t="s">
        <v>101</v>
      </c>
      <c r="B306" s="7"/>
      <c r="C306" s="7"/>
      <c r="D306" s="21"/>
      <c r="E306" s="36"/>
      <c r="F306" s="37"/>
      <c r="G306" s="22"/>
      <c r="H306" s="21"/>
      <c r="I306" s="29"/>
      <c r="J306" s="29"/>
      <c r="K306" s="25">
        <f t="shared" si="64"/>
        <v>0</v>
      </c>
    </row>
    <row r="307" ht="13.5" customHeight="1">
      <c r="A307" s="18" t="s">
        <v>102</v>
      </c>
      <c r="B307" s="57"/>
      <c r="C307" s="57"/>
      <c r="D307" s="21"/>
      <c r="E307" s="36"/>
      <c r="F307" s="41"/>
      <c r="G307" s="58"/>
      <c r="H307" s="21"/>
      <c r="I307" s="23"/>
      <c r="J307" s="59"/>
      <c r="K307" s="25">
        <f t="shared" si="64"/>
        <v>0</v>
      </c>
    </row>
    <row r="308" ht="13.5" customHeight="1">
      <c r="A308" s="35" t="s">
        <v>103</v>
      </c>
      <c r="B308" s="27"/>
      <c r="C308" s="27"/>
      <c r="D308" s="21"/>
      <c r="E308" s="36"/>
      <c r="F308" s="37"/>
      <c r="G308" s="60"/>
      <c r="H308" s="21"/>
      <c r="I308" s="29"/>
      <c r="J308" s="61"/>
      <c r="K308" s="25">
        <f t="shared" si="64"/>
        <v>0</v>
      </c>
    </row>
    <row r="309" ht="13.5" customHeight="1">
      <c r="A309" s="40" t="s">
        <v>7</v>
      </c>
      <c r="B309" s="40"/>
      <c r="C309" s="40"/>
      <c r="D309" s="10">
        <f t="shared" ref="D309:J309" si="65">SUM(D299:D308)</f>
        <v>2200</v>
      </c>
      <c r="E309" s="10">
        <f t="shared" si="65"/>
        <v>300</v>
      </c>
      <c r="F309" s="10">
        <f t="shared" si="65"/>
        <v>2450</v>
      </c>
      <c r="G309" s="10">
        <f t="shared" si="65"/>
        <v>0</v>
      </c>
      <c r="H309" s="10">
        <f t="shared" si="65"/>
        <v>8200</v>
      </c>
      <c r="I309" s="10">
        <f t="shared" si="65"/>
        <v>3700</v>
      </c>
      <c r="J309" s="10">
        <f t="shared" si="65"/>
        <v>380</v>
      </c>
      <c r="K309" s="25">
        <f t="shared" si="64"/>
        <v>17230</v>
      </c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ht="13.5" customHeight="1">
      <c r="A312" s="13" t="s">
        <v>109</v>
      </c>
    </row>
    <row r="313" ht="13.5" customHeight="1">
      <c r="A313" s="14" t="s">
        <v>25</v>
      </c>
      <c r="B313" s="14" t="s">
        <v>1</v>
      </c>
      <c r="C313" s="14" t="s">
        <v>27</v>
      </c>
      <c r="D313" s="15" t="s">
        <v>2</v>
      </c>
      <c r="E313" s="10" t="s">
        <v>28</v>
      </c>
      <c r="F313" s="16" t="s">
        <v>3</v>
      </c>
      <c r="G313" s="15" t="s">
        <v>4</v>
      </c>
      <c r="H313" s="15" t="s">
        <v>5</v>
      </c>
      <c r="I313" s="15" t="s">
        <v>29</v>
      </c>
      <c r="J313" s="14" t="s">
        <v>30</v>
      </c>
      <c r="K313" s="17" t="s">
        <v>7</v>
      </c>
    </row>
    <row r="314" ht="13.5" customHeight="1">
      <c r="A314" s="18" t="s">
        <v>31</v>
      </c>
      <c r="B314" s="19" t="s">
        <v>110</v>
      </c>
      <c r="C314" s="20" t="s">
        <v>33</v>
      </c>
      <c r="D314" s="21">
        <f t="shared" ref="D314:J314" si="66">D4+D14+D23+D32+D41+D50+D60+D70+D80+D91+D100+D110+D119+D128+D137+D146+D155+D164+D173+D182+D191+D201+D211+D221+D231+D241+D251+D261+D271+D285+D299</f>
        <v>13120</v>
      </c>
      <c r="E314" s="21">
        <f t="shared" si="66"/>
        <v>2880</v>
      </c>
      <c r="F314" s="21">
        <f t="shared" si="66"/>
        <v>24320</v>
      </c>
      <c r="G314" s="21">
        <f t="shared" si="66"/>
        <v>1810</v>
      </c>
      <c r="H314" s="21">
        <f t="shared" si="66"/>
        <v>22934</v>
      </c>
      <c r="I314" s="21">
        <f t="shared" si="66"/>
        <v>3690</v>
      </c>
      <c r="J314" s="21">
        <f t="shared" si="66"/>
        <v>2030</v>
      </c>
      <c r="K314" s="25">
        <f t="shared" ref="K314:K319" si="68">SUM(D314:J314)</f>
        <v>70784</v>
      </c>
    </row>
    <row r="315" ht="13.5" customHeight="1">
      <c r="A315" s="26" t="s">
        <v>34</v>
      </c>
      <c r="B315" s="27"/>
      <c r="C315" s="28"/>
      <c r="D315" s="21">
        <f t="shared" ref="D315:J315" si="67">D5+D15+D24+D33+D42+D51+D61+D71+D81+D92+D101+D111+D120+D129+D138+D147+D156+D165+D174+D183+D192+D202+D212+D222+D232+D242+D252+D262+D272+D286+D300</f>
        <v>11770</v>
      </c>
      <c r="E315" s="21">
        <f t="shared" si="67"/>
        <v>120</v>
      </c>
      <c r="F315" s="21">
        <f t="shared" si="67"/>
        <v>17740</v>
      </c>
      <c r="G315" s="21">
        <f t="shared" si="67"/>
        <v>1160</v>
      </c>
      <c r="H315" s="21">
        <f t="shared" si="67"/>
        <v>24320</v>
      </c>
      <c r="I315" s="21">
        <f t="shared" si="67"/>
        <v>800</v>
      </c>
      <c r="J315" s="21">
        <f t="shared" si="67"/>
        <v>1460</v>
      </c>
      <c r="K315" s="25">
        <f t="shared" si="68"/>
        <v>57370</v>
      </c>
    </row>
    <row r="316" ht="13.5" customHeight="1">
      <c r="A316" s="18" t="s">
        <v>35</v>
      </c>
      <c r="B316" s="30">
        <v>2.0</v>
      </c>
      <c r="C316" s="31" t="s">
        <v>36</v>
      </c>
      <c r="D316" s="21">
        <f t="shared" ref="D316:J316" si="69">D6+D16+D25+D34+D43+D52+D62+D72+D82+D93+D102+D112+D121+D130+D139+D148+D157+D166+D175+D184+D193+D203+D213+D223+D233+D243+D253+D263+D273+D287+D301</f>
        <v>8260</v>
      </c>
      <c r="E316" s="21">
        <f t="shared" si="69"/>
        <v>1380</v>
      </c>
      <c r="F316" s="21">
        <f t="shared" si="69"/>
        <v>16120</v>
      </c>
      <c r="G316" s="21">
        <f t="shared" si="69"/>
        <v>1740</v>
      </c>
      <c r="H316" s="21">
        <f t="shared" si="69"/>
        <v>15600</v>
      </c>
      <c r="I316" s="21">
        <f t="shared" si="69"/>
        <v>2680</v>
      </c>
      <c r="J316" s="21">
        <f t="shared" si="69"/>
        <v>1690</v>
      </c>
      <c r="K316" s="25">
        <f t="shared" si="68"/>
        <v>47470</v>
      </c>
    </row>
    <row r="317" ht="13.5" customHeight="1">
      <c r="A317" s="26" t="s">
        <v>37</v>
      </c>
      <c r="B317" s="33"/>
      <c r="C317" s="34"/>
      <c r="D317" s="21">
        <f t="shared" ref="D317:J317" si="70">D7+D17+D26+D35+D44+D53+D63+D73+D83+D94+D103+D113+D122+D131+D140+D149+D158+D167+D176+D185+D194+D204+D214+D224+D234+D244+D254+D264+D274+D288+D302</f>
        <v>0</v>
      </c>
      <c r="E317" s="21">
        <f t="shared" si="70"/>
        <v>0</v>
      </c>
      <c r="F317" s="21">
        <f t="shared" si="70"/>
        <v>0</v>
      </c>
      <c r="G317" s="21">
        <f t="shared" si="70"/>
        <v>0</v>
      </c>
      <c r="H317" s="21">
        <f t="shared" si="70"/>
        <v>0</v>
      </c>
      <c r="I317" s="21">
        <f t="shared" si="70"/>
        <v>0</v>
      </c>
      <c r="J317" s="21">
        <f t="shared" si="70"/>
        <v>0</v>
      </c>
      <c r="K317" s="25">
        <f t="shared" si="68"/>
        <v>0</v>
      </c>
    </row>
    <row r="318" ht="15.0" customHeight="1">
      <c r="A318" s="18" t="s">
        <v>38</v>
      </c>
      <c r="B318" s="19" t="s">
        <v>39</v>
      </c>
      <c r="C318" s="19" t="s">
        <v>40</v>
      </c>
      <c r="D318" s="21">
        <f t="shared" ref="D318:J318" si="71">D8+D18+D27+D36+D45+D54+D64+D74+D84+D95+D104+D114+D123+D132+D141+D150+D159+D168+D177+D186+D195+D205+D215+D225+D235+D245+D255+D265+D275+D289+D303</f>
        <v>16180</v>
      </c>
      <c r="E318" s="21">
        <f t="shared" si="71"/>
        <v>2820</v>
      </c>
      <c r="F318" s="21">
        <f t="shared" si="71"/>
        <v>7120</v>
      </c>
      <c r="G318" s="21">
        <f t="shared" si="71"/>
        <v>0</v>
      </c>
      <c r="H318" s="21">
        <f t="shared" si="71"/>
        <v>127930</v>
      </c>
      <c r="I318" s="21">
        <f t="shared" si="71"/>
        <v>10540</v>
      </c>
      <c r="J318" s="21">
        <f t="shared" si="71"/>
        <v>4930</v>
      </c>
      <c r="K318" s="25">
        <f t="shared" si="68"/>
        <v>169520</v>
      </c>
    </row>
    <row r="319" ht="13.5" customHeight="1">
      <c r="A319" s="35" t="s">
        <v>41</v>
      </c>
      <c r="B319" s="27"/>
      <c r="C319" s="27"/>
      <c r="D319" s="21">
        <f t="shared" ref="D319:J319" si="72">D9+D19+D28+D37+D46+D55+D65+D75+D85+D96+D105+D115+D124+D133+D142+D151+D160+D169+D178+D187+D196+D206+D216+D226+D236+D246+D256+D266+D276+D290+D304</f>
        <v>14330</v>
      </c>
      <c r="E319" s="21">
        <f t="shared" si="72"/>
        <v>240</v>
      </c>
      <c r="F319" s="21">
        <f t="shared" si="72"/>
        <v>7230</v>
      </c>
      <c r="G319" s="21">
        <f t="shared" si="72"/>
        <v>190</v>
      </c>
      <c r="H319" s="21">
        <f t="shared" si="72"/>
        <v>103730</v>
      </c>
      <c r="I319" s="21">
        <f t="shared" si="72"/>
        <v>2700</v>
      </c>
      <c r="J319" s="21">
        <f t="shared" si="72"/>
        <v>3760</v>
      </c>
      <c r="K319" s="25">
        <f t="shared" si="68"/>
        <v>132180</v>
      </c>
    </row>
    <row r="320" ht="13.5" customHeight="1">
      <c r="A320" s="40" t="s">
        <v>7</v>
      </c>
      <c r="B320" s="40"/>
      <c r="C320" s="40"/>
      <c r="D320" s="21">
        <f t="shared" ref="D320:K320" si="73">SUM(D314:D319)</f>
        <v>63660</v>
      </c>
      <c r="E320" s="21">
        <f t="shared" si="73"/>
        <v>7440</v>
      </c>
      <c r="F320" s="21">
        <f t="shared" si="73"/>
        <v>72530</v>
      </c>
      <c r="G320" s="21">
        <f t="shared" si="73"/>
        <v>4900</v>
      </c>
      <c r="H320" s="21">
        <f t="shared" si="73"/>
        <v>294514</v>
      </c>
      <c r="I320" s="21">
        <f t="shared" si="73"/>
        <v>20410</v>
      </c>
      <c r="J320" s="21">
        <f t="shared" si="73"/>
        <v>13870</v>
      </c>
      <c r="K320" s="21">
        <f t="shared" si="73"/>
        <v>477324</v>
      </c>
    </row>
    <row r="321" ht="13.5" customHeight="1">
      <c r="A321" s="12"/>
      <c r="B321" s="12"/>
      <c r="C321" s="62"/>
      <c r="D321" s="14" t="s">
        <v>2</v>
      </c>
      <c r="E321" s="17" t="s">
        <v>28</v>
      </c>
      <c r="F321" s="63" t="s">
        <v>3</v>
      </c>
      <c r="G321" s="14" t="s">
        <v>4</v>
      </c>
      <c r="H321" s="14" t="s">
        <v>5</v>
      </c>
      <c r="I321" s="14" t="s">
        <v>29</v>
      </c>
      <c r="J321" s="14" t="s">
        <v>30</v>
      </c>
      <c r="K321" s="17" t="s">
        <v>7</v>
      </c>
    </row>
    <row r="322" ht="13.5" customHeight="1">
      <c r="B322" s="19" t="s">
        <v>111</v>
      </c>
      <c r="C322" s="20" t="s">
        <v>33</v>
      </c>
      <c r="D322" s="10">
        <f t="shared" ref="D322:K322" si="74">D314+D315</f>
        <v>24890</v>
      </c>
      <c r="E322" s="10">
        <f t="shared" si="74"/>
        <v>3000</v>
      </c>
      <c r="F322" s="10">
        <f t="shared" si="74"/>
        <v>42060</v>
      </c>
      <c r="G322" s="10">
        <f t="shared" si="74"/>
        <v>2970</v>
      </c>
      <c r="H322" s="10">
        <f t="shared" si="74"/>
        <v>47254</v>
      </c>
      <c r="I322" s="10">
        <f t="shared" si="74"/>
        <v>4490</v>
      </c>
      <c r="J322" s="10">
        <f t="shared" si="74"/>
        <v>3490</v>
      </c>
      <c r="K322" s="10">
        <f t="shared" si="74"/>
        <v>128154</v>
      </c>
      <c r="L322" s="10"/>
    </row>
    <row r="323" ht="13.5" customHeight="1">
      <c r="A323" s="17" t="s">
        <v>7</v>
      </c>
      <c r="B323" s="27"/>
      <c r="C323" s="28"/>
      <c r="D323" s="10"/>
      <c r="E323" s="10"/>
      <c r="F323" s="10"/>
      <c r="G323" s="10"/>
      <c r="H323" s="10"/>
      <c r="I323" s="10"/>
      <c r="J323" s="10"/>
      <c r="K323" s="10"/>
    </row>
    <row r="324" ht="13.5" customHeight="1">
      <c r="B324" s="30">
        <v>2.0</v>
      </c>
      <c r="C324" s="31" t="s">
        <v>36</v>
      </c>
      <c r="D324" s="10">
        <f t="shared" ref="D324:J324" si="75">D316+D317</f>
        <v>8260</v>
      </c>
      <c r="E324" s="10">
        <f t="shared" si="75"/>
        <v>1380</v>
      </c>
      <c r="F324" s="10">
        <f t="shared" si="75"/>
        <v>16120</v>
      </c>
      <c r="G324" s="10">
        <f t="shared" si="75"/>
        <v>1740</v>
      </c>
      <c r="H324" s="10">
        <f t="shared" si="75"/>
        <v>15600</v>
      </c>
      <c r="I324" s="10">
        <f t="shared" si="75"/>
        <v>2680</v>
      </c>
      <c r="J324" s="10">
        <f t="shared" si="75"/>
        <v>1690</v>
      </c>
      <c r="K324" s="10">
        <f>SUM(D324:J324)</f>
        <v>47470</v>
      </c>
    </row>
    <row r="325" ht="13.5" customHeight="1">
      <c r="B325" s="33"/>
      <c r="C325" s="34"/>
      <c r="D325" s="10"/>
      <c r="E325" s="10"/>
      <c r="F325" s="10"/>
      <c r="G325" s="10"/>
      <c r="H325" s="10"/>
      <c r="I325" s="10"/>
      <c r="J325" s="10"/>
      <c r="K325" s="10"/>
    </row>
    <row r="326" ht="14.25" customHeight="1">
      <c r="B326" s="19" t="s">
        <v>39</v>
      </c>
      <c r="C326" s="19" t="s">
        <v>40</v>
      </c>
      <c r="D326" s="10">
        <f t="shared" ref="D326:J326" si="76">D318+D319</f>
        <v>30510</v>
      </c>
      <c r="E326" s="10">
        <f t="shared" si="76"/>
        <v>3060</v>
      </c>
      <c r="F326" s="10">
        <f t="shared" si="76"/>
        <v>14350</v>
      </c>
      <c r="G326" s="10">
        <f t="shared" si="76"/>
        <v>190</v>
      </c>
      <c r="H326" s="10">
        <f t="shared" si="76"/>
        <v>231660</v>
      </c>
      <c r="I326" s="10">
        <f t="shared" si="76"/>
        <v>13240</v>
      </c>
      <c r="J326" s="10">
        <f t="shared" si="76"/>
        <v>8690</v>
      </c>
      <c r="K326" s="10">
        <f>SUM(D326:J326)</f>
        <v>301700</v>
      </c>
    </row>
    <row r="327" ht="13.5" customHeight="1">
      <c r="B327" s="27"/>
      <c r="C327" s="27"/>
      <c r="D327" s="10"/>
      <c r="E327" s="10"/>
      <c r="F327" s="10"/>
      <c r="G327" s="10"/>
      <c r="H327" s="10"/>
      <c r="I327" s="10"/>
      <c r="J327" s="10"/>
      <c r="K327" s="10"/>
    </row>
    <row r="328" ht="13.5" customHeight="1">
      <c r="C328" s="10"/>
      <c r="D328" s="10"/>
      <c r="E328" s="10"/>
      <c r="F328" s="10"/>
      <c r="G328" s="10"/>
      <c r="H328" s="10"/>
      <c r="I328" s="10"/>
      <c r="J328" s="10"/>
      <c r="K328" s="10">
        <f>SUM(K322:K327)</f>
        <v>477324</v>
      </c>
    </row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4">
    <mergeCell ref="B104:B105"/>
    <mergeCell ref="C104:C105"/>
    <mergeCell ref="A108:D108"/>
    <mergeCell ref="B110:B111"/>
    <mergeCell ref="B114:B115"/>
    <mergeCell ref="C114:C115"/>
    <mergeCell ref="A117:D117"/>
    <mergeCell ref="B119:B120"/>
    <mergeCell ref="B123:B124"/>
    <mergeCell ref="C123:C124"/>
    <mergeCell ref="A126:D126"/>
    <mergeCell ref="B128:B129"/>
    <mergeCell ref="C132:C133"/>
    <mergeCell ref="A135:D135"/>
    <mergeCell ref="B132:B133"/>
    <mergeCell ref="B137:B138"/>
    <mergeCell ref="B141:B142"/>
    <mergeCell ref="C141:C142"/>
    <mergeCell ref="A144:D144"/>
    <mergeCell ref="B146:B147"/>
    <mergeCell ref="B150:B151"/>
    <mergeCell ref="C150:C151"/>
    <mergeCell ref="A153:D153"/>
    <mergeCell ref="B155:B156"/>
    <mergeCell ref="B159:B160"/>
    <mergeCell ref="C159:C160"/>
    <mergeCell ref="A162:D162"/>
    <mergeCell ref="B164:B165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9:D89"/>
    <mergeCell ref="B91:B92"/>
    <mergeCell ref="B95:B96"/>
    <mergeCell ref="C95:C96"/>
    <mergeCell ref="A98:D98"/>
    <mergeCell ref="B100:B101"/>
    <mergeCell ref="B168:B169"/>
    <mergeCell ref="C168:C169"/>
    <mergeCell ref="A171:D171"/>
    <mergeCell ref="B173:B174"/>
    <mergeCell ref="B177:B178"/>
    <mergeCell ref="C177:C178"/>
    <mergeCell ref="A180:D180"/>
    <mergeCell ref="B291:B292"/>
    <mergeCell ref="B293:B294"/>
    <mergeCell ref="C293:C294"/>
    <mergeCell ref="B279:B280"/>
    <mergeCell ref="C279:C280"/>
    <mergeCell ref="A283:D283"/>
    <mergeCell ref="B285:B286"/>
    <mergeCell ref="C289:C290"/>
    <mergeCell ref="C291:C292"/>
    <mergeCell ref="A297:D297"/>
    <mergeCell ref="B182:B183"/>
    <mergeCell ref="B186:B187"/>
    <mergeCell ref="C186:C187"/>
    <mergeCell ref="A189:D189"/>
    <mergeCell ref="B191:B192"/>
    <mergeCell ref="C195:C196"/>
    <mergeCell ref="A199:D199"/>
    <mergeCell ref="B195:B196"/>
    <mergeCell ref="B201:B202"/>
    <mergeCell ref="B205:B206"/>
    <mergeCell ref="C205:C206"/>
    <mergeCell ref="A209:D209"/>
    <mergeCell ref="B211:B212"/>
    <mergeCell ref="B215:B216"/>
    <mergeCell ref="C215:C216"/>
    <mergeCell ref="A219:D219"/>
    <mergeCell ref="B221:B222"/>
    <mergeCell ref="B225:B226"/>
    <mergeCell ref="C225:C226"/>
    <mergeCell ref="A229:D229"/>
    <mergeCell ref="B231:B232"/>
    <mergeCell ref="B235:B236"/>
    <mergeCell ref="C235:C236"/>
    <mergeCell ref="A239:D239"/>
    <mergeCell ref="B241:B242"/>
    <mergeCell ref="B245:B246"/>
    <mergeCell ref="C245:C246"/>
    <mergeCell ref="A249:D249"/>
    <mergeCell ref="B251:B252"/>
    <mergeCell ref="B255:B256"/>
    <mergeCell ref="C255:C256"/>
    <mergeCell ref="A259:D259"/>
    <mergeCell ref="B261:B262"/>
    <mergeCell ref="B265:B266"/>
    <mergeCell ref="C265:C266"/>
    <mergeCell ref="A268:D268"/>
    <mergeCell ref="A269:D269"/>
    <mergeCell ref="B271:B272"/>
    <mergeCell ref="B275:B276"/>
    <mergeCell ref="C275:C276"/>
    <mergeCell ref="B277:B278"/>
    <mergeCell ref="C277:C278"/>
    <mergeCell ref="C307:C308"/>
    <mergeCell ref="A312:D312"/>
    <mergeCell ref="B314:B315"/>
    <mergeCell ref="B318:B319"/>
    <mergeCell ref="C318:C319"/>
    <mergeCell ref="B322:B323"/>
    <mergeCell ref="B326:B327"/>
    <mergeCell ref="C326:C327"/>
    <mergeCell ref="B289:B290"/>
    <mergeCell ref="B299:B300"/>
    <mergeCell ref="B303:B304"/>
    <mergeCell ref="C303:C304"/>
    <mergeCell ref="B305:B306"/>
    <mergeCell ref="C305:C306"/>
    <mergeCell ref="B307:B308"/>
  </mergeCells>
  <printOptions/>
  <pageMargins bottom="0.984251968503937" footer="0.0" header="0.0" left="0.748031496062992" right="0.31496062992126" top="0.43307086614173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29.0"/>
    <col customWidth="1" min="3" max="3" width="33.43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112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28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 t="s">
        <v>113</v>
      </c>
      <c r="C4" s="20" t="s">
        <v>33</v>
      </c>
      <c r="D4" s="21">
        <v>410.0</v>
      </c>
      <c r="E4" s="10">
        <v>60.0</v>
      </c>
      <c r="F4" s="10">
        <v>810.0</v>
      </c>
      <c r="G4" s="22"/>
      <c r="H4" s="21">
        <v>1000.0</v>
      </c>
      <c r="I4" s="23"/>
      <c r="J4" s="24">
        <v>170.0</v>
      </c>
      <c r="K4" s="25">
        <f t="shared" ref="K4:K10" si="1">SUM(D4:J4)</f>
        <v>2450</v>
      </c>
    </row>
    <row r="5" ht="15.0" customHeight="1">
      <c r="A5" s="26" t="s">
        <v>34</v>
      </c>
      <c r="B5" s="27"/>
      <c r="C5" s="28">
        <v>99.0</v>
      </c>
      <c r="D5" s="21">
        <v>310.0</v>
      </c>
      <c r="E5" s="10"/>
      <c r="F5" s="10">
        <v>650.0</v>
      </c>
      <c r="G5" s="22"/>
      <c r="H5" s="21">
        <v>640.0</v>
      </c>
      <c r="I5" s="29"/>
      <c r="J5" s="29"/>
      <c r="K5" s="25">
        <f t="shared" si="1"/>
        <v>1600</v>
      </c>
    </row>
    <row r="6" ht="13.5" customHeight="1">
      <c r="A6" s="18" t="s">
        <v>35</v>
      </c>
      <c r="B6" s="30">
        <v>2.0</v>
      </c>
      <c r="C6" s="31" t="s">
        <v>36</v>
      </c>
      <c r="D6" s="21">
        <v>280.0</v>
      </c>
      <c r="E6" s="10">
        <v>30.0</v>
      </c>
      <c r="F6" s="10">
        <v>510.0</v>
      </c>
      <c r="G6" s="32"/>
      <c r="H6" s="21">
        <v>920.0</v>
      </c>
      <c r="I6" s="22"/>
      <c r="J6" s="22">
        <v>80.0</v>
      </c>
      <c r="K6" s="25">
        <f t="shared" si="1"/>
        <v>1820</v>
      </c>
    </row>
    <row r="7" ht="13.5" customHeight="1">
      <c r="A7" s="26" t="s">
        <v>37</v>
      </c>
      <c r="B7" s="33"/>
      <c r="C7" s="34">
        <v>106.0</v>
      </c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550.0</v>
      </c>
      <c r="E8" s="10">
        <v>60.0</v>
      </c>
      <c r="F8" s="10">
        <v>350.0</v>
      </c>
      <c r="G8" s="32"/>
      <c r="H8" s="21">
        <v>4430.0</v>
      </c>
      <c r="I8" s="22"/>
      <c r="J8" s="22">
        <v>210.0</v>
      </c>
      <c r="K8" s="25">
        <f t="shared" si="1"/>
        <v>5600</v>
      </c>
    </row>
    <row r="9" ht="15.0" customHeight="1">
      <c r="A9" s="35" t="s">
        <v>41</v>
      </c>
      <c r="B9" s="27"/>
      <c r="C9" s="27"/>
      <c r="D9" s="21">
        <v>560.0</v>
      </c>
      <c r="E9" s="36"/>
      <c r="F9" s="37">
        <v>480.0</v>
      </c>
      <c r="G9" s="38"/>
      <c r="H9" s="21">
        <v>4320.0</v>
      </c>
      <c r="I9" s="29"/>
      <c r="J9" s="39">
        <v>180.0</v>
      </c>
      <c r="K9" s="25">
        <f t="shared" si="1"/>
        <v>5540</v>
      </c>
    </row>
    <row r="10" ht="13.5" customHeight="1">
      <c r="A10" s="40" t="s">
        <v>7</v>
      </c>
      <c r="B10" s="40"/>
      <c r="C10" s="40">
        <v>547.0</v>
      </c>
      <c r="D10" s="10">
        <f t="shared" ref="D10:J10" si="2">SUM(D4:D9)</f>
        <v>2110</v>
      </c>
      <c r="E10" s="10">
        <f t="shared" si="2"/>
        <v>150</v>
      </c>
      <c r="F10" s="10">
        <f t="shared" si="2"/>
        <v>2800</v>
      </c>
      <c r="G10" s="10">
        <f t="shared" si="2"/>
        <v>0</v>
      </c>
      <c r="H10" s="10">
        <f t="shared" si="2"/>
        <v>11310</v>
      </c>
      <c r="I10" s="10">
        <f t="shared" si="2"/>
        <v>0</v>
      </c>
      <c r="J10" s="10">
        <f t="shared" si="2"/>
        <v>640</v>
      </c>
      <c r="K10" s="25">
        <f t="shared" si="1"/>
        <v>17010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114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 t="s">
        <v>115</v>
      </c>
      <c r="C14" s="20" t="s">
        <v>33</v>
      </c>
      <c r="D14" s="21">
        <v>420.0</v>
      </c>
      <c r="E14" s="10">
        <v>60.0</v>
      </c>
      <c r="F14" s="36">
        <v>740.0</v>
      </c>
      <c r="G14" s="32"/>
      <c r="H14" s="21">
        <v>964.0</v>
      </c>
      <c r="I14" s="23"/>
      <c r="J14" s="24"/>
      <c r="K14" s="25">
        <f t="shared" ref="K14:K20" si="3">SUM(D14:J14)</f>
        <v>2184</v>
      </c>
    </row>
    <row r="15" ht="13.5" customHeight="1">
      <c r="A15" s="26" t="s">
        <v>34</v>
      </c>
      <c r="B15" s="27"/>
      <c r="C15" s="28">
        <v>99.0</v>
      </c>
      <c r="D15" s="21">
        <v>310.0</v>
      </c>
      <c r="E15" s="10"/>
      <c r="F15" s="36">
        <v>450.0</v>
      </c>
      <c r="G15" s="22"/>
      <c r="H15" s="21">
        <v>600.0</v>
      </c>
      <c r="I15" s="29"/>
      <c r="J15" s="29"/>
      <c r="K15" s="25">
        <f t="shared" si="3"/>
        <v>1360</v>
      </c>
    </row>
    <row r="16" ht="13.5" customHeight="1">
      <c r="A16" s="18" t="s">
        <v>35</v>
      </c>
      <c r="B16" s="30">
        <v>2.0</v>
      </c>
      <c r="C16" s="31" t="s">
        <v>36</v>
      </c>
      <c r="D16" s="21">
        <v>280.0</v>
      </c>
      <c r="E16" s="10">
        <v>30.0</v>
      </c>
      <c r="F16" s="36">
        <v>600.0</v>
      </c>
      <c r="G16" s="32"/>
      <c r="H16" s="21">
        <v>760.0</v>
      </c>
      <c r="I16" s="23"/>
      <c r="J16" s="24">
        <v>60.0</v>
      </c>
      <c r="K16" s="25">
        <f t="shared" si="3"/>
        <v>1730</v>
      </c>
    </row>
    <row r="17" ht="13.5" customHeight="1">
      <c r="A17" s="26" t="s">
        <v>37</v>
      </c>
      <c r="B17" s="33"/>
      <c r="C17" s="34">
        <v>106.0</v>
      </c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550.0</v>
      </c>
      <c r="E18" s="10">
        <v>60.0</v>
      </c>
      <c r="F18" s="41">
        <v>340.0</v>
      </c>
      <c r="G18" s="32"/>
      <c r="H18" s="21">
        <v>4390.0</v>
      </c>
      <c r="I18" s="23"/>
      <c r="J18" s="24">
        <v>250.0</v>
      </c>
      <c r="K18" s="25">
        <f t="shared" si="3"/>
        <v>5590</v>
      </c>
    </row>
    <row r="19" ht="13.5" customHeight="1">
      <c r="A19" s="35" t="s">
        <v>41</v>
      </c>
      <c r="B19" s="27"/>
      <c r="C19" s="27"/>
      <c r="D19" s="21">
        <v>540.0</v>
      </c>
      <c r="E19" s="36"/>
      <c r="F19" s="37">
        <v>480.0</v>
      </c>
      <c r="G19" s="38"/>
      <c r="H19" s="21">
        <v>4290.0</v>
      </c>
      <c r="I19" s="29"/>
      <c r="J19" s="39">
        <v>220.0</v>
      </c>
      <c r="K19" s="25">
        <f t="shared" si="3"/>
        <v>5530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2100</v>
      </c>
      <c r="E20" s="10">
        <f t="shared" si="4"/>
        <v>150</v>
      </c>
      <c r="F20" s="10">
        <f t="shared" si="4"/>
        <v>2610</v>
      </c>
      <c r="G20" s="10">
        <f t="shared" si="4"/>
        <v>0</v>
      </c>
      <c r="H20" s="10">
        <f t="shared" si="4"/>
        <v>11004</v>
      </c>
      <c r="I20" s="10">
        <f t="shared" si="4"/>
        <v>0</v>
      </c>
      <c r="J20" s="10">
        <f t="shared" si="4"/>
        <v>530</v>
      </c>
      <c r="K20" s="25">
        <f t="shared" si="3"/>
        <v>16394</v>
      </c>
    </row>
    <row r="21" ht="13.5" customHeight="1">
      <c r="A21" s="13" t="s">
        <v>116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 t="s">
        <v>117</v>
      </c>
      <c r="C23" s="20" t="s">
        <v>33</v>
      </c>
      <c r="D23" s="21">
        <v>410.0</v>
      </c>
      <c r="E23" s="10">
        <v>60.0</v>
      </c>
      <c r="F23" s="36">
        <v>640.0</v>
      </c>
      <c r="G23" s="32"/>
      <c r="H23" s="21">
        <v>980.0</v>
      </c>
      <c r="I23" s="23"/>
      <c r="J23" s="24"/>
      <c r="K23" s="25">
        <f t="shared" ref="K23:K29" si="5">SUM(D23:J23)</f>
        <v>2090</v>
      </c>
    </row>
    <row r="24" ht="13.5" customHeight="1">
      <c r="A24" s="26" t="s">
        <v>34</v>
      </c>
      <c r="B24" s="27"/>
      <c r="C24" s="28">
        <v>99.0</v>
      </c>
      <c r="D24" s="21">
        <v>310.0</v>
      </c>
      <c r="E24" s="10"/>
      <c r="F24" s="36">
        <v>470.0</v>
      </c>
      <c r="G24" s="22"/>
      <c r="H24" s="21">
        <v>870.0</v>
      </c>
      <c r="I24" s="29"/>
      <c r="J24" s="29"/>
      <c r="K24" s="25">
        <f t="shared" si="5"/>
        <v>1650</v>
      </c>
    </row>
    <row r="25" ht="13.5" customHeight="1">
      <c r="A25" s="18" t="s">
        <v>35</v>
      </c>
      <c r="B25" s="30">
        <v>2.0</v>
      </c>
      <c r="C25" s="31" t="s">
        <v>36</v>
      </c>
      <c r="D25" s="21">
        <v>270.0</v>
      </c>
      <c r="E25" s="10">
        <v>30.0</v>
      </c>
      <c r="F25" s="41">
        <v>350.0</v>
      </c>
      <c r="G25" s="32"/>
      <c r="H25" s="21">
        <v>820.0</v>
      </c>
      <c r="I25" s="23"/>
      <c r="J25" s="24">
        <v>60.0</v>
      </c>
      <c r="K25" s="25">
        <f t="shared" si="5"/>
        <v>1530</v>
      </c>
    </row>
    <row r="26" ht="13.5" customHeight="1">
      <c r="A26" s="26" t="s">
        <v>37</v>
      </c>
      <c r="B26" s="33"/>
      <c r="C26" s="34">
        <v>106.0</v>
      </c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540.0</v>
      </c>
      <c r="E27" s="10">
        <v>60.0</v>
      </c>
      <c r="F27" s="41">
        <v>350.0</v>
      </c>
      <c r="G27" s="32"/>
      <c r="H27" s="21">
        <v>4450.0</v>
      </c>
      <c r="I27" s="23"/>
      <c r="J27" s="24">
        <v>220.0</v>
      </c>
      <c r="K27" s="25">
        <f t="shared" si="5"/>
        <v>5620</v>
      </c>
    </row>
    <row r="28" ht="13.5" customHeight="1">
      <c r="A28" s="35" t="s">
        <v>41</v>
      </c>
      <c r="B28" s="27"/>
      <c r="C28" s="27"/>
      <c r="D28" s="21">
        <v>570.0</v>
      </c>
      <c r="E28" s="36"/>
      <c r="F28" s="37">
        <v>480.0</v>
      </c>
      <c r="G28" s="22"/>
      <c r="H28" s="21">
        <v>4070.0</v>
      </c>
      <c r="I28" s="29"/>
      <c r="J28" s="29">
        <v>180.0</v>
      </c>
      <c r="K28" s="25">
        <f t="shared" si="5"/>
        <v>5300</v>
      </c>
    </row>
    <row r="29" ht="13.5" customHeight="1">
      <c r="A29" s="40" t="s">
        <v>7</v>
      </c>
      <c r="B29" s="40"/>
      <c r="C29" s="40">
        <v>547.0</v>
      </c>
      <c r="D29" s="10">
        <f t="shared" ref="D29:J29" si="6">SUM(D23:D28)</f>
        <v>2100</v>
      </c>
      <c r="E29" s="10">
        <f t="shared" si="6"/>
        <v>150</v>
      </c>
      <c r="F29" s="10">
        <f t="shared" si="6"/>
        <v>2290</v>
      </c>
      <c r="G29" s="10">
        <f t="shared" si="6"/>
        <v>0</v>
      </c>
      <c r="H29" s="10">
        <f t="shared" si="6"/>
        <v>11190</v>
      </c>
      <c r="I29" s="10">
        <f t="shared" si="6"/>
        <v>0</v>
      </c>
      <c r="J29" s="10">
        <f t="shared" si="6"/>
        <v>460</v>
      </c>
      <c r="K29" s="25">
        <f t="shared" si="5"/>
        <v>16190</v>
      </c>
    </row>
    <row r="30" ht="13.5" customHeight="1">
      <c r="A30" s="13" t="s">
        <v>118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 t="s">
        <v>119</v>
      </c>
      <c r="C32" s="20" t="s">
        <v>33</v>
      </c>
      <c r="D32" s="21">
        <v>410.0</v>
      </c>
      <c r="E32" s="10">
        <v>60.0</v>
      </c>
      <c r="F32" s="36">
        <v>500.0</v>
      </c>
      <c r="G32" s="32"/>
      <c r="H32" s="21">
        <v>1220.0</v>
      </c>
      <c r="I32" s="23"/>
      <c r="J32" s="24"/>
      <c r="K32" s="25">
        <f t="shared" ref="K32:K37" si="7">SUM(D32:J32)</f>
        <v>2190</v>
      </c>
    </row>
    <row r="33" ht="13.5" customHeight="1">
      <c r="A33" s="26" t="s">
        <v>34</v>
      </c>
      <c r="B33" s="27"/>
      <c r="C33" s="28">
        <v>99.0</v>
      </c>
      <c r="D33" s="21">
        <v>300.0</v>
      </c>
      <c r="E33" s="10"/>
      <c r="F33" s="36">
        <v>550.0</v>
      </c>
      <c r="G33" s="22"/>
      <c r="H33" s="21">
        <v>900.0</v>
      </c>
      <c r="I33" s="21"/>
      <c r="J33" s="29"/>
      <c r="K33" s="25">
        <f t="shared" si="7"/>
        <v>1750</v>
      </c>
    </row>
    <row r="34" ht="13.5" customHeight="1">
      <c r="A34" s="18" t="s">
        <v>35</v>
      </c>
      <c r="B34" s="30">
        <v>2.0</v>
      </c>
      <c r="C34" s="31" t="s">
        <v>36</v>
      </c>
      <c r="D34" s="21">
        <v>270.0</v>
      </c>
      <c r="E34" s="10">
        <v>30.0</v>
      </c>
      <c r="F34" s="36"/>
      <c r="G34" s="32"/>
      <c r="H34" s="21">
        <v>1170.0</v>
      </c>
      <c r="I34" s="21"/>
      <c r="J34" s="24">
        <v>80.0</v>
      </c>
      <c r="K34" s="25">
        <f t="shared" si="7"/>
        <v>1550</v>
      </c>
    </row>
    <row r="35" ht="13.5" customHeight="1">
      <c r="A35" s="26" t="s">
        <v>37</v>
      </c>
      <c r="B35" s="33"/>
      <c r="C35" s="34">
        <v>106.0</v>
      </c>
      <c r="D35" s="21"/>
      <c r="E35" s="10"/>
      <c r="F35" s="36"/>
      <c r="G35" s="38"/>
      <c r="H35" s="21"/>
      <c r="I35" s="21"/>
      <c r="J35" s="29"/>
      <c r="K35" s="25">
        <f t="shared" si="7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550.0</v>
      </c>
      <c r="E36" s="10">
        <v>60.0</v>
      </c>
      <c r="F36" s="41"/>
      <c r="G36" s="32"/>
      <c r="H36" s="21">
        <v>4720.0</v>
      </c>
      <c r="I36" s="21"/>
      <c r="J36" s="24">
        <v>260.0</v>
      </c>
      <c r="K36" s="25">
        <f t="shared" si="7"/>
        <v>5590</v>
      </c>
    </row>
    <row r="37" ht="13.5" customHeight="1">
      <c r="A37" s="35" t="s">
        <v>41</v>
      </c>
      <c r="B37" s="27"/>
      <c r="C37" s="27"/>
      <c r="D37" s="21">
        <v>590.0</v>
      </c>
      <c r="E37" s="36"/>
      <c r="F37" s="37">
        <v>400.0</v>
      </c>
      <c r="G37" s="22"/>
      <c r="H37" s="21">
        <v>4340.0</v>
      </c>
      <c r="I37" s="29"/>
      <c r="J37" s="39">
        <v>190.0</v>
      </c>
      <c r="K37" s="25">
        <f t="shared" si="7"/>
        <v>5520</v>
      </c>
    </row>
    <row r="38" ht="13.5" customHeight="1">
      <c r="A38" s="40" t="s">
        <v>7</v>
      </c>
      <c r="B38" s="40"/>
      <c r="C38" s="40">
        <v>547.0</v>
      </c>
      <c r="D38" s="10">
        <f t="shared" ref="D38:K38" si="8">SUM(D32:D37)</f>
        <v>2120</v>
      </c>
      <c r="E38" s="10">
        <f t="shared" si="8"/>
        <v>150</v>
      </c>
      <c r="F38" s="10">
        <f t="shared" si="8"/>
        <v>1450</v>
      </c>
      <c r="G38" s="10">
        <f t="shared" si="8"/>
        <v>0</v>
      </c>
      <c r="H38" s="10">
        <f t="shared" si="8"/>
        <v>12350</v>
      </c>
      <c r="I38" s="10">
        <f t="shared" si="8"/>
        <v>0</v>
      </c>
      <c r="J38" s="10">
        <f t="shared" si="8"/>
        <v>530</v>
      </c>
      <c r="K38" s="10">
        <f t="shared" si="8"/>
        <v>16600</v>
      </c>
    </row>
    <row r="39" ht="13.5" customHeight="1">
      <c r="A39" s="42" t="s">
        <v>120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 t="s">
        <v>121</v>
      </c>
      <c r="C41" s="20" t="s">
        <v>33</v>
      </c>
      <c r="D41" s="21">
        <v>410.0</v>
      </c>
      <c r="E41" s="10">
        <v>60.0</v>
      </c>
      <c r="F41" s="36">
        <v>890.0</v>
      </c>
      <c r="G41" s="32"/>
      <c r="H41" s="21">
        <v>890.0</v>
      </c>
      <c r="I41" s="21"/>
      <c r="J41" s="24"/>
      <c r="K41" s="25">
        <f t="shared" ref="K41:K47" si="9">SUM(D41:J41)</f>
        <v>2250</v>
      </c>
    </row>
    <row r="42" ht="13.5" customHeight="1">
      <c r="A42" s="26" t="s">
        <v>34</v>
      </c>
      <c r="B42" s="27"/>
      <c r="C42" s="28">
        <v>99.0</v>
      </c>
      <c r="D42" s="21">
        <v>320.0</v>
      </c>
      <c r="E42" s="10"/>
      <c r="F42" s="36">
        <v>560.0</v>
      </c>
      <c r="G42" s="22"/>
      <c r="H42" s="21">
        <v>870.0</v>
      </c>
      <c r="I42" s="21"/>
      <c r="J42" s="29"/>
      <c r="K42" s="25">
        <f t="shared" si="9"/>
        <v>1750</v>
      </c>
    </row>
    <row r="43" ht="13.5" customHeight="1">
      <c r="A43" s="18" t="s">
        <v>35</v>
      </c>
      <c r="B43" s="30">
        <v>2.0</v>
      </c>
      <c r="C43" s="31" t="s">
        <v>36</v>
      </c>
      <c r="D43" s="21">
        <v>270.0</v>
      </c>
      <c r="E43" s="10">
        <v>30.0</v>
      </c>
      <c r="F43" s="36">
        <v>400.0</v>
      </c>
      <c r="G43" s="32"/>
      <c r="H43" s="21">
        <v>880.0</v>
      </c>
      <c r="I43" s="21"/>
      <c r="J43" s="24">
        <v>70.0</v>
      </c>
      <c r="K43" s="25">
        <f t="shared" si="9"/>
        <v>1650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9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550.0</v>
      </c>
      <c r="E45" s="10">
        <v>60.0</v>
      </c>
      <c r="F45" s="41">
        <v>370.0</v>
      </c>
      <c r="G45" s="32"/>
      <c r="H45" s="21">
        <v>4560.0</v>
      </c>
      <c r="I45" s="21"/>
      <c r="J45" s="24">
        <v>250.0</v>
      </c>
      <c r="K45" s="25">
        <f t="shared" si="9"/>
        <v>5790</v>
      </c>
    </row>
    <row r="46" ht="13.5" customHeight="1">
      <c r="A46" s="35" t="s">
        <v>41</v>
      </c>
      <c r="B46" s="27"/>
      <c r="C46" s="27"/>
      <c r="D46" s="21">
        <v>560.0</v>
      </c>
      <c r="E46" s="36"/>
      <c r="F46" s="37">
        <v>440.0</v>
      </c>
      <c r="G46" s="38"/>
      <c r="H46" s="21">
        <v>4550.0</v>
      </c>
      <c r="I46" s="21"/>
      <c r="J46" s="39">
        <v>210.0</v>
      </c>
      <c r="K46" s="25">
        <f t="shared" si="9"/>
        <v>5760</v>
      </c>
    </row>
    <row r="47" ht="13.5" customHeight="1">
      <c r="A47" s="40" t="s">
        <v>7</v>
      </c>
      <c r="B47" s="40"/>
      <c r="C47" s="40">
        <v>547.0</v>
      </c>
      <c r="D47" s="10">
        <f t="shared" ref="D47:J47" si="10">SUM(D41:D46)</f>
        <v>2110</v>
      </c>
      <c r="E47" s="10">
        <f t="shared" si="10"/>
        <v>150</v>
      </c>
      <c r="F47" s="10">
        <f t="shared" si="10"/>
        <v>2660</v>
      </c>
      <c r="G47" s="10">
        <f t="shared" si="10"/>
        <v>0</v>
      </c>
      <c r="H47" s="10">
        <f t="shared" si="10"/>
        <v>11750</v>
      </c>
      <c r="I47" s="10">
        <f t="shared" si="10"/>
        <v>0</v>
      </c>
      <c r="J47" s="10">
        <f t="shared" si="10"/>
        <v>530</v>
      </c>
      <c r="K47" s="25">
        <f t="shared" si="9"/>
        <v>17200</v>
      </c>
    </row>
    <row r="48" ht="13.5" customHeight="1">
      <c r="A48" s="13" t="s">
        <v>122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 t="s">
        <v>123</v>
      </c>
      <c r="C50" s="20" t="s">
        <v>33</v>
      </c>
      <c r="D50" s="21">
        <v>420.0</v>
      </c>
      <c r="E50" s="10">
        <v>60.0</v>
      </c>
      <c r="F50" s="36">
        <v>640.0</v>
      </c>
      <c r="G50" s="32"/>
      <c r="H50" s="21">
        <v>1410.0</v>
      </c>
      <c r="I50" s="21"/>
      <c r="J50" s="24"/>
      <c r="K50" s="25">
        <f t="shared" ref="K50:K56" si="11">SUM(D50:J50)</f>
        <v>2530</v>
      </c>
    </row>
    <row r="51" ht="13.5" customHeight="1">
      <c r="A51" s="26" t="s">
        <v>34</v>
      </c>
      <c r="B51" s="27"/>
      <c r="C51" s="28">
        <v>99.0</v>
      </c>
      <c r="D51" s="21">
        <v>340.0</v>
      </c>
      <c r="E51" s="10"/>
      <c r="F51" s="36">
        <v>450.0</v>
      </c>
      <c r="G51" s="22"/>
      <c r="H51" s="21">
        <v>950.0</v>
      </c>
      <c r="I51" s="21"/>
      <c r="J51" s="29"/>
      <c r="K51" s="25">
        <f t="shared" si="11"/>
        <v>1740</v>
      </c>
    </row>
    <row r="52" ht="13.5" customHeight="1">
      <c r="A52" s="18" t="s">
        <v>35</v>
      </c>
      <c r="B52" s="30">
        <v>2.0</v>
      </c>
      <c r="C52" s="31" t="s">
        <v>36</v>
      </c>
      <c r="D52" s="21">
        <v>260.0</v>
      </c>
      <c r="E52" s="10">
        <v>30.0</v>
      </c>
      <c r="F52" s="36">
        <v>370.0</v>
      </c>
      <c r="G52" s="38"/>
      <c r="H52" s="21">
        <v>1060.0</v>
      </c>
      <c r="I52" s="21"/>
      <c r="J52" s="29">
        <v>60.0</v>
      </c>
      <c r="K52" s="25">
        <f t="shared" si="11"/>
        <v>1780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1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560.0</v>
      </c>
      <c r="E54" s="10">
        <v>60.0</v>
      </c>
      <c r="F54" s="41">
        <v>410.0</v>
      </c>
      <c r="G54" s="32"/>
      <c r="H54" s="21">
        <v>4370.0</v>
      </c>
      <c r="I54" s="21"/>
      <c r="J54" s="24">
        <v>280.0</v>
      </c>
      <c r="K54" s="25">
        <f t="shared" si="11"/>
        <v>5680</v>
      </c>
    </row>
    <row r="55" ht="13.5" customHeight="1">
      <c r="A55" s="35" t="s">
        <v>41</v>
      </c>
      <c r="B55" s="27"/>
      <c r="C55" s="27"/>
      <c r="D55" s="21">
        <v>550.0</v>
      </c>
      <c r="E55" s="36"/>
      <c r="F55" s="37">
        <v>310.0</v>
      </c>
      <c r="G55" s="38"/>
      <c r="H55" s="21">
        <v>4560.0</v>
      </c>
      <c r="I55" s="21"/>
      <c r="J55" s="39">
        <v>270.0</v>
      </c>
      <c r="K55" s="25">
        <f t="shared" si="11"/>
        <v>5690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2">SUM(D50:D55)</f>
        <v>2130</v>
      </c>
      <c r="E56" s="10">
        <f t="shared" si="12"/>
        <v>150</v>
      </c>
      <c r="F56" s="10">
        <f t="shared" si="12"/>
        <v>2180</v>
      </c>
      <c r="G56" s="10">
        <f t="shared" si="12"/>
        <v>0</v>
      </c>
      <c r="H56" s="10">
        <f t="shared" si="12"/>
        <v>12350</v>
      </c>
      <c r="I56" s="10">
        <f t="shared" si="12"/>
        <v>0</v>
      </c>
      <c r="J56" s="10">
        <f t="shared" si="12"/>
        <v>610</v>
      </c>
      <c r="K56" s="25">
        <f t="shared" si="11"/>
        <v>17420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124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 t="s">
        <v>125</v>
      </c>
      <c r="C60" s="20" t="s">
        <v>33</v>
      </c>
      <c r="D60" s="21">
        <v>430.0</v>
      </c>
      <c r="E60" s="10">
        <v>60.0</v>
      </c>
      <c r="F60" s="36">
        <v>650.0</v>
      </c>
      <c r="G60" s="21"/>
      <c r="H60" s="10">
        <v>1470.0</v>
      </c>
      <c r="I60" s="10"/>
      <c r="J60" s="24"/>
      <c r="K60" s="25">
        <f t="shared" ref="K60:K66" si="13">SUM(D60:J60)</f>
        <v>2610</v>
      </c>
    </row>
    <row r="61" ht="13.5" customHeight="1">
      <c r="A61" s="26" t="s">
        <v>34</v>
      </c>
      <c r="B61" s="27"/>
      <c r="C61" s="28">
        <v>99.0</v>
      </c>
      <c r="D61" s="21"/>
      <c r="E61" s="10"/>
      <c r="F61" s="36"/>
      <c r="G61" s="21"/>
      <c r="H61" s="10"/>
      <c r="I61" s="10"/>
      <c r="J61" s="29"/>
      <c r="K61" s="25">
        <f t="shared" si="13"/>
        <v>0</v>
      </c>
    </row>
    <row r="62" ht="13.5" customHeight="1">
      <c r="A62" s="18" t="s">
        <v>35</v>
      </c>
      <c r="B62" s="30">
        <v>2.0</v>
      </c>
      <c r="C62" s="31" t="s">
        <v>36</v>
      </c>
      <c r="D62" s="21">
        <v>280.0</v>
      </c>
      <c r="E62" s="10">
        <v>30.0</v>
      </c>
      <c r="F62" s="36">
        <v>400.0</v>
      </c>
      <c r="G62" s="21"/>
      <c r="H62" s="10">
        <v>1130.0</v>
      </c>
      <c r="I62" s="10"/>
      <c r="J62" s="24">
        <v>90.0</v>
      </c>
      <c r="K62" s="25">
        <f t="shared" si="13"/>
        <v>1930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3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620.0</v>
      </c>
      <c r="E64" s="10">
        <v>60.0</v>
      </c>
      <c r="F64" s="43">
        <v>400.0</v>
      </c>
      <c r="G64" s="21"/>
      <c r="H64" s="10">
        <v>4390.0</v>
      </c>
      <c r="I64" s="10"/>
      <c r="J64" s="24">
        <v>240.0</v>
      </c>
      <c r="K64" s="25">
        <f t="shared" si="13"/>
        <v>5710</v>
      </c>
    </row>
    <row r="65" ht="13.5" customHeight="1">
      <c r="A65" s="35" t="s">
        <v>41</v>
      </c>
      <c r="B65" s="27"/>
      <c r="C65" s="27"/>
      <c r="D65" s="21"/>
      <c r="E65" s="36"/>
      <c r="F65" s="36"/>
      <c r="G65" s="21"/>
      <c r="H65" s="10"/>
      <c r="I65" s="10"/>
      <c r="J65" s="39"/>
      <c r="K65" s="25">
        <f t="shared" si="13"/>
        <v>0</v>
      </c>
    </row>
    <row r="66" ht="13.5" customHeight="1">
      <c r="A66" s="40" t="s">
        <v>7</v>
      </c>
      <c r="B66" s="40"/>
      <c r="C66" s="40">
        <v>547.0</v>
      </c>
      <c r="D66" s="10">
        <f t="shared" ref="D66:J66" si="14">SUM(D60:D65)</f>
        <v>1330</v>
      </c>
      <c r="E66" s="10">
        <f t="shared" si="14"/>
        <v>150</v>
      </c>
      <c r="F66" s="10">
        <f t="shared" si="14"/>
        <v>1450</v>
      </c>
      <c r="G66" s="10">
        <f t="shared" si="14"/>
        <v>0</v>
      </c>
      <c r="H66" s="10">
        <f t="shared" si="14"/>
        <v>6990</v>
      </c>
      <c r="I66" s="10">
        <f t="shared" si="14"/>
        <v>0</v>
      </c>
      <c r="J66" s="10">
        <f t="shared" si="14"/>
        <v>330</v>
      </c>
      <c r="K66" s="25">
        <f t="shared" si="13"/>
        <v>10250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126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 t="s">
        <v>127</v>
      </c>
      <c r="C70" s="20" t="s">
        <v>33</v>
      </c>
      <c r="D70" s="21">
        <v>400.0</v>
      </c>
      <c r="E70" s="10">
        <v>60.0</v>
      </c>
      <c r="F70" s="36">
        <v>600.0</v>
      </c>
      <c r="G70" s="21"/>
      <c r="H70" s="10">
        <v>1200.0</v>
      </c>
      <c r="I70" s="10"/>
      <c r="J70" s="24"/>
      <c r="K70" s="25">
        <f t="shared" ref="K70:K76" si="15">SUM(D70:J70)</f>
        <v>2260</v>
      </c>
    </row>
    <row r="71" ht="13.5" customHeight="1">
      <c r="A71" s="26" t="s">
        <v>34</v>
      </c>
      <c r="B71" s="27"/>
      <c r="C71" s="28">
        <v>99.0</v>
      </c>
      <c r="D71" s="21">
        <v>380.0</v>
      </c>
      <c r="E71" s="10"/>
      <c r="F71" s="36">
        <v>900.0</v>
      </c>
      <c r="G71" s="21"/>
      <c r="H71" s="10">
        <v>1040.0</v>
      </c>
      <c r="I71" s="10"/>
      <c r="J71" s="29"/>
      <c r="K71" s="25">
        <f t="shared" si="15"/>
        <v>2320</v>
      </c>
    </row>
    <row r="72" ht="13.5" customHeight="1">
      <c r="A72" s="18" t="s">
        <v>35</v>
      </c>
      <c r="B72" s="30">
        <v>2.0</v>
      </c>
      <c r="C72" s="31" t="s">
        <v>36</v>
      </c>
      <c r="D72" s="21">
        <v>270.0</v>
      </c>
      <c r="E72" s="10">
        <v>30.0</v>
      </c>
      <c r="F72" s="36">
        <v>350.0</v>
      </c>
      <c r="G72" s="21"/>
      <c r="H72" s="10">
        <v>1200.0</v>
      </c>
      <c r="I72" s="10"/>
      <c r="J72" s="24">
        <v>50.0</v>
      </c>
      <c r="K72" s="25">
        <f t="shared" si="15"/>
        <v>1900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5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580.0</v>
      </c>
      <c r="E74" s="10">
        <v>60.0</v>
      </c>
      <c r="F74" s="10">
        <v>400.0</v>
      </c>
      <c r="G74" s="21"/>
      <c r="H74" s="10">
        <v>4540.0</v>
      </c>
      <c r="I74" s="10"/>
      <c r="J74" s="24">
        <v>250.0</v>
      </c>
      <c r="K74" s="25">
        <f t="shared" si="15"/>
        <v>5830</v>
      </c>
    </row>
    <row r="75" ht="13.5" customHeight="1">
      <c r="A75" s="35" t="s">
        <v>41</v>
      </c>
      <c r="B75" s="27"/>
      <c r="C75" s="27"/>
      <c r="D75" s="21">
        <v>520.0</v>
      </c>
      <c r="E75" s="36"/>
      <c r="F75" s="36">
        <v>350.0</v>
      </c>
      <c r="G75" s="21"/>
      <c r="H75" s="10">
        <v>4660.0</v>
      </c>
      <c r="I75" s="10"/>
      <c r="J75" s="39">
        <v>220.0</v>
      </c>
      <c r="K75" s="25">
        <f t="shared" si="15"/>
        <v>5750</v>
      </c>
    </row>
    <row r="76" ht="13.5" customHeight="1">
      <c r="A76" s="40" t="s">
        <v>7</v>
      </c>
      <c r="B76" s="40"/>
      <c r="C76" s="40">
        <v>547.0</v>
      </c>
      <c r="D76" s="40">
        <f t="shared" ref="D76:J76" si="16">SUM(D70:D75)</f>
        <v>2150</v>
      </c>
      <c r="E76" s="40">
        <f t="shared" si="16"/>
        <v>150</v>
      </c>
      <c r="F76" s="40">
        <f t="shared" si="16"/>
        <v>2600</v>
      </c>
      <c r="G76" s="40">
        <f t="shared" si="16"/>
        <v>0</v>
      </c>
      <c r="H76" s="40">
        <f t="shared" si="16"/>
        <v>12640</v>
      </c>
      <c r="I76" s="40">
        <f t="shared" si="16"/>
        <v>0</v>
      </c>
      <c r="J76" s="40">
        <f t="shared" si="16"/>
        <v>520</v>
      </c>
      <c r="K76" s="25">
        <f t="shared" si="15"/>
        <v>18060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128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 t="s">
        <v>129</v>
      </c>
      <c r="C80" s="20" t="s">
        <v>33</v>
      </c>
      <c r="D80" s="21">
        <v>420.0</v>
      </c>
      <c r="E80" s="36">
        <v>60.0</v>
      </c>
      <c r="F80" s="36">
        <v>760.0</v>
      </c>
      <c r="G80" s="22"/>
      <c r="H80" s="21">
        <v>1290.0</v>
      </c>
      <c r="I80" s="21"/>
      <c r="J80" s="29"/>
      <c r="K80" s="25">
        <f t="shared" ref="K80:K86" si="17">SUM(D80:J80)</f>
        <v>2530</v>
      </c>
    </row>
    <row r="81" ht="13.5" customHeight="1">
      <c r="A81" s="26" t="s">
        <v>34</v>
      </c>
      <c r="B81" s="27"/>
      <c r="C81" s="28">
        <v>99.0</v>
      </c>
      <c r="D81" s="21">
        <v>330.0</v>
      </c>
      <c r="E81" s="36"/>
      <c r="F81" s="36">
        <v>630.0</v>
      </c>
      <c r="G81" s="22"/>
      <c r="H81" s="21">
        <v>1240.0</v>
      </c>
      <c r="I81" s="21"/>
      <c r="J81" s="29"/>
      <c r="K81" s="25">
        <f t="shared" si="17"/>
        <v>2200</v>
      </c>
    </row>
    <row r="82" ht="13.5" customHeight="1">
      <c r="A82" s="18" t="s">
        <v>35</v>
      </c>
      <c r="B82" s="30">
        <v>2.0</v>
      </c>
      <c r="C82" s="31" t="s">
        <v>36</v>
      </c>
      <c r="D82" s="21">
        <v>290.0</v>
      </c>
      <c r="E82" s="36">
        <v>30.0</v>
      </c>
      <c r="F82" s="36">
        <v>490.0</v>
      </c>
      <c r="G82" s="32"/>
      <c r="H82" s="21">
        <v>1240.0</v>
      </c>
      <c r="I82" s="21"/>
      <c r="J82" s="24">
        <v>100.0</v>
      </c>
      <c r="K82" s="25">
        <f t="shared" si="17"/>
        <v>2150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7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570.0</v>
      </c>
      <c r="E84" s="41">
        <v>60.0</v>
      </c>
      <c r="F84" s="41">
        <v>970.0</v>
      </c>
      <c r="G84" s="32"/>
      <c r="H84" s="21">
        <v>4110.0</v>
      </c>
      <c r="I84" s="21"/>
      <c r="J84" s="24">
        <v>290.0</v>
      </c>
      <c r="K84" s="25">
        <f t="shared" si="17"/>
        <v>6000</v>
      </c>
    </row>
    <row r="85" ht="13.5" customHeight="1">
      <c r="A85" s="35" t="s">
        <v>41</v>
      </c>
      <c r="B85" s="27"/>
      <c r="C85" s="27"/>
      <c r="D85" s="21">
        <v>550.0</v>
      </c>
      <c r="E85" s="36"/>
      <c r="F85" s="37">
        <v>310.0</v>
      </c>
      <c r="G85" s="38"/>
      <c r="H85" s="21">
        <v>4650.0</v>
      </c>
      <c r="I85" s="29"/>
      <c r="J85" s="39">
        <v>240.0</v>
      </c>
      <c r="K85" s="25">
        <f t="shared" si="17"/>
        <v>5750</v>
      </c>
    </row>
    <row r="86" ht="13.5" customHeight="1">
      <c r="A86" s="40" t="s">
        <v>7</v>
      </c>
      <c r="B86" s="40"/>
      <c r="C86" s="40">
        <v>547.0</v>
      </c>
      <c r="D86" s="10">
        <f t="shared" ref="D86:J86" si="18">SUM(D80:D85)</f>
        <v>2160</v>
      </c>
      <c r="E86" s="10">
        <f t="shared" si="18"/>
        <v>150</v>
      </c>
      <c r="F86" s="10">
        <f t="shared" si="18"/>
        <v>3160</v>
      </c>
      <c r="G86" s="10">
        <f t="shared" si="18"/>
        <v>0</v>
      </c>
      <c r="H86" s="10">
        <f t="shared" si="18"/>
        <v>12530</v>
      </c>
      <c r="I86" s="10">
        <f t="shared" si="18"/>
        <v>0</v>
      </c>
      <c r="J86" s="10">
        <f t="shared" si="18"/>
        <v>630</v>
      </c>
      <c r="K86" s="25">
        <f t="shared" si="17"/>
        <v>18630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ht="13.5" customHeight="1">
      <c r="A89" s="13" t="s">
        <v>130</v>
      </c>
    </row>
    <row r="90" ht="13.5" customHeight="1">
      <c r="A90" s="14" t="s">
        <v>25</v>
      </c>
      <c r="B90" s="14" t="s">
        <v>1</v>
      </c>
      <c r="C90" s="14" t="s">
        <v>27</v>
      </c>
      <c r="D90" s="15" t="s">
        <v>2</v>
      </c>
      <c r="E90" s="10" t="s">
        <v>28</v>
      </c>
      <c r="F90" s="16" t="s">
        <v>3</v>
      </c>
      <c r="G90" s="15" t="s">
        <v>4</v>
      </c>
      <c r="H90" s="15" t="s">
        <v>5</v>
      </c>
      <c r="I90" s="15" t="s">
        <v>29</v>
      </c>
      <c r="J90" s="14" t="s">
        <v>30</v>
      </c>
      <c r="K90" s="17" t="s">
        <v>7</v>
      </c>
    </row>
    <row r="91" ht="14.25" customHeight="1">
      <c r="A91" s="18" t="s">
        <v>31</v>
      </c>
      <c r="B91" s="19" t="s">
        <v>131</v>
      </c>
      <c r="C91" s="20" t="s">
        <v>33</v>
      </c>
      <c r="D91" s="21">
        <v>450.0</v>
      </c>
      <c r="E91" s="10">
        <v>60.0</v>
      </c>
      <c r="F91" s="36">
        <v>640.0</v>
      </c>
      <c r="G91" s="32"/>
      <c r="H91" s="21">
        <v>1040.0</v>
      </c>
      <c r="I91" s="21"/>
      <c r="J91" s="24"/>
      <c r="K91" s="25">
        <f t="shared" ref="K91:K97" si="19">SUM(D91:J91)</f>
        <v>2190</v>
      </c>
    </row>
    <row r="92" ht="13.5" customHeight="1">
      <c r="A92" s="26" t="s">
        <v>34</v>
      </c>
      <c r="B92" s="27"/>
      <c r="C92" s="28">
        <v>136.0</v>
      </c>
      <c r="D92" s="21">
        <v>330.0</v>
      </c>
      <c r="E92" s="10"/>
      <c r="F92" s="36">
        <v>550.0</v>
      </c>
      <c r="G92" s="32"/>
      <c r="H92" s="21">
        <v>1120.0</v>
      </c>
      <c r="I92" s="21"/>
      <c r="J92" s="29"/>
      <c r="K92" s="25">
        <f t="shared" si="19"/>
        <v>2000</v>
      </c>
    </row>
    <row r="93" ht="13.5" customHeight="1">
      <c r="A93" s="18" t="s">
        <v>35</v>
      </c>
      <c r="B93" s="30">
        <v>2.0</v>
      </c>
      <c r="C93" s="31" t="s">
        <v>36</v>
      </c>
      <c r="D93" s="21">
        <v>280.0</v>
      </c>
      <c r="E93" s="10">
        <v>30.0</v>
      </c>
      <c r="F93" s="36">
        <v>440.0</v>
      </c>
      <c r="G93" s="32"/>
      <c r="H93" s="21">
        <v>1240.0</v>
      </c>
      <c r="I93" s="21"/>
      <c r="J93" s="24">
        <v>100.0</v>
      </c>
      <c r="K93" s="25">
        <f t="shared" si="19"/>
        <v>2090</v>
      </c>
    </row>
    <row r="94" ht="13.5" customHeight="1">
      <c r="A94" s="26" t="s">
        <v>37</v>
      </c>
      <c r="B94" s="33"/>
      <c r="C94" s="34">
        <v>91.0</v>
      </c>
      <c r="D94" s="21"/>
      <c r="E94" s="10"/>
      <c r="F94" s="36"/>
      <c r="G94" s="32"/>
      <c r="H94" s="21"/>
      <c r="I94" s="21"/>
      <c r="J94" s="29"/>
      <c r="K94" s="25">
        <f t="shared" si="19"/>
        <v>0</v>
      </c>
    </row>
    <row r="95" ht="15.0" customHeight="1">
      <c r="A95" s="18" t="s">
        <v>38</v>
      </c>
      <c r="B95" s="19" t="s">
        <v>39</v>
      </c>
      <c r="C95" s="19" t="s">
        <v>40</v>
      </c>
      <c r="D95" s="21">
        <v>570.0</v>
      </c>
      <c r="E95" s="36">
        <v>60.0</v>
      </c>
      <c r="F95" s="41">
        <v>400.0</v>
      </c>
      <c r="G95" s="32"/>
      <c r="H95" s="21">
        <v>4660.0</v>
      </c>
      <c r="I95" s="21"/>
      <c r="J95" s="24">
        <v>270.0</v>
      </c>
      <c r="K95" s="25">
        <f t="shared" si="19"/>
        <v>5960</v>
      </c>
    </row>
    <row r="96" ht="13.5" customHeight="1">
      <c r="A96" s="35" t="s">
        <v>41</v>
      </c>
      <c r="B96" s="27"/>
      <c r="C96" s="27"/>
      <c r="D96" s="21">
        <v>560.0</v>
      </c>
      <c r="E96" s="36"/>
      <c r="F96" s="37">
        <v>500.0</v>
      </c>
      <c r="G96" s="38"/>
      <c r="H96" s="21">
        <v>4410.0</v>
      </c>
      <c r="I96" s="21"/>
      <c r="J96" s="39">
        <v>260.0</v>
      </c>
      <c r="K96" s="25">
        <f t="shared" si="19"/>
        <v>5730</v>
      </c>
    </row>
    <row r="97" ht="13.5" customHeight="1">
      <c r="A97" s="40" t="s">
        <v>7</v>
      </c>
      <c r="B97" s="40"/>
      <c r="C97" s="40">
        <v>563.0</v>
      </c>
      <c r="D97" s="10">
        <f t="shared" ref="D97:J97" si="20">SUM(D91:D96)</f>
        <v>2190</v>
      </c>
      <c r="E97" s="10">
        <f t="shared" si="20"/>
        <v>150</v>
      </c>
      <c r="F97" s="10">
        <f t="shared" si="20"/>
        <v>2530</v>
      </c>
      <c r="G97" s="10">
        <f t="shared" si="20"/>
        <v>0</v>
      </c>
      <c r="H97" s="10">
        <f t="shared" si="20"/>
        <v>12470</v>
      </c>
      <c r="I97" s="10">
        <f t="shared" si="20"/>
        <v>0</v>
      </c>
      <c r="J97" s="10">
        <f t="shared" si="20"/>
        <v>630</v>
      </c>
      <c r="K97" s="25">
        <f t="shared" si="19"/>
        <v>17970</v>
      </c>
    </row>
    <row r="98" ht="13.5" customHeight="1">
      <c r="A98" s="13" t="s">
        <v>132</v>
      </c>
    </row>
    <row r="99" ht="13.5" customHeight="1">
      <c r="A99" s="14" t="s">
        <v>25</v>
      </c>
      <c r="B99" s="14" t="s">
        <v>1</v>
      </c>
      <c r="C99" s="14" t="s">
        <v>27</v>
      </c>
      <c r="D99" s="15" t="s">
        <v>2</v>
      </c>
      <c r="E99" s="10" t="s">
        <v>28</v>
      </c>
      <c r="F99" s="16" t="s">
        <v>3</v>
      </c>
      <c r="G99" s="15" t="s">
        <v>4</v>
      </c>
      <c r="H99" s="15" t="s">
        <v>5</v>
      </c>
      <c r="I99" s="15" t="s">
        <v>29</v>
      </c>
      <c r="J99" s="14" t="s">
        <v>30</v>
      </c>
      <c r="K99" s="10" t="s">
        <v>7</v>
      </c>
    </row>
    <row r="100" ht="14.25" customHeight="1">
      <c r="A100" s="18" t="s">
        <v>31</v>
      </c>
      <c r="B100" s="19" t="s">
        <v>133</v>
      </c>
      <c r="C100" s="20" t="s">
        <v>33</v>
      </c>
      <c r="D100" s="21">
        <v>420.0</v>
      </c>
      <c r="E100" s="10">
        <v>60.0</v>
      </c>
      <c r="F100" s="36">
        <v>630.0</v>
      </c>
      <c r="G100" s="32"/>
      <c r="H100" s="21">
        <v>1250.0</v>
      </c>
      <c r="I100" s="21"/>
      <c r="J100" s="21"/>
      <c r="K100" s="10">
        <f t="shared" ref="K100:K106" si="21">SUM(D100:J100)</f>
        <v>2360</v>
      </c>
    </row>
    <row r="101" ht="13.5" customHeight="1">
      <c r="A101" s="26" t="s">
        <v>34</v>
      </c>
      <c r="B101" s="27"/>
      <c r="C101" s="28">
        <v>136.0</v>
      </c>
      <c r="D101" s="21">
        <v>360.0</v>
      </c>
      <c r="E101" s="10"/>
      <c r="F101" s="36">
        <v>670.0</v>
      </c>
      <c r="G101" s="32"/>
      <c r="H101" s="21">
        <v>920.0</v>
      </c>
      <c r="I101" s="21"/>
      <c r="J101" s="21"/>
      <c r="K101" s="10">
        <f t="shared" si="21"/>
        <v>1950</v>
      </c>
    </row>
    <row r="102" ht="13.5" customHeight="1">
      <c r="A102" s="18" t="s">
        <v>35</v>
      </c>
      <c r="B102" s="30">
        <v>2.0</v>
      </c>
      <c r="C102" s="31" t="s">
        <v>36</v>
      </c>
      <c r="D102" s="21">
        <v>300.0</v>
      </c>
      <c r="E102" s="10">
        <v>30.0</v>
      </c>
      <c r="F102" s="36">
        <v>450.0</v>
      </c>
      <c r="G102" s="32"/>
      <c r="H102" s="21">
        <v>1350.0</v>
      </c>
      <c r="I102" s="21"/>
      <c r="J102" s="21">
        <v>100.0</v>
      </c>
      <c r="K102" s="10">
        <f t="shared" si="21"/>
        <v>2230</v>
      </c>
    </row>
    <row r="103" ht="13.5" customHeight="1">
      <c r="A103" s="26" t="s">
        <v>37</v>
      </c>
      <c r="B103" s="33"/>
      <c r="C103" s="34">
        <v>91.0</v>
      </c>
      <c r="D103" s="21"/>
      <c r="E103" s="10"/>
      <c r="F103" s="36"/>
      <c r="G103" s="32"/>
      <c r="H103" s="21"/>
      <c r="I103" s="21"/>
      <c r="J103" s="21"/>
      <c r="K103" s="10">
        <f t="shared" si="21"/>
        <v>0</v>
      </c>
    </row>
    <row r="104" ht="14.25" customHeight="1">
      <c r="A104" s="18" t="s">
        <v>38</v>
      </c>
      <c r="B104" s="19" t="s">
        <v>39</v>
      </c>
      <c r="C104" s="19" t="s">
        <v>40</v>
      </c>
      <c r="D104" s="21">
        <v>550.0</v>
      </c>
      <c r="E104" s="36">
        <v>60.0</v>
      </c>
      <c r="F104" s="41">
        <v>400.0</v>
      </c>
      <c r="G104" s="32"/>
      <c r="H104" s="21">
        <v>4350.0</v>
      </c>
      <c r="I104" s="21"/>
      <c r="J104" s="21">
        <v>270.0</v>
      </c>
      <c r="K104" s="10">
        <f t="shared" si="21"/>
        <v>5630</v>
      </c>
    </row>
    <row r="105" ht="13.5" customHeight="1">
      <c r="A105" s="35" t="s">
        <v>41</v>
      </c>
      <c r="B105" s="27"/>
      <c r="C105" s="27"/>
      <c r="D105" s="21">
        <v>550.0</v>
      </c>
      <c r="E105" s="36"/>
      <c r="F105" s="37">
        <v>410.0</v>
      </c>
      <c r="G105" s="38"/>
      <c r="H105" s="21">
        <v>4700.0</v>
      </c>
      <c r="I105" s="21"/>
      <c r="J105" s="21">
        <v>260.0</v>
      </c>
      <c r="K105" s="10">
        <f t="shared" si="21"/>
        <v>5920</v>
      </c>
    </row>
    <row r="106" ht="13.5" customHeight="1">
      <c r="A106" s="40" t="s">
        <v>7</v>
      </c>
      <c r="B106" s="40"/>
      <c r="C106" s="40">
        <v>563.0</v>
      </c>
      <c r="D106" s="10">
        <f t="shared" ref="D106:J106" si="22">SUM(D100:D105)</f>
        <v>2180</v>
      </c>
      <c r="E106" s="10">
        <f t="shared" si="22"/>
        <v>150</v>
      </c>
      <c r="F106" s="10">
        <f t="shared" si="22"/>
        <v>2560</v>
      </c>
      <c r="G106" s="10">
        <f t="shared" si="22"/>
        <v>0</v>
      </c>
      <c r="H106" s="10">
        <f t="shared" si="22"/>
        <v>12570</v>
      </c>
      <c r="I106" s="10">
        <f t="shared" si="22"/>
        <v>0</v>
      </c>
      <c r="J106" s="10">
        <f t="shared" si="22"/>
        <v>630</v>
      </c>
      <c r="K106" s="10">
        <f t="shared" si="21"/>
        <v>18090</v>
      </c>
    </row>
    <row r="107" ht="13.5" customHeight="1">
      <c r="A107" s="14"/>
      <c r="B107" s="14"/>
      <c r="C107" s="14"/>
      <c r="D107" s="14"/>
      <c r="E107" s="14"/>
      <c r="F107" s="14"/>
      <c r="G107" s="15"/>
      <c r="H107" s="15"/>
      <c r="I107" s="15"/>
      <c r="J107" s="10"/>
      <c r="K107" s="10"/>
    </row>
    <row r="108" ht="13.5" customHeight="1">
      <c r="A108" s="45" t="s">
        <v>134</v>
      </c>
    </row>
    <row r="109" ht="13.5" customHeight="1">
      <c r="A109" s="14" t="s">
        <v>25</v>
      </c>
      <c r="B109" s="14" t="s">
        <v>1</v>
      </c>
      <c r="C109" s="14" t="s">
        <v>27</v>
      </c>
      <c r="D109" s="15" t="s">
        <v>2</v>
      </c>
      <c r="E109" s="10" t="s">
        <v>28</v>
      </c>
      <c r="F109" s="16" t="s">
        <v>3</v>
      </c>
      <c r="G109" s="15" t="s">
        <v>4</v>
      </c>
      <c r="H109" s="15" t="s">
        <v>5</v>
      </c>
      <c r="I109" s="15" t="s">
        <v>29</v>
      </c>
      <c r="J109" s="14" t="s">
        <v>30</v>
      </c>
      <c r="K109" s="17" t="s">
        <v>7</v>
      </c>
    </row>
    <row r="110" ht="14.25" customHeight="1">
      <c r="A110" s="18" t="s">
        <v>31</v>
      </c>
      <c r="B110" s="19" t="s">
        <v>135</v>
      </c>
      <c r="C110" s="20" t="s">
        <v>33</v>
      </c>
      <c r="D110" s="21">
        <v>420.0</v>
      </c>
      <c r="E110" s="10">
        <v>60.0</v>
      </c>
      <c r="F110" s="10">
        <v>630.0</v>
      </c>
      <c r="G110" s="32"/>
      <c r="H110" s="21">
        <v>1250.0</v>
      </c>
      <c r="I110" s="21"/>
      <c r="J110" s="21"/>
      <c r="K110" s="25">
        <f t="shared" ref="K110:K116" si="23">SUM(D110:J110)</f>
        <v>2360</v>
      </c>
    </row>
    <row r="111" ht="13.5" customHeight="1">
      <c r="A111" s="26" t="s">
        <v>34</v>
      </c>
      <c r="B111" s="27"/>
      <c r="C111" s="28">
        <v>136.0</v>
      </c>
      <c r="D111" s="21">
        <v>360.0</v>
      </c>
      <c r="E111" s="10"/>
      <c r="F111" s="10">
        <v>670.0</v>
      </c>
      <c r="G111" s="32"/>
      <c r="H111" s="21">
        <v>920.0</v>
      </c>
      <c r="I111" s="21"/>
      <c r="J111" s="21"/>
      <c r="K111" s="25">
        <f t="shared" si="23"/>
        <v>1950</v>
      </c>
    </row>
    <row r="112" ht="13.5" customHeight="1">
      <c r="A112" s="18" t="s">
        <v>35</v>
      </c>
      <c r="B112" s="30">
        <v>2.0</v>
      </c>
      <c r="C112" s="31" t="s">
        <v>36</v>
      </c>
      <c r="D112" s="21">
        <v>300.0</v>
      </c>
      <c r="E112" s="10">
        <v>30.0</v>
      </c>
      <c r="F112" s="10">
        <v>450.0</v>
      </c>
      <c r="G112" s="32"/>
      <c r="H112" s="21">
        <v>1350.0</v>
      </c>
      <c r="I112" s="21"/>
      <c r="J112" s="21">
        <v>100.0</v>
      </c>
      <c r="K112" s="25">
        <f t="shared" si="23"/>
        <v>2230</v>
      </c>
    </row>
    <row r="113" ht="13.5" customHeight="1">
      <c r="A113" s="26" t="s">
        <v>37</v>
      </c>
      <c r="B113" s="33"/>
      <c r="C113" s="34">
        <v>91.0</v>
      </c>
      <c r="D113" s="21"/>
      <c r="E113" s="10"/>
      <c r="F113" s="36"/>
      <c r="G113" s="32"/>
      <c r="H113" s="21"/>
      <c r="I113" s="21"/>
      <c r="J113" s="21"/>
      <c r="K113" s="25">
        <f t="shared" si="23"/>
        <v>0</v>
      </c>
    </row>
    <row r="114" ht="15.0" customHeight="1">
      <c r="A114" s="18" t="s">
        <v>38</v>
      </c>
      <c r="B114" s="19" t="s">
        <v>39</v>
      </c>
      <c r="C114" s="19" t="s">
        <v>40</v>
      </c>
      <c r="D114" s="21">
        <v>550.0</v>
      </c>
      <c r="E114" s="36">
        <v>60.0</v>
      </c>
      <c r="F114" s="41">
        <v>400.0</v>
      </c>
      <c r="G114" s="32"/>
      <c r="H114" s="21">
        <v>4350.0</v>
      </c>
      <c r="I114" s="21"/>
      <c r="J114" s="21">
        <v>270.0</v>
      </c>
      <c r="K114" s="25">
        <f t="shared" si="23"/>
        <v>5630</v>
      </c>
    </row>
    <row r="115" ht="13.5" customHeight="1">
      <c r="A115" s="35" t="s">
        <v>41</v>
      </c>
      <c r="B115" s="27"/>
      <c r="C115" s="27"/>
      <c r="D115" s="21">
        <v>550.0</v>
      </c>
      <c r="E115" s="36"/>
      <c r="F115" s="41">
        <v>410.0</v>
      </c>
      <c r="G115" s="32"/>
      <c r="H115" s="21">
        <v>4700.0</v>
      </c>
      <c r="I115" s="21"/>
      <c r="J115" s="21">
        <v>260.0</v>
      </c>
      <c r="K115" s="25">
        <f t="shared" si="23"/>
        <v>5920</v>
      </c>
    </row>
    <row r="116" ht="13.5" customHeight="1">
      <c r="A116" s="40" t="s">
        <v>7</v>
      </c>
      <c r="B116" s="40"/>
      <c r="C116" s="40">
        <v>563.0</v>
      </c>
      <c r="D116" s="10">
        <f t="shared" ref="D116:J116" si="24">SUM(D110:D115)</f>
        <v>2180</v>
      </c>
      <c r="E116" s="10">
        <f t="shared" si="24"/>
        <v>150</v>
      </c>
      <c r="F116" s="10">
        <f t="shared" si="24"/>
        <v>2560</v>
      </c>
      <c r="G116" s="10">
        <f t="shared" si="24"/>
        <v>0</v>
      </c>
      <c r="H116" s="10">
        <f t="shared" si="24"/>
        <v>12570</v>
      </c>
      <c r="I116" s="10">
        <f t="shared" si="24"/>
        <v>0</v>
      </c>
      <c r="J116" s="10">
        <f t="shared" si="24"/>
        <v>630</v>
      </c>
      <c r="K116" s="25">
        <f t="shared" si="23"/>
        <v>18090</v>
      </c>
    </row>
    <row r="117" ht="13.5" customHeight="1">
      <c r="A117" s="13" t="s">
        <v>136</v>
      </c>
    </row>
    <row r="118" ht="13.5" customHeight="1">
      <c r="A118" s="14" t="s">
        <v>25</v>
      </c>
      <c r="B118" s="14" t="s">
        <v>1</v>
      </c>
      <c r="C118" s="14" t="s">
        <v>27</v>
      </c>
      <c r="D118" s="15" t="s">
        <v>2</v>
      </c>
      <c r="E118" s="10" t="s">
        <v>28</v>
      </c>
      <c r="F118" s="16" t="s">
        <v>3</v>
      </c>
      <c r="G118" s="15" t="s">
        <v>4</v>
      </c>
      <c r="H118" s="15" t="s">
        <v>5</v>
      </c>
      <c r="I118" s="15" t="s">
        <v>29</v>
      </c>
      <c r="J118" s="14" t="s">
        <v>30</v>
      </c>
      <c r="K118" s="17" t="s">
        <v>7</v>
      </c>
    </row>
    <row r="119" ht="14.25" customHeight="1">
      <c r="A119" s="18" t="s">
        <v>31</v>
      </c>
      <c r="B119" s="19" t="s">
        <v>137</v>
      </c>
      <c r="C119" s="20" t="s">
        <v>33</v>
      </c>
      <c r="D119" s="21">
        <v>470.0</v>
      </c>
      <c r="E119" s="10">
        <v>60.0</v>
      </c>
      <c r="F119" s="36">
        <v>630.0</v>
      </c>
      <c r="G119" s="32"/>
      <c r="H119" s="21">
        <v>1450.0</v>
      </c>
      <c r="I119" s="21"/>
      <c r="J119" s="21"/>
      <c r="K119" s="25">
        <f t="shared" ref="K119:K125" si="25">SUM(D119:J119)</f>
        <v>2610</v>
      </c>
    </row>
    <row r="120" ht="13.5" customHeight="1">
      <c r="A120" s="26" t="s">
        <v>34</v>
      </c>
      <c r="B120" s="27"/>
      <c r="C120" s="28">
        <v>130.0</v>
      </c>
      <c r="D120" s="21">
        <v>220.0</v>
      </c>
      <c r="E120" s="10"/>
      <c r="F120" s="36">
        <v>500.0</v>
      </c>
      <c r="G120" s="32"/>
      <c r="H120" s="21">
        <v>1050.0</v>
      </c>
      <c r="I120" s="21"/>
      <c r="J120" s="21"/>
      <c r="K120" s="25">
        <f t="shared" si="25"/>
        <v>1770</v>
      </c>
    </row>
    <row r="121" ht="13.5" customHeight="1">
      <c r="A121" s="18" t="s">
        <v>35</v>
      </c>
      <c r="B121" s="30">
        <v>2.0</v>
      </c>
      <c r="C121" s="31" t="s">
        <v>36</v>
      </c>
      <c r="D121" s="21">
        <v>310.0</v>
      </c>
      <c r="E121" s="10">
        <v>30.0</v>
      </c>
      <c r="F121" s="36">
        <v>460.0</v>
      </c>
      <c r="G121" s="32"/>
      <c r="H121" s="21">
        <v>1230.0</v>
      </c>
      <c r="I121" s="21"/>
      <c r="J121" s="21">
        <v>100.0</v>
      </c>
      <c r="K121" s="25">
        <f t="shared" si="25"/>
        <v>2130</v>
      </c>
    </row>
    <row r="122" ht="13.5" customHeight="1">
      <c r="A122" s="26" t="s">
        <v>37</v>
      </c>
      <c r="B122" s="33"/>
      <c r="C122" s="34">
        <v>91.0</v>
      </c>
      <c r="D122" s="21"/>
      <c r="E122" s="10"/>
      <c r="F122" s="36"/>
      <c r="G122" s="32"/>
      <c r="H122" s="21"/>
      <c r="I122" s="21"/>
      <c r="J122" s="21"/>
      <c r="K122" s="25">
        <f t="shared" si="25"/>
        <v>0</v>
      </c>
    </row>
    <row r="123" ht="15.0" customHeight="1">
      <c r="A123" s="18" t="s">
        <v>38</v>
      </c>
      <c r="B123" s="19" t="s">
        <v>39</v>
      </c>
      <c r="C123" s="19" t="s">
        <v>40</v>
      </c>
      <c r="D123" s="21">
        <v>550.0</v>
      </c>
      <c r="E123" s="36">
        <v>60.0</v>
      </c>
      <c r="F123" s="41">
        <v>440.0</v>
      </c>
      <c r="G123" s="44"/>
      <c r="H123" s="44">
        <v>4660.0</v>
      </c>
      <c r="I123" s="23"/>
      <c r="J123" s="23">
        <v>270.0</v>
      </c>
      <c r="K123" s="25">
        <f t="shared" si="25"/>
        <v>5980</v>
      </c>
    </row>
    <row r="124" ht="13.5" customHeight="1">
      <c r="A124" s="35" t="s">
        <v>41</v>
      </c>
      <c r="B124" s="27"/>
      <c r="C124" s="27"/>
      <c r="D124" s="21">
        <v>550.0</v>
      </c>
      <c r="E124" s="36"/>
      <c r="F124" s="37">
        <v>350.0</v>
      </c>
      <c r="G124" s="38"/>
      <c r="H124" s="21">
        <v>4730.0</v>
      </c>
      <c r="I124" s="29"/>
      <c r="J124" s="39">
        <v>330.0</v>
      </c>
      <c r="K124" s="25">
        <f t="shared" si="25"/>
        <v>5960</v>
      </c>
    </row>
    <row r="125" ht="13.5" customHeight="1">
      <c r="A125" s="40" t="s">
        <v>7</v>
      </c>
      <c r="B125" s="40"/>
      <c r="C125" s="40">
        <v>563.0</v>
      </c>
      <c r="D125" s="10">
        <f t="shared" ref="D125:J125" si="26">SUM(D119:D124)</f>
        <v>2100</v>
      </c>
      <c r="E125" s="10">
        <f t="shared" si="26"/>
        <v>150</v>
      </c>
      <c r="F125" s="10">
        <f t="shared" si="26"/>
        <v>2380</v>
      </c>
      <c r="G125" s="10">
        <f t="shared" si="26"/>
        <v>0</v>
      </c>
      <c r="H125" s="10">
        <f t="shared" si="26"/>
        <v>13120</v>
      </c>
      <c r="I125" s="10">
        <f t="shared" si="26"/>
        <v>0</v>
      </c>
      <c r="J125" s="10">
        <f t="shared" si="26"/>
        <v>700</v>
      </c>
      <c r="K125" s="25">
        <f t="shared" si="25"/>
        <v>18450</v>
      </c>
    </row>
    <row r="126" ht="13.5" customHeight="1">
      <c r="A126" s="13" t="s">
        <v>138</v>
      </c>
    </row>
    <row r="127" ht="13.5" customHeight="1">
      <c r="A127" s="14" t="s">
        <v>25</v>
      </c>
      <c r="B127" s="14" t="s">
        <v>1</v>
      </c>
      <c r="C127" s="14" t="s">
        <v>27</v>
      </c>
      <c r="D127" s="15" t="s">
        <v>2</v>
      </c>
      <c r="E127" s="10" t="s">
        <v>28</v>
      </c>
      <c r="F127" s="16" t="s">
        <v>3</v>
      </c>
      <c r="G127" s="15" t="s">
        <v>4</v>
      </c>
      <c r="H127" s="15" t="s">
        <v>5</v>
      </c>
      <c r="I127" s="15" t="s">
        <v>29</v>
      </c>
      <c r="J127" s="14" t="s">
        <v>30</v>
      </c>
      <c r="K127" s="17" t="s">
        <v>7</v>
      </c>
    </row>
    <row r="128" ht="13.5" customHeight="1">
      <c r="A128" s="18" t="s">
        <v>31</v>
      </c>
      <c r="B128" s="19" t="s">
        <v>139</v>
      </c>
      <c r="C128" s="20" t="s">
        <v>33</v>
      </c>
      <c r="D128" s="21">
        <v>470.0</v>
      </c>
      <c r="E128" s="36"/>
      <c r="F128" s="36">
        <v>610.0</v>
      </c>
      <c r="G128" s="32"/>
      <c r="H128" s="21">
        <v>940.0</v>
      </c>
      <c r="I128" s="21"/>
      <c r="J128" s="21"/>
      <c r="K128" s="25">
        <f t="shared" ref="K128:K134" si="27">SUM(D128:J128)</f>
        <v>2020</v>
      </c>
    </row>
    <row r="129" ht="13.5" customHeight="1">
      <c r="A129" s="26" t="s">
        <v>34</v>
      </c>
      <c r="B129" s="27"/>
      <c r="C129" s="28">
        <v>130.0</v>
      </c>
      <c r="D129" s="21">
        <v>330.0</v>
      </c>
      <c r="E129" s="36"/>
      <c r="F129" s="36">
        <v>650.0</v>
      </c>
      <c r="G129" s="32"/>
      <c r="H129" s="21">
        <v>920.0</v>
      </c>
      <c r="I129" s="21"/>
      <c r="J129" s="21"/>
      <c r="K129" s="25">
        <f t="shared" si="27"/>
        <v>1900</v>
      </c>
    </row>
    <row r="130" ht="13.5" customHeight="1">
      <c r="A130" s="18" t="s">
        <v>35</v>
      </c>
      <c r="B130" s="30">
        <v>2.0</v>
      </c>
      <c r="C130" s="31" t="s">
        <v>36</v>
      </c>
      <c r="D130" s="21">
        <v>320.0</v>
      </c>
      <c r="E130" s="36"/>
      <c r="F130" s="36">
        <v>600.0</v>
      </c>
      <c r="G130" s="32"/>
      <c r="H130" s="21">
        <v>980.0</v>
      </c>
      <c r="I130" s="21"/>
      <c r="J130" s="21">
        <v>100.0</v>
      </c>
      <c r="K130" s="25">
        <f t="shared" si="27"/>
        <v>2000</v>
      </c>
    </row>
    <row r="131" ht="13.5" customHeight="1">
      <c r="A131" s="26" t="s">
        <v>37</v>
      </c>
      <c r="B131" s="33"/>
      <c r="C131" s="34">
        <v>91.0</v>
      </c>
      <c r="D131" s="21"/>
      <c r="E131" s="36"/>
      <c r="F131" s="36"/>
      <c r="G131" s="32"/>
      <c r="H131" s="21"/>
      <c r="I131" s="21"/>
      <c r="J131" s="21"/>
      <c r="K131" s="25">
        <f t="shared" si="27"/>
        <v>0</v>
      </c>
    </row>
    <row r="132" ht="15.0" customHeight="1">
      <c r="A132" s="18" t="s">
        <v>38</v>
      </c>
      <c r="B132" s="19" t="s">
        <v>39</v>
      </c>
      <c r="C132" s="19" t="s">
        <v>40</v>
      </c>
      <c r="D132" s="21">
        <v>550.0</v>
      </c>
      <c r="E132" s="36"/>
      <c r="F132" s="36">
        <v>450.0</v>
      </c>
      <c r="G132" s="21"/>
      <c r="H132" s="21">
        <v>4400.0</v>
      </c>
      <c r="I132" s="21"/>
      <c r="J132" s="21">
        <v>240.0</v>
      </c>
      <c r="K132" s="25">
        <f t="shared" si="27"/>
        <v>5640</v>
      </c>
    </row>
    <row r="133" ht="13.5" customHeight="1">
      <c r="A133" s="35" t="s">
        <v>41</v>
      </c>
      <c r="B133" s="27"/>
      <c r="C133" s="27"/>
      <c r="D133" s="21">
        <v>540.0</v>
      </c>
      <c r="E133" s="36"/>
      <c r="F133" s="36">
        <v>540.0</v>
      </c>
      <c r="G133" s="21"/>
      <c r="H133" s="21">
        <v>4160.0</v>
      </c>
      <c r="I133" s="21"/>
      <c r="J133" s="21">
        <v>270.0</v>
      </c>
      <c r="K133" s="25">
        <f t="shared" si="27"/>
        <v>5510</v>
      </c>
    </row>
    <row r="134" ht="13.5" customHeight="1">
      <c r="A134" s="40" t="s">
        <v>7</v>
      </c>
      <c r="B134" s="40"/>
      <c r="C134" s="40">
        <v>563.0</v>
      </c>
      <c r="D134" s="10">
        <f t="shared" ref="D134:J134" si="28">SUM(D128:D133)</f>
        <v>2210</v>
      </c>
      <c r="E134" s="10">
        <f t="shared" si="28"/>
        <v>0</v>
      </c>
      <c r="F134" s="10">
        <f t="shared" si="28"/>
        <v>2850</v>
      </c>
      <c r="G134" s="10">
        <f t="shared" si="28"/>
        <v>0</v>
      </c>
      <c r="H134" s="10">
        <f t="shared" si="28"/>
        <v>11400</v>
      </c>
      <c r="I134" s="10">
        <f t="shared" si="28"/>
        <v>0</v>
      </c>
      <c r="J134" s="10">
        <f t="shared" si="28"/>
        <v>610</v>
      </c>
      <c r="K134" s="25">
        <f t="shared" si="27"/>
        <v>17070</v>
      </c>
    </row>
    <row r="135" ht="13.5" customHeight="1">
      <c r="A135" s="46" t="s">
        <v>140</v>
      </c>
    </row>
    <row r="136" ht="13.5" customHeight="1">
      <c r="A136" s="14" t="s">
        <v>25</v>
      </c>
      <c r="B136" s="14" t="s">
        <v>1</v>
      </c>
      <c r="C136" s="14" t="s">
        <v>27</v>
      </c>
      <c r="D136" s="15" t="s">
        <v>2</v>
      </c>
      <c r="E136" s="10" t="s">
        <v>28</v>
      </c>
      <c r="F136" s="16" t="s">
        <v>3</v>
      </c>
      <c r="G136" s="15" t="s">
        <v>4</v>
      </c>
      <c r="H136" s="15" t="s">
        <v>5</v>
      </c>
      <c r="I136" s="15" t="s">
        <v>29</v>
      </c>
      <c r="J136" s="14" t="s">
        <v>30</v>
      </c>
      <c r="K136" s="17" t="s">
        <v>7</v>
      </c>
    </row>
    <row r="137" ht="13.5" customHeight="1">
      <c r="A137" s="18" t="s">
        <v>31</v>
      </c>
      <c r="B137" s="19" t="s">
        <v>141</v>
      </c>
      <c r="C137" s="20" t="s">
        <v>33</v>
      </c>
      <c r="D137" s="21">
        <v>430.0</v>
      </c>
      <c r="E137" s="36"/>
      <c r="F137" s="36">
        <v>600.0</v>
      </c>
      <c r="G137" s="32"/>
      <c r="H137" s="21">
        <v>1120.0</v>
      </c>
      <c r="I137" s="21"/>
      <c r="J137" s="21"/>
      <c r="K137" s="25">
        <f t="shared" ref="K137:K143" si="29">SUM(D137:J137)</f>
        <v>2150</v>
      </c>
    </row>
    <row r="138" ht="13.5" customHeight="1">
      <c r="A138" s="26" t="s">
        <v>34</v>
      </c>
      <c r="B138" s="27"/>
      <c r="C138" s="28">
        <v>130.0</v>
      </c>
      <c r="D138" s="21">
        <v>330.0</v>
      </c>
      <c r="E138" s="36"/>
      <c r="F138" s="36">
        <v>550.0</v>
      </c>
      <c r="G138" s="32"/>
      <c r="H138" s="21">
        <v>1020.0</v>
      </c>
      <c r="I138" s="21"/>
      <c r="J138" s="21"/>
      <c r="K138" s="25">
        <f t="shared" si="29"/>
        <v>1900</v>
      </c>
    </row>
    <row r="139" ht="13.5" customHeight="1">
      <c r="A139" s="18" t="s">
        <v>35</v>
      </c>
      <c r="B139" s="30">
        <v>2.0</v>
      </c>
      <c r="C139" s="31" t="s">
        <v>36</v>
      </c>
      <c r="D139" s="21">
        <v>300.0</v>
      </c>
      <c r="E139" s="36"/>
      <c r="F139" s="36">
        <v>500.0</v>
      </c>
      <c r="G139" s="32"/>
      <c r="H139" s="21">
        <v>1300.0</v>
      </c>
      <c r="I139" s="21"/>
      <c r="J139" s="21">
        <v>100.0</v>
      </c>
      <c r="K139" s="25">
        <f t="shared" si="29"/>
        <v>2200</v>
      </c>
    </row>
    <row r="140" ht="13.5" customHeight="1">
      <c r="A140" s="26" t="s">
        <v>37</v>
      </c>
      <c r="B140" s="33"/>
      <c r="C140" s="34">
        <v>91.0</v>
      </c>
      <c r="D140" s="21"/>
      <c r="E140" s="36"/>
      <c r="F140" s="36"/>
      <c r="G140" s="32"/>
      <c r="H140" s="21"/>
      <c r="I140" s="21"/>
      <c r="J140" s="21"/>
      <c r="K140" s="25">
        <f t="shared" si="29"/>
        <v>0</v>
      </c>
    </row>
    <row r="141" ht="15.0" customHeight="1">
      <c r="A141" s="18" t="s">
        <v>38</v>
      </c>
      <c r="B141" s="19" t="s">
        <v>39</v>
      </c>
      <c r="C141" s="19" t="s">
        <v>40</v>
      </c>
      <c r="D141" s="44">
        <v>560.0</v>
      </c>
      <c r="E141" s="41"/>
      <c r="F141" s="41">
        <v>350.0</v>
      </c>
      <c r="G141" s="44"/>
      <c r="H141" s="44">
        <v>4480.0</v>
      </c>
      <c r="I141" s="23"/>
      <c r="J141" s="24">
        <v>260.0</v>
      </c>
      <c r="K141" s="25">
        <f t="shared" si="29"/>
        <v>5650</v>
      </c>
      <c r="L141" s="47"/>
      <c r="M141" s="12"/>
    </row>
    <row r="142" ht="13.5" customHeight="1">
      <c r="A142" s="35" t="s">
        <v>41</v>
      </c>
      <c r="B142" s="27"/>
      <c r="C142" s="27"/>
      <c r="D142" s="21">
        <v>530.0</v>
      </c>
      <c r="E142" s="36"/>
      <c r="F142" s="36">
        <v>380.0</v>
      </c>
      <c r="G142" s="21"/>
      <c r="H142" s="21">
        <v>4720.0</v>
      </c>
      <c r="I142" s="29"/>
      <c r="J142" s="39">
        <v>230.0</v>
      </c>
      <c r="K142" s="25">
        <f t="shared" si="29"/>
        <v>5860</v>
      </c>
    </row>
    <row r="143" ht="13.5" customHeight="1">
      <c r="A143" s="40" t="s">
        <v>7</v>
      </c>
      <c r="B143" s="40"/>
      <c r="C143" s="40">
        <v>563.0</v>
      </c>
      <c r="D143" s="10">
        <f t="shared" ref="D143:J143" si="30">SUM(D137:D142)</f>
        <v>2150</v>
      </c>
      <c r="E143" s="10">
        <f t="shared" si="30"/>
        <v>0</v>
      </c>
      <c r="F143" s="10">
        <f t="shared" si="30"/>
        <v>2380</v>
      </c>
      <c r="G143" s="10">
        <f t="shared" si="30"/>
        <v>0</v>
      </c>
      <c r="H143" s="10">
        <f t="shared" si="30"/>
        <v>12640</v>
      </c>
      <c r="I143" s="10">
        <f t="shared" si="30"/>
        <v>0</v>
      </c>
      <c r="J143" s="10">
        <f t="shared" si="30"/>
        <v>590</v>
      </c>
      <c r="K143" s="25">
        <f t="shared" si="29"/>
        <v>17760</v>
      </c>
    </row>
    <row r="144" ht="13.5" customHeight="1">
      <c r="A144" s="48" t="s">
        <v>142</v>
      </c>
    </row>
    <row r="145" ht="13.5" customHeight="1">
      <c r="A145" s="14" t="s">
        <v>25</v>
      </c>
      <c r="B145" s="14" t="s">
        <v>1</v>
      </c>
      <c r="C145" s="14" t="s">
        <v>27</v>
      </c>
      <c r="D145" s="15" t="s">
        <v>2</v>
      </c>
      <c r="E145" s="10" t="s">
        <v>28</v>
      </c>
      <c r="F145" s="16" t="s">
        <v>3</v>
      </c>
      <c r="G145" s="15" t="s">
        <v>4</v>
      </c>
      <c r="H145" s="15" t="s">
        <v>5</v>
      </c>
      <c r="I145" s="15" t="s">
        <v>29</v>
      </c>
      <c r="J145" s="14" t="s">
        <v>30</v>
      </c>
      <c r="K145" s="17" t="s">
        <v>7</v>
      </c>
    </row>
    <row r="146" ht="15.0" customHeight="1">
      <c r="A146" s="18" t="s">
        <v>31</v>
      </c>
      <c r="B146" s="19" t="s">
        <v>143</v>
      </c>
      <c r="C146" s="20" t="s">
        <v>33</v>
      </c>
      <c r="D146" s="21">
        <v>430.0</v>
      </c>
      <c r="E146" s="36">
        <v>60.0</v>
      </c>
      <c r="F146" s="36">
        <v>760.0</v>
      </c>
      <c r="G146" s="32"/>
      <c r="H146" s="21">
        <v>820.0</v>
      </c>
      <c r="I146" s="23"/>
      <c r="J146" s="24"/>
      <c r="K146" s="25">
        <f t="shared" ref="K146:K152" si="31">SUM(D146:J146)</f>
        <v>2070</v>
      </c>
    </row>
    <row r="147" ht="13.5" customHeight="1">
      <c r="A147" s="26" t="s">
        <v>34</v>
      </c>
      <c r="B147" s="27"/>
      <c r="C147" s="28">
        <v>130.0</v>
      </c>
      <c r="D147" s="21">
        <v>320.0</v>
      </c>
      <c r="E147" s="36"/>
      <c r="F147" s="36">
        <v>530.0</v>
      </c>
      <c r="G147" s="32"/>
      <c r="H147" s="21">
        <v>890.0</v>
      </c>
      <c r="I147" s="21"/>
      <c r="J147" s="29"/>
      <c r="K147" s="25">
        <f t="shared" si="31"/>
        <v>1740</v>
      </c>
    </row>
    <row r="148" ht="13.5" customHeight="1">
      <c r="A148" s="18" t="s">
        <v>35</v>
      </c>
      <c r="B148" s="30">
        <v>2.0</v>
      </c>
      <c r="C148" s="31" t="s">
        <v>36</v>
      </c>
      <c r="D148" s="21">
        <v>300.0</v>
      </c>
      <c r="E148" s="36">
        <v>30.0</v>
      </c>
      <c r="F148" s="41">
        <v>400.0</v>
      </c>
      <c r="G148" s="32"/>
      <c r="H148" s="21">
        <v>1270.0</v>
      </c>
      <c r="I148" s="21"/>
      <c r="J148" s="24">
        <v>80.0</v>
      </c>
      <c r="K148" s="25">
        <f t="shared" si="31"/>
        <v>2080</v>
      </c>
    </row>
    <row r="149" ht="13.5" customHeight="1">
      <c r="A149" s="26" t="s">
        <v>37</v>
      </c>
      <c r="B149" s="33"/>
      <c r="C149" s="34">
        <v>91.0</v>
      </c>
      <c r="D149" s="21"/>
      <c r="E149" s="21"/>
      <c r="F149" s="21"/>
      <c r="G149" s="21"/>
      <c r="H149" s="21"/>
      <c r="I149" s="21"/>
      <c r="J149" s="21"/>
      <c r="K149" s="25">
        <f t="shared" si="31"/>
        <v>0</v>
      </c>
    </row>
    <row r="150" ht="14.25" customHeight="1">
      <c r="A150" s="18" t="s">
        <v>38</v>
      </c>
      <c r="B150" s="19" t="s">
        <v>39</v>
      </c>
      <c r="C150" s="19" t="s">
        <v>40</v>
      </c>
      <c r="D150" s="21">
        <v>580.0</v>
      </c>
      <c r="E150" s="36">
        <v>60.0</v>
      </c>
      <c r="F150" s="41">
        <v>400.0</v>
      </c>
      <c r="G150" s="32"/>
      <c r="H150" s="21">
        <v>4420.0</v>
      </c>
      <c r="I150" s="21"/>
      <c r="J150" s="24">
        <v>260.0</v>
      </c>
      <c r="K150" s="25">
        <f t="shared" si="31"/>
        <v>5720</v>
      </c>
      <c r="L150" s="47"/>
      <c r="M150" s="12"/>
    </row>
    <row r="151" ht="13.5" customHeight="1">
      <c r="A151" s="35" t="s">
        <v>41</v>
      </c>
      <c r="B151" s="27"/>
      <c r="C151" s="27"/>
      <c r="D151" s="21">
        <v>680.0</v>
      </c>
      <c r="E151" s="21"/>
      <c r="F151" s="21">
        <v>400.0</v>
      </c>
      <c r="G151" s="21"/>
      <c r="H151" s="21">
        <v>4240.0</v>
      </c>
      <c r="I151" s="21"/>
      <c r="J151" s="21">
        <v>280.0</v>
      </c>
      <c r="K151" s="25">
        <f t="shared" si="31"/>
        <v>5600</v>
      </c>
    </row>
    <row r="152" ht="13.5" customHeight="1">
      <c r="A152" s="40" t="s">
        <v>7</v>
      </c>
      <c r="B152" s="40"/>
      <c r="C152" s="40">
        <v>563.0</v>
      </c>
      <c r="D152" s="10">
        <f t="shared" ref="D152:J152" si="32">SUM(D146:D151)</f>
        <v>2310</v>
      </c>
      <c r="E152" s="10">
        <f t="shared" si="32"/>
        <v>150</v>
      </c>
      <c r="F152" s="10">
        <f t="shared" si="32"/>
        <v>2490</v>
      </c>
      <c r="G152" s="10">
        <f t="shared" si="32"/>
        <v>0</v>
      </c>
      <c r="H152" s="10">
        <f t="shared" si="32"/>
        <v>11640</v>
      </c>
      <c r="I152" s="10">
        <f t="shared" si="32"/>
        <v>0</v>
      </c>
      <c r="J152" s="10">
        <f t="shared" si="32"/>
        <v>620</v>
      </c>
      <c r="K152" s="25">
        <f t="shared" si="31"/>
        <v>17210</v>
      </c>
    </row>
    <row r="153" ht="13.5" customHeight="1">
      <c r="A153" s="48" t="s">
        <v>144</v>
      </c>
    </row>
    <row r="154" ht="13.5" customHeight="1">
      <c r="A154" s="14" t="s">
        <v>25</v>
      </c>
      <c r="B154" s="14" t="s">
        <v>1</v>
      </c>
      <c r="C154" s="14" t="s">
        <v>27</v>
      </c>
      <c r="D154" s="15" t="s">
        <v>2</v>
      </c>
      <c r="E154" s="10" t="s">
        <v>28</v>
      </c>
      <c r="F154" s="16" t="s">
        <v>3</v>
      </c>
      <c r="G154" s="15" t="s">
        <v>4</v>
      </c>
      <c r="H154" s="15" t="s">
        <v>5</v>
      </c>
      <c r="I154" s="15" t="s">
        <v>29</v>
      </c>
      <c r="J154" s="14" t="s">
        <v>30</v>
      </c>
      <c r="K154" s="17" t="s">
        <v>7</v>
      </c>
      <c r="L154" s="49"/>
    </row>
    <row r="155" ht="13.5" customHeight="1">
      <c r="A155" s="18" t="s">
        <v>31</v>
      </c>
      <c r="B155" s="19" t="s">
        <v>145</v>
      </c>
      <c r="C155" s="20" t="s">
        <v>33</v>
      </c>
      <c r="D155" s="21">
        <v>450.0</v>
      </c>
      <c r="E155" s="36">
        <v>60.0</v>
      </c>
      <c r="F155" s="36">
        <v>670.0</v>
      </c>
      <c r="G155" s="32"/>
      <c r="H155" s="21">
        <v>1080.0</v>
      </c>
      <c r="I155" s="21"/>
      <c r="J155" s="21"/>
      <c r="K155" s="25">
        <f t="shared" ref="K155:K161" si="33">SUM(D155:J155)</f>
        <v>2260</v>
      </c>
    </row>
    <row r="156" ht="13.5" customHeight="1">
      <c r="A156" s="26" t="s">
        <v>34</v>
      </c>
      <c r="B156" s="27"/>
      <c r="C156" s="28"/>
      <c r="D156" s="21">
        <v>360.0</v>
      </c>
      <c r="E156" s="36"/>
      <c r="F156" s="36">
        <v>710.0</v>
      </c>
      <c r="G156" s="32"/>
      <c r="H156" s="21">
        <v>1150.0</v>
      </c>
      <c r="I156" s="21"/>
      <c r="J156" s="21"/>
      <c r="K156" s="25">
        <f t="shared" si="33"/>
        <v>2220</v>
      </c>
    </row>
    <row r="157" ht="13.5" customHeight="1">
      <c r="A157" s="18" t="s">
        <v>35</v>
      </c>
      <c r="B157" s="30">
        <v>2.0</v>
      </c>
      <c r="C157" s="31" t="s">
        <v>36</v>
      </c>
      <c r="D157" s="21">
        <v>300.0</v>
      </c>
      <c r="E157" s="36">
        <v>30.0</v>
      </c>
      <c r="F157" s="36">
        <v>500.0</v>
      </c>
      <c r="G157" s="32"/>
      <c r="H157" s="21">
        <v>1430.0</v>
      </c>
      <c r="I157" s="21"/>
      <c r="J157" s="21">
        <v>110.0</v>
      </c>
      <c r="K157" s="25">
        <f t="shared" si="33"/>
        <v>2370</v>
      </c>
    </row>
    <row r="158" ht="13.5" customHeight="1">
      <c r="A158" s="26" t="s">
        <v>37</v>
      </c>
      <c r="B158" s="33"/>
      <c r="C158" s="34"/>
      <c r="D158" s="21"/>
      <c r="E158" s="36"/>
      <c r="F158" s="36"/>
      <c r="G158" s="32"/>
      <c r="H158" s="21"/>
      <c r="I158" s="21"/>
      <c r="J158" s="21"/>
      <c r="K158" s="25">
        <f t="shared" si="33"/>
        <v>0</v>
      </c>
    </row>
    <row r="159" ht="14.25" customHeight="1">
      <c r="A159" s="18" t="s">
        <v>38</v>
      </c>
      <c r="B159" s="19" t="s">
        <v>39</v>
      </c>
      <c r="C159" s="19" t="s">
        <v>40</v>
      </c>
      <c r="D159" s="21">
        <v>550.0</v>
      </c>
      <c r="E159" s="36">
        <v>60.0</v>
      </c>
      <c r="F159" s="36">
        <v>300.0</v>
      </c>
      <c r="G159" s="21"/>
      <c r="H159" s="21">
        <v>4550.0</v>
      </c>
      <c r="I159" s="21"/>
      <c r="J159" s="21">
        <v>270.0</v>
      </c>
      <c r="K159" s="25">
        <f t="shared" si="33"/>
        <v>5730</v>
      </c>
      <c r="L159" s="47"/>
      <c r="M159" s="12"/>
    </row>
    <row r="160" ht="13.5" customHeight="1">
      <c r="A160" s="35" t="s">
        <v>41</v>
      </c>
      <c r="B160" s="27"/>
      <c r="C160" s="27"/>
      <c r="D160" s="21">
        <v>540.0</v>
      </c>
      <c r="E160" s="21"/>
      <c r="F160" s="21">
        <v>420.0</v>
      </c>
      <c r="G160" s="21"/>
      <c r="H160" s="21">
        <v>4370.0</v>
      </c>
      <c r="I160" s="21"/>
      <c r="J160" s="21">
        <v>250.0</v>
      </c>
      <c r="K160" s="25">
        <f t="shared" si="33"/>
        <v>5580</v>
      </c>
    </row>
    <row r="161" ht="13.5" customHeight="1">
      <c r="A161" s="40" t="s">
        <v>7</v>
      </c>
      <c r="B161" s="40"/>
      <c r="C161" s="40"/>
      <c r="D161" s="10">
        <f t="shared" ref="D161:J161" si="34">SUM(D155:D160)</f>
        <v>2200</v>
      </c>
      <c r="E161" s="10">
        <f t="shared" si="34"/>
        <v>150</v>
      </c>
      <c r="F161" s="10">
        <f t="shared" si="34"/>
        <v>2600</v>
      </c>
      <c r="G161" s="10">
        <f t="shared" si="34"/>
        <v>0</v>
      </c>
      <c r="H161" s="10">
        <f t="shared" si="34"/>
        <v>12580</v>
      </c>
      <c r="I161" s="10">
        <f t="shared" si="34"/>
        <v>0</v>
      </c>
      <c r="J161" s="10">
        <f t="shared" si="34"/>
        <v>630</v>
      </c>
      <c r="K161" s="25">
        <f t="shared" si="33"/>
        <v>18160</v>
      </c>
    </row>
    <row r="162" ht="13.5" customHeight="1">
      <c r="A162" s="48" t="s">
        <v>146</v>
      </c>
    </row>
    <row r="163" ht="13.5" customHeight="1">
      <c r="A163" s="14" t="s">
        <v>25</v>
      </c>
      <c r="B163" s="14" t="s">
        <v>1</v>
      </c>
      <c r="C163" s="14" t="s">
        <v>27</v>
      </c>
      <c r="D163" s="15" t="s">
        <v>2</v>
      </c>
      <c r="E163" s="10" t="s">
        <v>28</v>
      </c>
      <c r="F163" s="16" t="s">
        <v>3</v>
      </c>
      <c r="G163" s="15" t="s">
        <v>4</v>
      </c>
      <c r="H163" s="15" t="s">
        <v>5</v>
      </c>
      <c r="I163" s="15" t="s">
        <v>29</v>
      </c>
      <c r="J163" s="14" t="s">
        <v>30</v>
      </c>
      <c r="K163" s="17" t="s">
        <v>7</v>
      </c>
    </row>
    <row r="164" ht="13.5" customHeight="1">
      <c r="A164" s="18" t="s">
        <v>31</v>
      </c>
      <c r="B164" s="19" t="s">
        <v>147</v>
      </c>
      <c r="C164" s="20" t="s">
        <v>33</v>
      </c>
      <c r="D164" s="21">
        <v>440.0</v>
      </c>
      <c r="E164" s="36">
        <v>60.0</v>
      </c>
      <c r="F164" s="36">
        <v>670.0</v>
      </c>
      <c r="G164" s="32"/>
      <c r="H164" s="21">
        <v>1040.0</v>
      </c>
      <c r="I164" s="21"/>
      <c r="J164" s="24"/>
      <c r="K164" s="25">
        <f t="shared" ref="K164:K170" si="35">SUM(D164:J164)</f>
        <v>2210</v>
      </c>
    </row>
    <row r="165" ht="13.5" customHeight="1">
      <c r="A165" s="26" t="s">
        <v>34</v>
      </c>
      <c r="B165" s="27"/>
      <c r="C165" s="28"/>
      <c r="D165" s="21">
        <v>330.0</v>
      </c>
      <c r="E165" s="36"/>
      <c r="F165" s="36">
        <v>430.0</v>
      </c>
      <c r="G165" s="32"/>
      <c r="H165" s="21">
        <v>1080.0</v>
      </c>
      <c r="I165" s="21"/>
      <c r="J165" s="29"/>
      <c r="K165" s="25">
        <f t="shared" si="35"/>
        <v>1840</v>
      </c>
    </row>
    <row r="166" ht="13.5" customHeight="1">
      <c r="A166" s="18" t="s">
        <v>35</v>
      </c>
      <c r="B166" s="30">
        <v>2.0</v>
      </c>
      <c r="C166" s="31" t="s">
        <v>36</v>
      </c>
      <c r="D166" s="21">
        <v>310.0</v>
      </c>
      <c r="E166" s="36">
        <v>30.0</v>
      </c>
      <c r="F166" s="36">
        <v>500.0</v>
      </c>
      <c r="G166" s="32"/>
      <c r="H166" s="21">
        <v>1430.0</v>
      </c>
      <c r="I166" s="21"/>
      <c r="J166" s="24">
        <v>140.0</v>
      </c>
      <c r="K166" s="25">
        <f t="shared" si="35"/>
        <v>2410</v>
      </c>
    </row>
    <row r="167" ht="13.5" customHeight="1">
      <c r="A167" s="26" t="s">
        <v>37</v>
      </c>
      <c r="B167" s="33"/>
      <c r="C167" s="34"/>
      <c r="D167" s="21"/>
      <c r="E167" s="36"/>
      <c r="F167" s="36"/>
      <c r="G167" s="21"/>
      <c r="H167" s="21"/>
      <c r="I167" s="21"/>
      <c r="J167" s="29"/>
      <c r="K167" s="25">
        <f t="shared" si="35"/>
        <v>0</v>
      </c>
    </row>
    <row r="168" ht="14.25" customHeight="1">
      <c r="A168" s="18" t="s">
        <v>38</v>
      </c>
      <c r="B168" s="19" t="s">
        <v>39</v>
      </c>
      <c r="C168" s="19" t="s">
        <v>40</v>
      </c>
      <c r="D168" s="21">
        <v>560.0</v>
      </c>
      <c r="E168" s="36">
        <v>60.0</v>
      </c>
      <c r="F168" s="36">
        <v>500.0</v>
      </c>
      <c r="G168" s="21"/>
      <c r="H168" s="21">
        <v>4320.0</v>
      </c>
      <c r="I168" s="21"/>
      <c r="J168" s="21">
        <v>220.0</v>
      </c>
      <c r="K168" s="25">
        <f t="shared" si="35"/>
        <v>5660</v>
      </c>
      <c r="L168" s="47"/>
      <c r="M168" s="12"/>
    </row>
    <row r="169" ht="13.5" customHeight="1">
      <c r="A169" s="35" t="s">
        <v>41</v>
      </c>
      <c r="B169" s="27"/>
      <c r="C169" s="27"/>
      <c r="D169" s="21">
        <v>540.0</v>
      </c>
      <c r="E169" s="21"/>
      <c r="F169" s="21">
        <v>450.0</v>
      </c>
      <c r="G169" s="21"/>
      <c r="H169" s="21">
        <v>4210.0</v>
      </c>
      <c r="I169" s="21"/>
      <c r="J169" s="21">
        <v>300.0</v>
      </c>
      <c r="K169" s="25">
        <f t="shared" si="35"/>
        <v>5500</v>
      </c>
    </row>
    <row r="170" ht="13.5" customHeight="1">
      <c r="A170" s="40" t="s">
        <v>7</v>
      </c>
      <c r="B170" s="40"/>
      <c r="C170" s="40"/>
      <c r="D170" s="10">
        <f t="shared" ref="D170:J170" si="36">SUM(D164:D169)</f>
        <v>2180</v>
      </c>
      <c r="E170" s="10">
        <f t="shared" si="36"/>
        <v>150</v>
      </c>
      <c r="F170" s="10">
        <f t="shared" si="36"/>
        <v>2550</v>
      </c>
      <c r="G170" s="10">
        <f t="shared" si="36"/>
        <v>0</v>
      </c>
      <c r="H170" s="10">
        <f t="shared" si="36"/>
        <v>12080</v>
      </c>
      <c r="I170" s="10">
        <f t="shared" si="36"/>
        <v>0</v>
      </c>
      <c r="J170" s="10">
        <f t="shared" si="36"/>
        <v>660</v>
      </c>
      <c r="K170" s="25">
        <f t="shared" si="35"/>
        <v>17620</v>
      </c>
    </row>
    <row r="171" ht="13.5" customHeight="1">
      <c r="A171" s="48" t="s">
        <v>148</v>
      </c>
    </row>
    <row r="172" ht="13.5" customHeight="1">
      <c r="A172" s="14"/>
      <c r="B172" s="14" t="s">
        <v>1</v>
      </c>
      <c r="C172" s="14" t="s">
        <v>27</v>
      </c>
      <c r="D172" s="15" t="s">
        <v>2</v>
      </c>
      <c r="E172" s="10" t="s">
        <v>28</v>
      </c>
      <c r="F172" s="16" t="s">
        <v>3</v>
      </c>
      <c r="G172" s="15" t="s">
        <v>4</v>
      </c>
      <c r="H172" s="15" t="s">
        <v>5</v>
      </c>
      <c r="I172" s="15" t="s">
        <v>77</v>
      </c>
      <c r="J172" s="14" t="s">
        <v>30</v>
      </c>
      <c r="K172" s="17" t="s">
        <v>7</v>
      </c>
    </row>
    <row r="173" ht="13.5" customHeight="1">
      <c r="A173" s="18" t="s">
        <v>31</v>
      </c>
      <c r="B173" s="19" t="s">
        <v>149</v>
      </c>
      <c r="C173" s="20" t="s">
        <v>33</v>
      </c>
      <c r="D173" s="21">
        <v>440.0</v>
      </c>
      <c r="E173" s="36">
        <v>60.0</v>
      </c>
      <c r="F173" s="36">
        <v>600.0</v>
      </c>
      <c r="G173" s="32"/>
      <c r="H173" s="21">
        <v>1100.0</v>
      </c>
      <c r="I173" s="21"/>
      <c r="J173" s="24"/>
      <c r="K173" s="25">
        <f t="shared" ref="K173:K179" si="37">SUM(D173:J173)</f>
        <v>2200</v>
      </c>
    </row>
    <row r="174" ht="13.5" customHeight="1">
      <c r="A174" s="26" t="s">
        <v>34</v>
      </c>
      <c r="B174" s="27"/>
      <c r="C174" s="28"/>
      <c r="D174" s="21">
        <v>350.0</v>
      </c>
      <c r="E174" s="36"/>
      <c r="F174" s="36">
        <v>440.0</v>
      </c>
      <c r="G174" s="32"/>
      <c r="H174" s="21">
        <v>1010.0</v>
      </c>
      <c r="I174" s="21"/>
      <c r="J174" s="24"/>
      <c r="K174" s="25">
        <f t="shared" si="37"/>
        <v>1800</v>
      </c>
    </row>
    <row r="175" ht="13.5" customHeight="1">
      <c r="A175" s="18" t="s">
        <v>35</v>
      </c>
      <c r="B175" s="30">
        <v>2.0</v>
      </c>
      <c r="C175" s="31" t="s">
        <v>36</v>
      </c>
      <c r="D175" s="21">
        <v>370.0</v>
      </c>
      <c r="E175" s="36">
        <v>30.0</v>
      </c>
      <c r="F175" s="41">
        <v>470.0</v>
      </c>
      <c r="G175" s="32"/>
      <c r="H175" s="21">
        <v>1340.0</v>
      </c>
      <c r="I175" s="21"/>
      <c r="J175" s="24">
        <v>130.0</v>
      </c>
      <c r="K175" s="25">
        <f t="shared" si="37"/>
        <v>2340</v>
      </c>
    </row>
    <row r="176" ht="13.5" customHeight="1">
      <c r="A176" s="26" t="s">
        <v>37</v>
      </c>
      <c r="B176" s="33"/>
      <c r="C176" s="34"/>
      <c r="D176" s="21"/>
      <c r="E176" s="36"/>
      <c r="F176" s="41"/>
      <c r="G176" s="32"/>
      <c r="H176" s="21"/>
      <c r="I176" s="21"/>
      <c r="J176" s="29"/>
      <c r="K176" s="25">
        <f t="shared" si="37"/>
        <v>0</v>
      </c>
    </row>
    <row r="177" ht="14.25" customHeight="1">
      <c r="A177" s="18" t="s">
        <v>38</v>
      </c>
      <c r="B177" s="19" t="s">
        <v>39</v>
      </c>
      <c r="C177" s="19" t="s">
        <v>40</v>
      </c>
      <c r="D177" s="21">
        <v>560.0</v>
      </c>
      <c r="E177" s="36">
        <v>60.0</v>
      </c>
      <c r="F177" s="36">
        <v>420.0</v>
      </c>
      <c r="G177" s="21"/>
      <c r="H177" s="21">
        <v>4340.0</v>
      </c>
      <c r="I177" s="21"/>
      <c r="J177" s="21">
        <v>290.0</v>
      </c>
      <c r="K177" s="25">
        <f t="shared" si="37"/>
        <v>5670</v>
      </c>
      <c r="L177" s="47"/>
      <c r="M177" s="12"/>
    </row>
    <row r="178" ht="13.5" customHeight="1">
      <c r="A178" s="35" t="s">
        <v>41</v>
      </c>
      <c r="B178" s="27"/>
      <c r="C178" s="27"/>
      <c r="D178" s="21">
        <v>580.0</v>
      </c>
      <c r="E178" s="36"/>
      <c r="F178" s="36">
        <v>470.0</v>
      </c>
      <c r="G178" s="21"/>
      <c r="H178" s="21">
        <v>4620.0</v>
      </c>
      <c r="I178" s="21"/>
      <c r="J178" s="21">
        <v>280.0</v>
      </c>
      <c r="K178" s="25">
        <f t="shared" si="37"/>
        <v>5950</v>
      </c>
    </row>
    <row r="179" ht="13.5" customHeight="1">
      <c r="A179" s="40" t="s">
        <v>7</v>
      </c>
      <c r="B179" s="40"/>
      <c r="C179" s="40"/>
      <c r="D179" s="10">
        <f t="shared" ref="D179:J179" si="38">SUM(D173:D178)</f>
        <v>2300</v>
      </c>
      <c r="E179" s="10">
        <f t="shared" si="38"/>
        <v>150</v>
      </c>
      <c r="F179" s="10">
        <f t="shared" si="38"/>
        <v>2400</v>
      </c>
      <c r="G179" s="10">
        <f t="shared" si="38"/>
        <v>0</v>
      </c>
      <c r="H179" s="10">
        <f t="shared" si="38"/>
        <v>12410</v>
      </c>
      <c r="I179" s="10">
        <f t="shared" si="38"/>
        <v>0</v>
      </c>
      <c r="J179" s="10">
        <f t="shared" si="38"/>
        <v>700</v>
      </c>
      <c r="K179" s="25">
        <f t="shared" si="37"/>
        <v>17960</v>
      </c>
    </row>
    <row r="180" ht="13.5" customHeight="1">
      <c r="A180" s="48" t="s">
        <v>150</v>
      </c>
    </row>
    <row r="181" ht="13.5" customHeight="1">
      <c r="A181" s="14" t="s">
        <v>25</v>
      </c>
      <c r="B181" s="14" t="s">
        <v>1</v>
      </c>
      <c r="C181" s="14" t="s">
        <v>27</v>
      </c>
      <c r="D181" s="15" t="s">
        <v>2</v>
      </c>
      <c r="E181" s="10" t="s">
        <v>28</v>
      </c>
      <c r="F181" s="16" t="s">
        <v>3</v>
      </c>
      <c r="G181" s="15" t="s">
        <v>4</v>
      </c>
      <c r="H181" s="15" t="s">
        <v>5</v>
      </c>
      <c r="I181" s="15" t="s">
        <v>77</v>
      </c>
      <c r="J181" s="14" t="s">
        <v>30</v>
      </c>
      <c r="K181" s="17" t="s">
        <v>7</v>
      </c>
    </row>
    <row r="182" ht="13.5" customHeight="1">
      <c r="A182" s="18" t="s">
        <v>31</v>
      </c>
      <c r="B182" s="19" t="s">
        <v>151</v>
      </c>
      <c r="C182" s="20" t="s">
        <v>33</v>
      </c>
      <c r="D182" s="21">
        <v>540.0</v>
      </c>
      <c r="E182" s="36">
        <v>60.0</v>
      </c>
      <c r="F182" s="41">
        <v>640.0</v>
      </c>
      <c r="G182" s="32"/>
      <c r="H182" s="21">
        <v>950.0</v>
      </c>
      <c r="I182" s="21"/>
      <c r="J182" s="24"/>
      <c r="K182" s="25">
        <f t="shared" ref="K182:K188" si="39">SUM(D182:J182)</f>
        <v>2190</v>
      </c>
    </row>
    <row r="183" ht="13.5" customHeight="1">
      <c r="A183" s="26" t="s">
        <v>34</v>
      </c>
      <c r="B183" s="27"/>
      <c r="C183" s="28"/>
      <c r="D183" s="21">
        <v>310.0</v>
      </c>
      <c r="E183" s="36"/>
      <c r="F183" s="41">
        <v>430.0</v>
      </c>
      <c r="G183" s="32"/>
      <c r="H183" s="21">
        <v>690.0</v>
      </c>
      <c r="I183" s="21"/>
      <c r="J183" s="29">
        <v>140.0</v>
      </c>
      <c r="K183" s="25">
        <f t="shared" si="39"/>
        <v>1570</v>
      </c>
    </row>
    <row r="184" ht="13.5" customHeight="1">
      <c r="A184" s="18" t="s">
        <v>35</v>
      </c>
      <c r="B184" s="30">
        <v>2.0</v>
      </c>
      <c r="C184" s="31" t="s">
        <v>36</v>
      </c>
      <c r="D184" s="21">
        <v>310.0</v>
      </c>
      <c r="E184" s="36">
        <v>30.0</v>
      </c>
      <c r="F184" s="41">
        <v>410.0</v>
      </c>
      <c r="G184" s="32"/>
      <c r="H184" s="21">
        <v>1500.0</v>
      </c>
      <c r="I184" s="21"/>
      <c r="J184" s="24">
        <v>100.0</v>
      </c>
      <c r="K184" s="25">
        <f t="shared" si="39"/>
        <v>2350</v>
      </c>
    </row>
    <row r="185" ht="13.5" customHeight="1">
      <c r="A185" s="26" t="s">
        <v>37</v>
      </c>
      <c r="B185" s="33"/>
      <c r="C185" s="34"/>
      <c r="D185" s="21"/>
      <c r="E185" s="36"/>
      <c r="F185" s="41"/>
      <c r="G185" s="32"/>
      <c r="H185" s="21"/>
      <c r="I185" s="21"/>
      <c r="J185" s="29"/>
      <c r="K185" s="25">
        <f t="shared" si="39"/>
        <v>0</v>
      </c>
    </row>
    <row r="186" ht="14.25" customHeight="1">
      <c r="A186" s="18" t="s">
        <v>38</v>
      </c>
      <c r="B186" s="19" t="s">
        <v>39</v>
      </c>
      <c r="C186" s="19" t="s">
        <v>40</v>
      </c>
      <c r="D186" s="21">
        <v>560.0</v>
      </c>
      <c r="E186" s="36">
        <v>60.0</v>
      </c>
      <c r="F186" s="36">
        <v>410.0</v>
      </c>
      <c r="G186" s="21"/>
      <c r="H186" s="21">
        <v>4300.0</v>
      </c>
      <c r="I186" s="21"/>
      <c r="J186" s="21">
        <v>290.0</v>
      </c>
      <c r="K186" s="25">
        <f t="shared" si="39"/>
        <v>5620</v>
      </c>
      <c r="L186" s="47"/>
      <c r="M186" s="12"/>
    </row>
    <row r="187" ht="13.5" customHeight="1">
      <c r="A187" s="35" t="s">
        <v>41</v>
      </c>
      <c r="B187" s="27"/>
      <c r="C187" s="27"/>
      <c r="D187" s="21">
        <v>550.0</v>
      </c>
      <c r="E187" s="21"/>
      <c r="F187" s="21">
        <v>420.0</v>
      </c>
      <c r="G187" s="21"/>
      <c r="H187" s="21">
        <v>4000.0</v>
      </c>
      <c r="I187" s="21"/>
      <c r="J187" s="21">
        <v>290.0</v>
      </c>
      <c r="K187" s="25">
        <f t="shared" si="39"/>
        <v>5260</v>
      </c>
    </row>
    <row r="188" ht="13.5" customHeight="1">
      <c r="A188" s="40" t="s">
        <v>7</v>
      </c>
      <c r="B188" s="40"/>
      <c r="C188" s="40"/>
      <c r="D188" s="10">
        <f t="shared" ref="D188:J188" si="40">SUM(D182:D187)</f>
        <v>2270</v>
      </c>
      <c r="E188" s="10">
        <f t="shared" si="40"/>
        <v>150</v>
      </c>
      <c r="F188" s="10">
        <f t="shared" si="40"/>
        <v>2310</v>
      </c>
      <c r="G188" s="10">
        <f t="shared" si="40"/>
        <v>0</v>
      </c>
      <c r="H188" s="10">
        <f t="shared" si="40"/>
        <v>11440</v>
      </c>
      <c r="I188" s="10">
        <f t="shared" si="40"/>
        <v>0</v>
      </c>
      <c r="J188" s="10">
        <f t="shared" si="40"/>
        <v>820</v>
      </c>
      <c r="K188" s="25">
        <f t="shared" si="39"/>
        <v>16990</v>
      </c>
    </row>
    <row r="189" ht="13.5" customHeight="1">
      <c r="A189" s="48" t="s">
        <v>152</v>
      </c>
    </row>
    <row r="190" ht="13.5" customHeight="1">
      <c r="A190" s="14" t="s">
        <v>25</v>
      </c>
      <c r="B190" s="14" t="s">
        <v>1</v>
      </c>
      <c r="C190" s="14" t="s">
        <v>27</v>
      </c>
      <c r="D190" s="15" t="s">
        <v>2</v>
      </c>
      <c r="E190" s="10" t="s">
        <v>28</v>
      </c>
      <c r="F190" s="16" t="s">
        <v>3</v>
      </c>
      <c r="G190" s="15" t="s">
        <v>4</v>
      </c>
      <c r="H190" s="15" t="s">
        <v>5</v>
      </c>
      <c r="I190" s="15" t="s">
        <v>82</v>
      </c>
      <c r="J190" s="14" t="s">
        <v>30</v>
      </c>
      <c r="K190" s="17" t="s">
        <v>7</v>
      </c>
    </row>
    <row r="191" ht="13.5" customHeight="1">
      <c r="A191" s="18" t="s">
        <v>31</v>
      </c>
      <c r="B191" s="19" t="s">
        <v>153</v>
      </c>
      <c r="C191" s="20" t="s">
        <v>33</v>
      </c>
      <c r="D191" s="21">
        <v>370.0</v>
      </c>
      <c r="E191" s="36">
        <v>60.0</v>
      </c>
      <c r="F191" s="36">
        <v>600.0</v>
      </c>
      <c r="G191" s="32"/>
      <c r="H191" s="21">
        <v>1050.0</v>
      </c>
      <c r="I191" s="21"/>
      <c r="J191" s="50">
        <v>80.0</v>
      </c>
      <c r="K191" s="25">
        <f t="shared" ref="K191:K197" si="41">SUM(D191:J191)</f>
        <v>2160</v>
      </c>
    </row>
    <row r="192" ht="13.5" customHeight="1">
      <c r="A192" s="26" t="s">
        <v>34</v>
      </c>
      <c r="B192" s="27"/>
      <c r="C192" s="28"/>
      <c r="D192" s="21">
        <v>300.0</v>
      </c>
      <c r="E192" s="36"/>
      <c r="F192" s="36">
        <v>600.0</v>
      </c>
      <c r="G192" s="32"/>
      <c r="H192" s="21">
        <v>790.0</v>
      </c>
      <c r="I192" s="21"/>
      <c r="J192" s="51">
        <v>80.0</v>
      </c>
      <c r="K192" s="25">
        <f t="shared" si="41"/>
        <v>1770</v>
      </c>
    </row>
    <row r="193" ht="13.5" customHeight="1">
      <c r="A193" s="18" t="s">
        <v>35</v>
      </c>
      <c r="B193" s="30">
        <v>2.0</v>
      </c>
      <c r="C193" s="31" t="s">
        <v>36</v>
      </c>
      <c r="D193" s="21">
        <v>330.0</v>
      </c>
      <c r="E193" s="36">
        <v>30.0</v>
      </c>
      <c r="F193" s="36">
        <v>380.0</v>
      </c>
      <c r="G193" s="32"/>
      <c r="H193" s="21">
        <v>1490.0</v>
      </c>
      <c r="I193" s="21"/>
      <c r="J193" s="50">
        <v>100.0</v>
      </c>
      <c r="K193" s="25">
        <f t="shared" si="41"/>
        <v>2330</v>
      </c>
    </row>
    <row r="194" ht="13.5" customHeight="1">
      <c r="A194" s="26" t="s">
        <v>37</v>
      </c>
      <c r="B194" s="33"/>
      <c r="C194" s="34"/>
      <c r="D194" s="10"/>
      <c r="E194" s="10"/>
      <c r="F194" s="10"/>
      <c r="G194" s="32"/>
      <c r="H194" s="10"/>
      <c r="I194" s="10"/>
      <c r="J194" s="52"/>
      <c r="K194" s="25">
        <f t="shared" si="41"/>
        <v>0</v>
      </c>
    </row>
    <row r="195" ht="14.25" customHeight="1">
      <c r="A195" s="18" t="s">
        <v>38</v>
      </c>
      <c r="B195" s="19" t="s">
        <v>39</v>
      </c>
      <c r="C195" s="19" t="s">
        <v>40</v>
      </c>
      <c r="D195" s="21">
        <v>500.0</v>
      </c>
      <c r="E195" s="36">
        <v>60.0</v>
      </c>
      <c r="F195" s="36"/>
      <c r="G195" s="21"/>
      <c r="H195" s="21">
        <v>4700.0</v>
      </c>
      <c r="I195" s="21"/>
      <c r="J195" s="21">
        <v>180.0</v>
      </c>
      <c r="K195" s="25">
        <f t="shared" si="41"/>
        <v>5440</v>
      </c>
      <c r="L195" s="47"/>
      <c r="M195" s="12"/>
    </row>
    <row r="196" ht="13.5" customHeight="1">
      <c r="A196" s="35" t="s">
        <v>41</v>
      </c>
      <c r="B196" s="27"/>
      <c r="C196" s="27"/>
      <c r="D196" s="21">
        <v>530.0</v>
      </c>
      <c r="E196" s="21"/>
      <c r="F196" s="21"/>
      <c r="G196" s="21"/>
      <c r="H196" s="21">
        <v>4560.0</v>
      </c>
      <c r="I196" s="21"/>
      <c r="J196" s="21">
        <v>170.0</v>
      </c>
      <c r="K196" s="25">
        <f t="shared" si="41"/>
        <v>5260</v>
      </c>
    </row>
    <row r="197" ht="13.5" customHeight="1">
      <c r="A197" s="40" t="s">
        <v>7</v>
      </c>
      <c r="B197" s="40"/>
      <c r="C197" s="40"/>
      <c r="D197" s="10">
        <f t="shared" ref="D197:J197" si="42">SUM(D191:D196)</f>
        <v>2030</v>
      </c>
      <c r="E197" s="10">
        <f t="shared" si="42"/>
        <v>150</v>
      </c>
      <c r="F197" s="10">
        <f t="shared" si="42"/>
        <v>1580</v>
      </c>
      <c r="G197" s="10">
        <f t="shared" si="42"/>
        <v>0</v>
      </c>
      <c r="H197" s="10">
        <f t="shared" si="42"/>
        <v>12590</v>
      </c>
      <c r="I197" s="10">
        <f t="shared" si="42"/>
        <v>0</v>
      </c>
      <c r="J197" s="10">
        <f t="shared" si="42"/>
        <v>610</v>
      </c>
      <c r="K197" s="25">
        <f t="shared" si="41"/>
        <v>16960</v>
      </c>
    </row>
    <row r="198" ht="13.5" customHeight="1"/>
    <row r="199" ht="13.5" customHeight="1">
      <c r="A199" s="48" t="s">
        <v>154</v>
      </c>
    </row>
    <row r="200" ht="13.5" customHeight="1">
      <c r="A200" s="14" t="s">
        <v>25</v>
      </c>
      <c r="B200" s="14" t="s">
        <v>1</v>
      </c>
      <c r="C200" s="14" t="s">
        <v>27</v>
      </c>
      <c r="D200" s="15" t="s">
        <v>2</v>
      </c>
      <c r="E200" s="10" t="s">
        <v>28</v>
      </c>
      <c r="F200" s="16" t="s">
        <v>3</v>
      </c>
      <c r="G200" s="15" t="s">
        <v>4</v>
      </c>
      <c r="H200" s="15" t="s">
        <v>5</v>
      </c>
      <c r="I200" s="15" t="s">
        <v>29</v>
      </c>
      <c r="J200" s="14" t="s">
        <v>30</v>
      </c>
      <c r="K200" s="17" t="s">
        <v>7</v>
      </c>
    </row>
    <row r="201" ht="13.5" customHeight="1">
      <c r="A201" s="18" t="s">
        <v>31</v>
      </c>
      <c r="B201" s="19" t="s">
        <v>155</v>
      </c>
      <c r="C201" s="20" t="s">
        <v>33</v>
      </c>
      <c r="D201" s="21">
        <v>360.0</v>
      </c>
      <c r="E201" s="36">
        <v>60.0</v>
      </c>
      <c r="F201" s="41">
        <v>550.0</v>
      </c>
      <c r="G201" s="32"/>
      <c r="H201" s="21">
        <v>930.0</v>
      </c>
      <c r="I201" s="21"/>
      <c r="J201" s="24">
        <v>120.0</v>
      </c>
      <c r="K201" s="25">
        <f t="shared" ref="K201:K207" si="43">SUM(D201:J201)</f>
        <v>2020</v>
      </c>
    </row>
    <row r="202" ht="13.5" customHeight="1">
      <c r="A202" s="26" t="s">
        <v>34</v>
      </c>
      <c r="B202" s="27"/>
      <c r="C202" s="28"/>
      <c r="D202" s="21">
        <v>310.0</v>
      </c>
      <c r="E202" s="36"/>
      <c r="F202" s="41">
        <v>470.0</v>
      </c>
      <c r="G202" s="32"/>
      <c r="H202" s="21">
        <v>810.0</v>
      </c>
      <c r="I202" s="21"/>
      <c r="J202" s="29">
        <v>110.0</v>
      </c>
      <c r="K202" s="25">
        <f t="shared" si="43"/>
        <v>1700</v>
      </c>
    </row>
    <row r="203" ht="13.5" customHeight="1">
      <c r="A203" s="18" t="s">
        <v>35</v>
      </c>
      <c r="B203" s="30">
        <v>2.0</v>
      </c>
      <c r="C203" s="31" t="s">
        <v>36</v>
      </c>
      <c r="D203" s="21">
        <v>350.0</v>
      </c>
      <c r="E203" s="41">
        <v>30.0</v>
      </c>
      <c r="F203" s="10">
        <v>450.0</v>
      </c>
      <c r="G203" s="32"/>
      <c r="H203" s="21">
        <v>1420.0</v>
      </c>
      <c r="I203" s="24"/>
      <c r="J203" s="24">
        <v>100.0</v>
      </c>
      <c r="K203" s="25">
        <f t="shared" si="43"/>
        <v>2350</v>
      </c>
    </row>
    <row r="204" ht="13.5" customHeight="1">
      <c r="A204" s="26" t="s">
        <v>37</v>
      </c>
      <c r="B204" s="33"/>
      <c r="C204" s="34"/>
      <c r="D204" s="21"/>
      <c r="E204" s="36"/>
      <c r="F204" s="36"/>
      <c r="G204" s="32"/>
      <c r="H204" s="21"/>
      <c r="I204" s="29"/>
      <c r="J204" s="29"/>
      <c r="K204" s="25">
        <f t="shared" si="43"/>
        <v>0</v>
      </c>
    </row>
    <row r="205" ht="14.25" customHeight="1">
      <c r="A205" s="18" t="s">
        <v>38</v>
      </c>
      <c r="B205" s="19" t="s">
        <v>39</v>
      </c>
      <c r="C205" s="19" t="s">
        <v>40</v>
      </c>
      <c r="D205" s="21">
        <v>560.0</v>
      </c>
      <c r="E205" s="36">
        <v>60.0</v>
      </c>
      <c r="F205" s="36"/>
      <c r="G205" s="21"/>
      <c r="H205" s="21">
        <v>4460.0</v>
      </c>
      <c r="I205" s="21"/>
      <c r="J205" s="24">
        <v>340.0</v>
      </c>
      <c r="K205" s="25">
        <f t="shared" si="43"/>
        <v>5420</v>
      </c>
      <c r="L205" s="47"/>
      <c r="M205" s="12"/>
    </row>
    <row r="206" ht="13.5" customHeight="1">
      <c r="A206" s="35" t="s">
        <v>41</v>
      </c>
      <c r="B206" s="27"/>
      <c r="C206" s="27"/>
      <c r="D206" s="21">
        <v>560.0</v>
      </c>
      <c r="E206" s="36"/>
      <c r="F206" s="36"/>
      <c r="G206" s="21"/>
      <c r="H206" s="21">
        <v>4510.0</v>
      </c>
      <c r="I206" s="21"/>
      <c r="J206" s="39">
        <v>300.0</v>
      </c>
      <c r="K206" s="25">
        <f t="shared" si="43"/>
        <v>5370</v>
      </c>
    </row>
    <row r="207" ht="13.5" customHeight="1">
      <c r="A207" s="40" t="s">
        <v>7</v>
      </c>
      <c r="B207" s="40"/>
      <c r="C207" s="40"/>
      <c r="D207" s="10">
        <f t="shared" ref="D207:J207" si="44">SUM(D201:D206)</f>
        <v>2140</v>
      </c>
      <c r="E207" s="10">
        <f t="shared" si="44"/>
        <v>150</v>
      </c>
      <c r="F207" s="10">
        <f t="shared" si="44"/>
        <v>1470</v>
      </c>
      <c r="G207" s="10">
        <f t="shared" si="44"/>
        <v>0</v>
      </c>
      <c r="H207" s="10">
        <f t="shared" si="44"/>
        <v>12130</v>
      </c>
      <c r="I207" s="10">
        <f t="shared" si="44"/>
        <v>0</v>
      </c>
      <c r="J207" s="10">
        <f t="shared" si="44"/>
        <v>970</v>
      </c>
      <c r="K207" s="25">
        <f t="shared" si="43"/>
        <v>16860</v>
      </c>
    </row>
    <row r="208" ht="13.5" customHeight="1"/>
    <row r="209" ht="13.5" customHeight="1">
      <c r="A209" s="48" t="s">
        <v>156</v>
      </c>
    </row>
    <row r="210" ht="13.5" customHeight="1">
      <c r="A210" s="14"/>
      <c r="B210" s="14" t="s">
        <v>1</v>
      </c>
      <c r="C210" s="14" t="s">
        <v>27</v>
      </c>
      <c r="D210" s="15" t="s">
        <v>2</v>
      </c>
      <c r="E210" s="10" t="s">
        <v>28</v>
      </c>
      <c r="F210" s="16" t="s">
        <v>3</v>
      </c>
      <c r="G210" s="15" t="s">
        <v>4</v>
      </c>
      <c r="H210" s="15" t="s">
        <v>5</v>
      </c>
      <c r="I210" s="15" t="s">
        <v>29</v>
      </c>
      <c r="J210" s="14" t="s">
        <v>30</v>
      </c>
      <c r="K210" s="17" t="s">
        <v>7</v>
      </c>
    </row>
    <row r="211" ht="13.5" customHeight="1">
      <c r="A211" s="18" t="s">
        <v>31</v>
      </c>
      <c r="B211" s="19" t="s">
        <v>157</v>
      </c>
      <c r="C211" s="20" t="s">
        <v>33</v>
      </c>
      <c r="D211" s="21">
        <v>330.0</v>
      </c>
      <c r="E211" s="36">
        <v>60.0</v>
      </c>
      <c r="F211" s="36">
        <v>440.0</v>
      </c>
      <c r="G211" s="32"/>
      <c r="H211" s="21">
        <v>1090.0</v>
      </c>
      <c r="I211" s="23"/>
      <c r="J211" s="24">
        <v>120.0</v>
      </c>
      <c r="K211" s="25">
        <f t="shared" ref="K211:K217" si="45">SUM(D211:J211)</f>
        <v>2040</v>
      </c>
    </row>
    <row r="212" ht="13.5" customHeight="1">
      <c r="A212" s="26" t="s">
        <v>34</v>
      </c>
      <c r="B212" s="27"/>
      <c r="C212" s="28"/>
      <c r="D212" s="21"/>
      <c r="E212" s="36"/>
      <c r="F212" s="37"/>
      <c r="G212" s="53"/>
      <c r="H212" s="22"/>
      <c r="I212" s="29"/>
      <c r="J212" s="29"/>
      <c r="K212" s="25">
        <f t="shared" si="45"/>
        <v>0</v>
      </c>
    </row>
    <row r="213" ht="13.5" customHeight="1">
      <c r="A213" s="18" t="s">
        <v>35</v>
      </c>
      <c r="B213" s="30">
        <v>2.0</v>
      </c>
      <c r="C213" s="31" t="s">
        <v>36</v>
      </c>
      <c r="D213" s="21">
        <v>420.0</v>
      </c>
      <c r="E213" s="36">
        <v>30.0</v>
      </c>
      <c r="F213" s="36">
        <v>550.0</v>
      </c>
      <c r="G213" s="21"/>
      <c r="H213" s="21">
        <v>1560.0</v>
      </c>
      <c r="I213" s="21"/>
      <c r="J213" s="24">
        <v>120.0</v>
      </c>
      <c r="K213" s="25">
        <f t="shared" si="45"/>
        <v>2680</v>
      </c>
    </row>
    <row r="214" ht="13.5" customHeight="1">
      <c r="A214" s="26" t="s">
        <v>37</v>
      </c>
      <c r="B214" s="33"/>
      <c r="C214" s="34"/>
      <c r="D214" s="21"/>
      <c r="E214" s="36"/>
      <c r="F214" s="36"/>
      <c r="G214" s="21"/>
      <c r="H214" s="21"/>
      <c r="I214" s="21"/>
      <c r="J214" s="29"/>
      <c r="K214" s="25">
        <f t="shared" si="45"/>
        <v>0</v>
      </c>
    </row>
    <row r="215" ht="14.25" customHeight="1">
      <c r="A215" s="18" t="s">
        <v>38</v>
      </c>
      <c r="B215" s="19" t="s">
        <v>39</v>
      </c>
      <c r="C215" s="19" t="s">
        <v>40</v>
      </c>
      <c r="D215" s="21">
        <v>550.0</v>
      </c>
      <c r="E215" s="36">
        <v>60.0</v>
      </c>
      <c r="F215" s="36"/>
      <c r="G215" s="21"/>
      <c r="H215" s="21">
        <v>4560.0</v>
      </c>
      <c r="I215" s="21"/>
      <c r="J215" s="24">
        <v>310.0</v>
      </c>
      <c r="K215" s="25">
        <f t="shared" si="45"/>
        <v>5480</v>
      </c>
      <c r="L215" s="47"/>
      <c r="M215" s="12"/>
    </row>
    <row r="216" ht="13.5" customHeight="1">
      <c r="A216" s="35" t="s">
        <v>41</v>
      </c>
      <c r="B216" s="27"/>
      <c r="C216" s="27"/>
      <c r="D216" s="21">
        <v>550.0</v>
      </c>
      <c r="E216" s="21"/>
      <c r="F216" s="21"/>
      <c r="G216" s="21"/>
      <c r="H216" s="21">
        <v>4380.0</v>
      </c>
      <c r="I216" s="21"/>
      <c r="J216" s="21">
        <v>300.0</v>
      </c>
      <c r="K216" s="25">
        <f t="shared" si="45"/>
        <v>5230</v>
      </c>
    </row>
    <row r="217" ht="13.5" customHeight="1">
      <c r="A217" s="40" t="s">
        <v>7</v>
      </c>
      <c r="B217" s="40"/>
      <c r="C217" s="40"/>
      <c r="D217" s="10">
        <f t="shared" ref="D217:J217" si="46">SUM(D211:D216)</f>
        <v>1850</v>
      </c>
      <c r="E217" s="10">
        <f t="shared" si="46"/>
        <v>150</v>
      </c>
      <c r="F217" s="10">
        <f t="shared" si="46"/>
        <v>990</v>
      </c>
      <c r="G217" s="10">
        <f t="shared" si="46"/>
        <v>0</v>
      </c>
      <c r="H217" s="10">
        <f t="shared" si="46"/>
        <v>11590</v>
      </c>
      <c r="I217" s="10">
        <f t="shared" si="46"/>
        <v>0</v>
      </c>
      <c r="J217" s="10">
        <f t="shared" si="46"/>
        <v>850</v>
      </c>
      <c r="K217" s="25">
        <f t="shared" si="45"/>
        <v>15430</v>
      </c>
    </row>
    <row r="218" ht="13.5" customHeight="1"/>
    <row r="219" ht="13.5" customHeight="1">
      <c r="A219" s="48" t="s">
        <v>158</v>
      </c>
    </row>
    <row r="220" ht="13.5" customHeight="1">
      <c r="A220" s="14" t="s">
        <v>25</v>
      </c>
      <c r="B220" s="14" t="s">
        <v>1</v>
      </c>
      <c r="C220" s="14" t="s">
        <v>27</v>
      </c>
      <c r="D220" s="15" t="s">
        <v>2</v>
      </c>
      <c r="E220" s="10" t="s">
        <v>28</v>
      </c>
      <c r="F220" s="16" t="s">
        <v>3</v>
      </c>
      <c r="G220" s="15" t="s">
        <v>4</v>
      </c>
      <c r="H220" s="15" t="s">
        <v>5</v>
      </c>
      <c r="I220" s="15" t="s">
        <v>29</v>
      </c>
      <c r="J220" s="14" t="s">
        <v>30</v>
      </c>
      <c r="K220" s="17" t="s">
        <v>7</v>
      </c>
    </row>
    <row r="221" ht="13.5" customHeight="1">
      <c r="A221" s="18" t="s">
        <v>31</v>
      </c>
      <c r="B221" s="19" t="s">
        <v>159</v>
      </c>
      <c r="C221" s="20" t="s">
        <v>33</v>
      </c>
      <c r="D221" s="21">
        <v>400.0</v>
      </c>
      <c r="E221" s="36">
        <v>60.0</v>
      </c>
      <c r="F221" s="36">
        <v>450.0</v>
      </c>
      <c r="G221" s="32"/>
      <c r="H221" s="21">
        <v>1410.0</v>
      </c>
      <c r="I221" s="23"/>
      <c r="J221" s="24">
        <v>140.0</v>
      </c>
      <c r="K221" s="25">
        <f t="shared" ref="K221:K227" si="47">SUM(D221:J221)</f>
        <v>2460</v>
      </c>
    </row>
    <row r="222" ht="13.5" customHeight="1">
      <c r="A222" s="26" t="s">
        <v>34</v>
      </c>
      <c r="B222" s="27"/>
      <c r="C222" s="28"/>
      <c r="D222" s="21">
        <v>220.0</v>
      </c>
      <c r="E222" s="36"/>
      <c r="F222" s="37">
        <v>440.0</v>
      </c>
      <c r="G222" s="53"/>
      <c r="H222" s="22">
        <v>230.0</v>
      </c>
      <c r="I222" s="29"/>
      <c r="J222" s="29">
        <v>30.0</v>
      </c>
      <c r="K222" s="25">
        <f t="shared" si="47"/>
        <v>920</v>
      </c>
    </row>
    <row r="223" ht="13.5" customHeight="1">
      <c r="A223" s="18" t="s">
        <v>35</v>
      </c>
      <c r="B223" s="30">
        <v>2.0</v>
      </c>
      <c r="C223" s="31" t="s">
        <v>36</v>
      </c>
      <c r="D223" s="21">
        <v>400.0</v>
      </c>
      <c r="E223" s="36">
        <v>30.0</v>
      </c>
      <c r="F223" s="36">
        <v>720.0</v>
      </c>
      <c r="G223" s="21"/>
      <c r="H223" s="21">
        <v>1370.0</v>
      </c>
      <c r="I223" s="21"/>
      <c r="J223" s="24">
        <v>130.0</v>
      </c>
      <c r="K223" s="25">
        <f t="shared" si="47"/>
        <v>2650</v>
      </c>
    </row>
    <row r="224" ht="13.5" customHeight="1">
      <c r="A224" s="26" t="s">
        <v>37</v>
      </c>
      <c r="B224" s="33"/>
      <c r="C224" s="34"/>
      <c r="D224" s="21"/>
      <c r="E224" s="36"/>
      <c r="F224" s="36"/>
      <c r="G224" s="21"/>
      <c r="H224" s="21"/>
      <c r="I224" s="21"/>
      <c r="J224" s="29"/>
      <c r="K224" s="25">
        <f t="shared" si="47"/>
        <v>0</v>
      </c>
    </row>
    <row r="225" ht="14.25" customHeight="1">
      <c r="A225" s="18" t="s">
        <v>38</v>
      </c>
      <c r="B225" s="19" t="s">
        <v>39</v>
      </c>
      <c r="C225" s="19" t="s">
        <v>40</v>
      </c>
      <c r="D225" s="21">
        <v>560.0</v>
      </c>
      <c r="E225" s="36">
        <v>60.0</v>
      </c>
      <c r="F225" s="36"/>
      <c r="G225" s="21"/>
      <c r="H225" s="21">
        <v>4470.0</v>
      </c>
      <c r="I225" s="21"/>
      <c r="J225" s="24">
        <v>310.0</v>
      </c>
      <c r="K225" s="25">
        <f t="shared" si="47"/>
        <v>5400</v>
      </c>
      <c r="L225" s="47"/>
      <c r="M225" s="12"/>
    </row>
    <row r="226" ht="13.5" customHeight="1">
      <c r="A226" s="35" t="s">
        <v>41</v>
      </c>
      <c r="B226" s="27"/>
      <c r="C226" s="27"/>
      <c r="D226" s="21">
        <v>550.0</v>
      </c>
      <c r="E226" s="21"/>
      <c r="F226" s="21"/>
      <c r="G226" s="21"/>
      <c r="H226" s="21">
        <v>4430.0</v>
      </c>
      <c r="I226" s="21"/>
      <c r="J226" s="21">
        <v>370.0</v>
      </c>
      <c r="K226" s="25">
        <f t="shared" si="47"/>
        <v>5350</v>
      </c>
    </row>
    <row r="227" ht="13.5" customHeight="1">
      <c r="A227" s="40" t="s">
        <v>7</v>
      </c>
      <c r="B227" s="40"/>
      <c r="C227" s="40"/>
      <c r="D227" s="10">
        <f t="shared" ref="D227:J227" si="48">SUM(D221:D226)</f>
        <v>2130</v>
      </c>
      <c r="E227" s="10">
        <f t="shared" si="48"/>
        <v>150</v>
      </c>
      <c r="F227" s="10">
        <f t="shared" si="48"/>
        <v>1610</v>
      </c>
      <c r="G227" s="10">
        <f t="shared" si="48"/>
        <v>0</v>
      </c>
      <c r="H227" s="10">
        <f t="shared" si="48"/>
        <v>11910</v>
      </c>
      <c r="I227" s="10">
        <f t="shared" si="48"/>
        <v>0</v>
      </c>
      <c r="J227" s="10">
        <f t="shared" si="48"/>
        <v>980</v>
      </c>
      <c r="K227" s="25">
        <f t="shared" si="47"/>
        <v>16780</v>
      </c>
    </row>
    <row r="228" ht="13.5" customHeight="1"/>
    <row r="229" ht="13.5" customHeight="1">
      <c r="A229" s="48" t="s">
        <v>90</v>
      </c>
    </row>
    <row r="230" ht="13.5" customHeight="1">
      <c r="A230" s="14" t="s">
        <v>25</v>
      </c>
      <c r="B230" s="14" t="s">
        <v>1</v>
      </c>
      <c r="C230" s="14" t="s">
        <v>27</v>
      </c>
      <c r="D230" s="15" t="s">
        <v>2</v>
      </c>
      <c r="E230" s="10" t="s">
        <v>28</v>
      </c>
      <c r="F230" s="16" t="s">
        <v>3</v>
      </c>
      <c r="G230" s="15" t="s">
        <v>4</v>
      </c>
      <c r="H230" s="14" t="s">
        <v>5</v>
      </c>
      <c r="I230" s="15" t="s">
        <v>29</v>
      </c>
      <c r="J230" s="14" t="s">
        <v>30</v>
      </c>
      <c r="K230" s="17" t="s">
        <v>7</v>
      </c>
    </row>
    <row r="231" ht="13.5" customHeight="1">
      <c r="A231" s="18" t="s">
        <v>31</v>
      </c>
      <c r="B231" s="19" t="s">
        <v>160</v>
      </c>
      <c r="C231" s="20" t="s">
        <v>33</v>
      </c>
      <c r="D231" s="21">
        <v>450.0</v>
      </c>
      <c r="E231" s="36">
        <v>60.0</v>
      </c>
      <c r="F231" s="36">
        <v>500.0</v>
      </c>
      <c r="G231" s="32"/>
      <c r="H231" s="21">
        <v>1410.0</v>
      </c>
      <c r="I231" s="21"/>
      <c r="J231" s="21">
        <v>100.0</v>
      </c>
      <c r="K231" s="25">
        <f t="shared" ref="K231:K237" si="49">SUM(D231:J231)</f>
        <v>2520</v>
      </c>
    </row>
    <row r="232" ht="13.5" customHeight="1">
      <c r="A232" s="26" t="s">
        <v>34</v>
      </c>
      <c r="B232" s="27"/>
      <c r="C232" s="28"/>
      <c r="D232" s="21">
        <v>150.0</v>
      </c>
      <c r="E232" s="36"/>
      <c r="F232" s="36">
        <v>400.0</v>
      </c>
      <c r="G232" s="32"/>
      <c r="H232" s="21">
        <v>250.0</v>
      </c>
      <c r="I232" s="21"/>
      <c r="J232" s="21">
        <v>30.0</v>
      </c>
      <c r="K232" s="25">
        <f t="shared" si="49"/>
        <v>830</v>
      </c>
    </row>
    <row r="233" ht="13.5" customHeight="1">
      <c r="A233" s="18" t="s">
        <v>35</v>
      </c>
      <c r="B233" s="30">
        <v>2.0</v>
      </c>
      <c r="C233" s="31" t="s">
        <v>36</v>
      </c>
      <c r="D233" s="21">
        <v>400.0</v>
      </c>
      <c r="E233" s="36">
        <v>30.0</v>
      </c>
      <c r="F233" s="36">
        <v>600.0</v>
      </c>
      <c r="G233" s="32"/>
      <c r="H233" s="21"/>
      <c r="I233" s="21"/>
      <c r="J233" s="21">
        <v>110.0</v>
      </c>
      <c r="K233" s="25">
        <f t="shared" si="49"/>
        <v>1140</v>
      </c>
    </row>
    <row r="234" ht="13.5" customHeight="1">
      <c r="A234" s="26" t="s">
        <v>37</v>
      </c>
      <c r="B234" s="33"/>
      <c r="C234" s="34"/>
      <c r="D234" s="21"/>
      <c r="E234" s="36"/>
      <c r="F234" s="36"/>
      <c r="G234" s="32"/>
      <c r="H234" s="21"/>
      <c r="I234" s="21"/>
      <c r="J234" s="21"/>
      <c r="K234" s="25">
        <f t="shared" si="49"/>
        <v>0</v>
      </c>
    </row>
    <row r="235" ht="14.25" customHeight="1">
      <c r="A235" s="18" t="s">
        <v>38</v>
      </c>
      <c r="B235" s="19" t="s">
        <v>39</v>
      </c>
      <c r="C235" s="19" t="s">
        <v>40</v>
      </c>
      <c r="D235" s="21">
        <v>550.0</v>
      </c>
      <c r="E235" s="36">
        <v>60.0</v>
      </c>
      <c r="F235" s="36"/>
      <c r="G235" s="32"/>
      <c r="H235" s="21">
        <v>4680.0</v>
      </c>
      <c r="I235" s="21"/>
      <c r="J235" s="21">
        <v>240.0</v>
      </c>
      <c r="K235" s="25">
        <f t="shared" si="49"/>
        <v>5530</v>
      </c>
      <c r="L235" s="47"/>
      <c r="M235" s="12"/>
    </row>
    <row r="236" ht="13.5" customHeight="1">
      <c r="A236" s="35" t="s">
        <v>41</v>
      </c>
      <c r="B236" s="27"/>
      <c r="C236" s="27"/>
      <c r="D236" s="21">
        <v>550.0</v>
      </c>
      <c r="E236" s="36"/>
      <c r="F236" s="36"/>
      <c r="G236" s="38"/>
      <c r="H236" s="21">
        <v>4560.0</v>
      </c>
      <c r="I236" s="29"/>
      <c r="J236" s="39">
        <v>260.0</v>
      </c>
      <c r="K236" s="25">
        <f t="shared" si="49"/>
        <v>5370</v>
      </c>
    </row>
    <row r="237" ht="13.5" customHeight="1">
      <c r="A237" s="40" t="s">
        <v>7</v>
      </c>
      <c r="B237" s="40"/>
      <c r="C237" s="40"/>
      <c r="D237" s="10">
        <f t="shared" ref="D237:J237" si="50">SUM(D231:D236)</f>
        <v>2100</v>
      </c>
      <c r="E237" s="10">
        <f t="shared" si="50"/>
        <v>150</v>
      </c>
      <c r="F237" s="10">
        <f t="shared" si="50"/>
        <v>1500</v>
      </c>
      <c r="G237" s="10">
        <f t="shared" si="50"/>
        <v>0</v>
      </c>
      <c r="H237" s="10">
        <f t="shared" si="50"/>
        <v>10900</v>
      </c>
      <c r="I237" s="10">
        <f t="shared" si="50"/>
        <v>0</v>
      </c>
      <c r="J237" s="10">
        <f t="shared" si="50"/>
        <v>740</v>
      </c>
      <c r="K237" s="25">
        <f t="shared" si="49"/>
        <v>15390</v>
      </c>
    </row>
    <row r="238" ht="13.5" customHeight="1"/>
    <row r="239" ht="13.5" customHeight="1">
      <c r="A239" s="48" t="s">
        <v>92</v>
      </c>
    </row>
    <row r="240" ht="13.5" customHeight="1">
      <c r="A240" s="14" t="s">
        <v>25</v>
      </c>
      <c r="B240" s="14" t="s">
        <v>1</v>
      </c>
      <c r="C240" s="14" t="s">
        <v>27</v>
      </c>
      <c r="D240" s="15" t="s">
        <v>2</v>
      </c>
      <c r="E240" s="10" t="s">
        <v>28</v>
      </c>
      <c r="F240" s="16" t="s">
        <v>3</v>
      </c>
      <c r="G240" s="15" t="s">
        <v>4</v>
      </c>
      <c r="H240" s="15" t="s">
        <v>5</v>
      </c>
      <c r="I240" s="15" t="s">
        <v>29</v>
      </c>
      <c r="J240" s="14" t="s">
        <v>30</v>
      </c>
      <c r="K240" s="17" t="s">
        <v>7</v>
      </c>
    </row>
    <row r="241" ht="13.5" customHeight="1">
      <c r="A241" s="18" t="s">
        <v>31</v>
      </c>
      <c r="B241" s="19" t="s">
        <v>161</v>
      </c>
      <c r="C241" s="20" t="s">
        <v>33</v>
      </c>
      <c r="D241" s="21">
        <v>450.0</v>
      </c>
      <c r="E241" s="36">
        <v>60.0</v>
      </c>
      <c r="F241" s="36">
        <v>470.0</v>
      </c>
      <c r="G241" s="32"/>
      <c r="H241" s="21">
        <v>1150.0</v>
      </c>
      <c r="I241" s="23"/>
      <c r="J241" s="24">
        <v>90.0</v>
      </c>
      <c r="K241" s="25">
        <f t="shared" ref="K241:K247" si="51">SUM(D241:J241)</f>
        <v>2220</v>
      </c>
    </row>
    <row r="242" ht="13.5" customHeight="1">
      <c r="A242" s="26" t="s">
        <v>34</v>
      </c>
      <c r="B242" s="27"/>
      <c r="C242" s="28"/>
      <c r="D242" s="21">
        <v>300.0</v>
      </c>
      <c r="E242" s="36"/>
      <c r="F242" s="36">
        <v>370.0</v>
      </c>
      <c r="G242" s="32"/>
      <c r="H242" s="21">
        <v>370.0</v>
      </c>
      <c r="I242" s="29"/>
      <c r="J242" s="29">
        <v>80.0</v>
      </c>
      <c r="K242" s="25">
        <f t="shared" si="51"/>
        <v>1120</v>
      </c>
    </row>
    <row r="243" ht="13.5" customHeight="1">
      <c r="A243" s="18" t="s">
        <v>35</v>
      </c>
      <c r="B243" s="30">
        <v>2.0</v>
      </c>
      <c r="C243" s="31" t="s">
        <v>36</v>
      </c>
      <c r="D243" s="21">
        <v>390.0</v>
      </c>
      <c r="E243" s="36">
        <v>30.0</v>
      </c>
      <c r="F243" s="36">
        <v>720.0</v>
      </c>
      <c r="G243" s="32"/>
      <c r="H243" s="21">
        <v>1390.0</v>
      </c>
      <c r="I243" s="23"/>
      <c r="J243" s="24">
        <v>120.0</v>
      </c>
      <c r="K243" s="25">
        <f t="shared" si="51"/>
        <v>2650</v>
      </c>
    </row>
    <row r="244" ht="13.5" customHeight="1">
      <c r="A244" s="26" t="s">
        <v>37</v>
      </c>
      <c r="B244" s="33"/>
      <c r="C244" s="34"/>
      <c r="D244" s="21"/>
      <c r="E244" s="36"/>
      <c r="F244" s="36"/>
      <c r="G244" s="32"/>
      <c r="H244" s="21"/>
      <c r="I244" s="29"/>
      <c r="J244" s="29"/>
      <c r="K244" s="25">
        <f t="shared" si="51"/>
        <v>0</v>
      </c>
    </row>
    <row r="245" ht="14.25" customHeight="1">
      <c r="A245" s="18" t="s">
        <v>38</v>
      </c>
      <c r="B245" s="19" t="s">
        <v>39</v>
      </c>
      <c r="C245" s="19" t="s">
        <v>40</v>
      </c>
      <c r="D245" s="21">
        <v>550.0</v>
      </c>
      <c r="E245" s="36">
        <v>60.0</v>
      </c>
      <c r="F245" s="36"/>
      <c r="G245" s="32"/>
      <c r="H245" s="21">
        <v>4550.0</v>
      </c>
      <c r="I245" s="23"/>
      <c r="J245" s="24">
        <v>280.0</v>
      </c>
      <c r="K245" s="25">
        <f t="shared" si="51"/>
        <v>5440</v>
      </c>
      <c r="L245" s="12"/>
    </row>
    <row r="246" ht="13.5" customHeight="1">
      <c r="A246" s="35" t="s">
        <v>41</v>
      </c>
      <c r="B246" s="27"/>
      <c r="C246" s="27"/>
      <c r="D246" s="21">
        <v>550.0</v>
      </c>
      <c r="E246" s="21"/>
      <c r="F246" s="21"/>
      <c r="G246" s="21"/>
      <c r="H246" s="21">
        <v>4460.0</v>
      </c>
      <c r="I246" s="21"/>
      <c r="J246" s="21">
        <v>270.0</v>
      </c>
      <c r="K246" s="25">
        <f t="shared" si="51"/>
        <v>5280</v>
      </c>
    </row>
    <row r="247" ht="13.5" customHeight="1">
      <c r="A247" s="40" t="s">
        <v>7</v>
      </c>
      <c r="B247" s="40"/>
      <c r="C247" s="40"/>
      <c r="D247" s="10">
        <f t="shared" ref="D247:J247" si="52">SUM(D241:D246)</f>
        <v>2240</v>
      </c>
      <c r="E247" s="10">
        <f t="shared" si="52"/>
        <v>150</v>
      </c>
      <c r="F247" s="10">
        <f t="shared" si="52"/>
        <v>1560</v>
      </c>
      <c r="G247" s="10">
        <f t="shared" si="52"/>
        <v>0</v>
      </c>
      <c r="H247" s="10">
        <f t="shared" si="52"/>
        <v>11920</v>
      </c>
      <c r="I247" s="10">
        <f t="shared" si="52"/>
        <v>0</v>
      </c>
      <c r="J247" s="10">
        <f t="shared" si="52"/>
        <v>840</v>
      </c>
      <c r="K247" s="25">
        <f t="shared" si="51"/>
        <v>16710</v>
      </c>
    </row>
    <row r="248" ht="13.5" customHeight="1"/>
    <row r="249" ht="13.5" customHeight="1">
      <c r="A249" s="48" t="s">
        <v>94</v>
      </c>
    </row>
    <row r="250" ht="13.5" customHeight="1">
      <c r="A250" s="14" t="s">
        <v>25</v>
      </c>
      <c r="B250" s="14" t="s">
        <v>1</v>
      </c>
      <c r="C250" s="14" t="s">
        <v>27</v>
      </c>
      <c r="D250" s="15" t="s">
        <v>2</v>
      </c>
      <c r="E250" s="10" t="s">
        <v>28</v>
      </c>
      <c r="F250" s="16" t="s">
        <v>3</v>
      </c>
      <c r="G250" s="15" t="s">
        <v>4</v>
      </c>
      <c r="H250" s="15" t="s">
        <v>5</v>
      </c>
      <c r="I250" s="15" t="s">
        <v>29</v>
      </c>
      <c r="J250" s="14" t="s">
        <v>30</v>
      </c>
      <c r="K250" s="17" t="s">
        <v>7</v>
      </c>
    </row>
    <row r="251" ht="14.25" customHeight="1">
      <c r="A251" s="18" t="s">
        <v>31</v>
      </c>
      <c r="B251" s="19" t="s">
        <v>162</v>
      </c>
      <c r="C251" s="20" t="s">
        <v>33</v>
      </c>
      <c r="D251" s="21">
        <v>400.0</v>
      </c>
      <c r="E251" s="36">
        <v>60.0</v>
      </c>
      <c r="F251" s="36">
        <v>520.0</v>
      </c>
      <c r="G251" s="36"/>
      <c r="H251" s="32">
        <v>1020.0</v>
      </c>
      <c r="I251" s="23"/>
      <c r="J251" s="24">
        <v>160.0</v>
      </c>
      <c r="K251" s="25">
        <f t="shared" ref="K251:K254" si="53">SUM(D251:J251)</f>
        <v>2160</v>
      </c>
    </row>
    <row r="252" ht="13.5" customHeight="1">
      <c r="A252" s="26" t="s">
        <v>34</v>
      </c>
      <c r="B252" s="27"/>
      <c r="C252" s="28"/>
      <c r="D252" s="21">
        <v>180.0</v>
      </c>
      <c r="E252" s="36"/>
      <c r="F252" s="36">
        <v>330.0</v>
      </c>
      <c r="G252" s="32"/>
      <c r="H252" s="21">
        <v>300.0</v>
      </c>
      <c r="I252" s="29"/>
      <c r="J252" s="29">
        <v>80.0</v>
      </c>
      <c r="K252" s="25">
        <f t="shared" si="53"/>
        <v>890</v>
      </c>
    </row>
    <row r="253" ht="13.5" customHeight="1">
      <c r="A253" s="18" t="s">
        <v>35</v>
      </c>
      <c r="B253" s="30">
        <v>2.0</v>
      </c>
      <c r="C253" s="31" t="s">
        <v>36</v>
      </c>
      <c r="D253" s="21">
        <v>430.0</v>
      </c>
      <c r="E253" s="36">
        <v>30.0</v>
      </c>
      <c r="F253" s="36">
        <v>780.0</v>
      </c>
      <c r="G253" s="36"/>
      <c r="H253" s="32">
        <v>1430.0</v>
      </c>
      <c r="I253" s="23"/>
      <c r="J253" s="24">
        <v>160.0</v>
      </c>
      <c r="K253" s="25">
        <f t="shared" si="53"/>
        <v>2830</v>
      </c>
    </row>
    <row r="254" ht="13.5" customHeight="1">
      <c r="A254" s="26" t="s">
        <v>37</v>
      </c>
      <c r="B254" s="33"/>
      <c r="C254" s="34"/>
      <c r="D254" s="21"/>
      <c r="E254" s="36"/>
      <c r="F254" s="36"/>
      <c r="G254" s="21"/>
      <c r="H254" s="21"/>
      <c r="I254" s="21"/>
      <c r="J254" s="21"/>
      <c r="K254" s="25">
        <f t="shared" si="53"/>
        <v>0</v>
      </c>
    </row>
    <row r="255" ht="14.25" customHeight="1">
      <c r="A255" s="18" t="s">
        <v>38</v>
      </c>
      <c r="B255" s="19" t="s">
        <v>39</v>
      </c>
      <c r="C255" s="19" t="s">
        <v>40</v>
      </c>
      <c r="D255" s="10">
        <v>580.0</v>
      </c>
      <c r="E255" s="10">
        <v>60.0</v>
      </c>
      <c r="F255" s="10">
        <v>450.0</v>
      </c>
      <c r="G255" s="10"/>
      <c r="H255" s="10">
        <v>4330.0</v>
      </c>
      <c r="I255" s="10"/>
      <c r="J255" s="10">
        <v>290.0</v>
      </c>
      <c r="K255" s="25">
        <f>SUM(D265:J265)</f>
        <v>5710</v>
      </c>
      <c r="L255" s="47"/>
      <c r="M255" s="12"/>
    </row>
    <row r="256" ht="13.5" customHeight="1">
      <c r="A256" s="35" t="s">
        <v>41</v>
      </c>
      <c r="B256" s="27"/>
      <c r="C256" s="27"/>
      <c r="D256" s="21">
        <v>540.0</v>
      </c>
      <c r="E256" s="21"/>
      <c r="F256" s="21">
        <v>300.0</v>
      </c>
      <c r="G256" s="21"/>
      <c r="H256" s="21">
        <v>4440.0</v>
      </c>
      <c r="I256" s="21"/>
      <c r="J256" s="21">
        <v>290.0</v>
      </c>
      <c r="K256" s="25">
        <f t="shared" ref="K256:K257" si="55">SUM(D256:J256)</f>
        <v>5570</v>
      </c>
    </row>
    <row r="257" ht="13.5" customHeight="1">
      <c r="A257" s="40" t="s">
        <v>7</v>
      </c>
      <c r="B257" s="40"/>
      <c r="C257" s="40"/>
      <c r="D257" s="10">
        <f t="shared" ref="D257:J257" si="54">SUM(D251:D256)</f>
        <v>2130</v>
      </c>
      <c r="E257" s="10">
        <f t="shared" si="54"/>
        <v>150</v>
      </c>
      <c r="F257" s="10">
        <f t="shared" si="54"/>
        <v>2380</v>
      </c>
      <c r="G257" s="10">
        <f t="shared" si="54"/>
        <v>0</v>
      </c>
      <c r="H257" s="10">
        <f t="shared" si="54"/>
        <v>11520</v>
      </c>
      <c r="I257" s="10">
        <f t="shared" si="54"/>
        <v>0</v>
      </c>
      <c r="J257" s="10">
        <f t="shared" si="54"/>
        <v>980</v>
      </c>
      <c r="K257" s="25">
        <f t="shared" si="55"/>
        <v>17160</v>
      </c>
    </row>
    <row r="258" ht="13.5" customHeight="1"/>
    <row r="259" ht="13.5" customHeight="1">
      <c r="A259" s="48" t="s">
        <v>96</v>
      </c>
    </row>
    <row r="260" ht="13.5" customHeight="1">
      <c r="A260" s="14" t="s">
        <v>25</v>
      </c>
      <c r="B260" s="14" t="s">
        <v>1</v>
      </c>
      <c r="C260" s="14" t="s">
        <v>27</v>
      </c>
      <c r="D260" s="15" t="s">
        <v>2</v>
      </c>
      <c r="E260" s="10" t="s">
        <v>28</v>
      </c>
      <c r="F260" s="16" t="s">
        <v>3</v>
      </c>
      <c r="G260" s="15" t="s">
        <v>4</v>
      </c>
      <c r="H260" s="15" t="s">
        <v>5</v>
      </c>
      <c r="I260" s="15" t="s">
        <v>29</v>
      </c>
      <c r="J260" s="14" t="s">
        <v>30</v>
      </c>
      <c r="K260" s="17" t="s">
        <v>7</v>
      </c>
    </row>
    <row r="261" ht="14.25" customHeight="1">
      <c r="A261" s="18" t="s">
        <v>31</v>
      </c>
      <c r="B261" s="19" t="s">
        <v>163</v>
      </c>
      <c r="C261" s="20" t="s">
        <v>33</v>
      </c>
      <c r="D261" s="21">
        <v>300.0</v>
      </c>
      <c r="E261" s="36">
        <v>60.0</v>
      </c>
      <c r="F261" s="36">
        <v>600.0</v>
      </c>
      <c r="G261" s="32"/>
      <c r="H261" s="21">
        <v>1280.0</v>
      </c>
      <c r="I261" s="23"/>
      <c r="J261" s="24">
        <v>120.0</v>
      </c>
      <c r="K261" s="25">
        <f t="shared" ref="K261:K264" si="56">SUM(D261:J261)</f>
        <v>2360</v>
      </c>
    </row>
    <row r="262" ht="13.5" customHeight="1">
      <c r="A262" s="26" t="s">
        <v>34</v>
      </c>
      <c r="B262" s="27"/>
      <c r="C262" s="28"/>
      <c r="D262" s="21">
        <v>320.0</v>
      </c>
      <c r="E262" s="36"/>
      <c r="F262" s="36">
        <v>300.0</v>
      </c>
      <c r="G262" s="22"/>
      <c r="H262" s="21">
        <v>480.0</v>
      </c>
      <c r="I262" s="29"/>
      <c r="J262" s="29"/>
      <c r="K262" s="25">
        <f t="shared" si="56"/>
        <v>1100</v>
      </c>
    </row>
    <row r="263" ht="13.5" customHeight="1">
      <c r="A263" s="18" t="s">
        <v>35</v>
      </c>
      <c r="B263" s="30">
        <v>2.0</v>
      </c>
      <c r="C263" s="31" t="s">
        <v>36</v>
      </c>
      <c r="D263" s="21">
        <v>420.0</v>
      </c>
      <c r="E263" s="10">
        <v>30.0</v>
      </c>
      <c r="F263" s="10">
        <v>700.0</v>
      </c>
      <c r="G263" s="36"/>
      <c r="H263" s="21">
        <v>1510.0</v>
      </c>
      <c r="I263" s="23"/>
      <c r="J263" s="24">
        <v>170.0</v>
      </c>
      <c r="K263" s="25">
        <f t="shared" si="56"/>
        <v>2830</v>
      </c>
    </row>
    <row r="264" ht="13.5" customHeight="1">
      <c r="A264" s="26" t="s">
        <v>37</v>
      </c>
      <c r="B264" s="33"/>
      <c r="C264" s="34"/>
      <c r="D264" s="21"/>
      <c r="E264" s="36"/>
      <c r="F264" s="36"/>
      <c r="G264" s="22"/>
      <c r="H264" s="21"/>
      <c r="I264" s="29"/>
      <c r="J264" s="29"/>
      <c r="K264" s="25">
        <f t="shared" si="56"/>
        <v>0</v>
      </c>
    </row>
    <row r="265" ht="14.25" customHeight="1">
      <c r="A265" s="18" t="s">
        <v>38</v>
      </c>
      <c r="B265" s="19" t="s">
        <v>39</v>
      </c>
      <c r="C265" s="19" t="s">
        <v>40</v>
      </c>
      <c r="D265" s="21">
        <v>530.0</v>
      </c>
      <c r="E265" s="36">
        <v>60.0</v>
      </c>
      <c r="F265" s="36">
        <v>330.0</v>
      </c>
      <c r="G265" s="32"/>
      <c r="H265" s="21">
        <v>4560.0</v>
      </c>
      <c r="I265" s="23"/>
      <c r="J265" s="24">
        <v>230.0</v>
      </c>
      <c r="K265" s="25">
        <v>180.0</v>
      </c>
      <c r="L265" s="47"/>
      <c r="M265" s="12"/>
    </row>
    <row r="266" ht="13.5" customHeight="1">
      <c r="A266" s="35" t="s">
        <v>41</v>
      </c>
      <c r="B266" s="27"/>
      <c r="C266" s="27"/>
      <c r="D266" s="21">
        <v>540.0</v>
      </c>
      <c r="E266" s="21"/>
      <c r="F266" s="21">
        <v>450.0</v>
      </c>
      <c r="G266" s="21"/>
      <c r="H266" s="21">
        <v>4090.0</v>
      </c>
      <c r="I266" s="21"/>
      <c r="J266" s="21">
        <v>270.0</v>
      </c>
      <c r="K266" s="25">
        <f t="shared" ref="K266:K267" si="58">SUM(D266:J266)</f>
        <v>5350</v>
      </c>
    </row>
    <row r="267" ht="13.5" customHeight="1">
      <c r="A267" s="40" t="s">
        <v>7</v>
      </c>
      <c r="B267" s="40"/>
      <c r="C267" s="40"/>
      <c r="D267" s="10">
        <f t="shared" ref="D267:J267" si="57">SUM(D261:D266)</f>
        <v>2110</v>
      </c>
      <c r="E267" s="10">
        <f t="shared" si="57"/>
        <v>150</v>
      </c>
      <c r="F267" s="10">
        <f t="shared" si="57"/>
        <v>2380</v>
      </c>
      <c r="G267" s="10">
        <f t="shared" si="57"/>
        <v>0</v>
      </c>
      <c r="H267" s="10">
        <f t="shared" si="57"/>
        <v>11920</v>
      </c>
      <c r="I267" s="10">
        <f t="shared" si="57"/>
        <v>0</v>
      </c>
      <c r="J267" s="10">
        <f t="shared" si="57"/>
        <v>790</v>
      </c>
      <c r="K267" s="25">
        <f t="shared" si="58"/>
        <v>17350</v>
      </c>
    </row>
    <row r="268" ht="13.5" customHeight="1">
      <c r="A268" s="48"/>
    </row>
    <row r="269" ht="13.5" customHeight="1">
      <c r="A269" s="48" t="s">
        <v>98</v>
      </c>
    </row>
    <row r="270" ht="13.5" customHeight="1">
      <c r="A270" s="14" t="s">
        <v>25</v>
      </c>
      <c r="B270" s="14" t="s">
        <v>1</v>
      </c>
      <c r="C270" s="14" t="s">
        <v>27</v>
      </c>
      <c r="D270" s="15" t="s">
        <v>2</v>
      </c>
      <c r="E270" s="16" t="s">
        <v>28</v>
      </c>
      <c r="F270" s="16" t="s">
        <v>3</v>
      </c>
      <c r="G270" s="14" t="s">
        <v>4</v>
      </c>
      <c r="H270" s="15" t="s">
        <v>5</v>
      </c>
      <c r="I270" s="15" t="s">
        <v>29</v>
      </c>
      <c r="J270" s="14" t="s">
        <v>30</v>
      </c>
      <c r="K270" s="17" t="s">
        <v>7</v>
      </c>
    </row>
    <row r="271" ht="13.5" customHeight="1">
      <c r="A271" s="18" t="s">
        <v>31</v>
      </c>
      <c r="B271" s="19" t="s">
        <v>164</v>
      </c>
      <c r="C271" s="20" t="s">
        <v>33</v>
      </c>
      <c r="D271" s="21">
        <v>400.0</v>
      </c>
      <c r="E271" s="36">
        <v>60.0</v>
      </c>
      <c r="F271" s="36"/>
      <c r="G271" s="32"/>
      <c r="H271" s="21">
        <v>1650.0</v>
      </c>
      <c r="I271" s="21"/>
      <c r="J271" s="24">
        <v>70.0</v>
      </c>
      <c r="K271" s="25">
        <f t="shared" ref="K271:K281" si="59">SUM(D271:J271)</f>
        <v>2180</v>
      </c>
    </row>
    <row r="272" ht="13.5" customHeight="1">
      <c r="A272" s="26" t="s">
        <v>34</v>
      </c>
      <c r="B272" s="27"/>
      <c r="C272" s="28"/>
      <c r="D272" s="21">
        <v>120.0</v>
      </c>
      <c r="E272" s="36"/>
      <c r="F272" s="36"/>
      <c r="G272" s="22"/>
      <c r="H272" s="21">
        <v>280.0</v>
      </c>
      <c r="I272" s="21"/>
      <c r="J272" s="29"/>
      <c r="K272" s="25">
        <f t="shared" si="59"/>
        <v>400</v>
      </c>
    </row>
    <row r="273" ht="13.5" customHeight="1">
      <c r="A273" s="18" t="s">
        <v>35</v>
      </c>
      <c r="B273" s="30">
        <v>2.0</v>
      </c>
      <c r="C273" s="31" t="s">
        <v>36</v>
      </c>
      <c r="D273" s="21">
        <v>430.0</v>
      </c>
      <c r="E273" s="36">
        <v>30.0</v>
      </c>
      <c r="F273" s="36">
        <v>750.0</v>
      </c>
      <c r="G273" s="32"/>
      <c r="H273" s="21">
        <v>1580.0</v>
      </c>
      <c r="I273" s="21"/>
      <c r="J273" s="24">
        <v>100.0</v>
      </c>
      <c r="K273" s="25">
        <f t="shared" si="59"/>
        <v>2890</v>
      </c>
    </row>
    <row r="274" ht="13.5" customHeight="1">
      <c r="A274" s="26" t="s">
        <v>37</v>
      </c>
      <c r="B274" s="33"/>
      <c r="C274" s="34"/>
      <c r="D274" s="21"/>
      <c r="E274" s="36"/>
      <c r="F274" s="36"/>
      <c r="G274" s="22"/>
      <c r="H274" s="21"/>
      <c r="I274" s="21"/>
      <c r="J274" s="29"/>
      <c r="K274" s="25">
        <f t="shared" si="59"/>
        <v>0</v>
      </c>
    </row>
    <row r="275" ht="15.0" customHeight="1">
      <c r="A275" s="18" t="s">
        <v>38</v>
      </c>
      <c r="B275" s="19" t="s">
        <v>39</v>
      </c>
      <c r="C275" s="19" t="s">
        <v>40</v>
      </c>
      <c r="D275" s="21">
        <v>540.0</v>
      </c>
      <c r="E275" s="41">
        <v>60.0</v>
      </c>
      <c r="F275" s="41">
        <v>290.0</v>
      </c>
      <c r="G275" s="32"/>
      <c r="H275" s="21">
        <v>4490.0</v>
      </c>
      <c r="I275" s="21"/>
      <c r="J275" s="24">
        <v>330.0</v>
      </c>
      <c r="K275" s="25">
        <f t="shared" si="59"/>
        <v>5710</v>
      </c>
    </row>
    <row r="276" ht="13.5" customHeight="1">
      <c r="A276" s="35" t="s">
        <v>41</v>
      </c>
      <c r="B276" s="27"/>
      <c r="C276" s="27"/>
      <c r="D276" s="21">
        <v>550.0</v>
      </c>
      <c r="E276" s="36"/>
      <c r="F276" s="37">
        <v>630.0</v>
      </c>
      <c r="G276" s="38"/>
      <c r="H276" s="21">
        <v>4270.0</v>
      </c>
      <c r="I276" s="21"/>
      <c r="J276" s="39">
        <v>300.0</v>
      </c>
      <c r="K276" s="25">
        <f t="shared" si="59"/>
        <v>5750</v>
      </c>
    </row>
    <row r="277" ht="13.5" customHeight="1">
      <c r="A277" s="54" t="s">
        <v>100</v>
      </c>
      <c r="B277" s="55"/>
      <c r="C277" s="55"/>
      <c r="D277" s="21"/>
      <c r="E277" s="36"/>
      <c r="F277" s="36"/>
      <c r="G277" s="21"/>
      <c r="H277" s="21"/>
      <c r="I277" s="21"/>
      <c r="J277" s="56"/>
      <c r="K277" s="25">
        <f t="shared" si="59"/>
        <v>0</v>
      </c>
    </row>
    <row r="278" ht="13.5" customHeight="1">
      <c r="A278" s="26" t="s">
        <v>101</v>
      </c>
      <c r="B278" s="7"/>
      <c r="C278" s="7"/>
      <c r="D278" s="21"/>
      <c r="E278" s="36"/>
      <c r="F278" s="37"/>
      <c r="G278" s="22"/>
      <c r="H278" s="21"/>
      <c r="I278" s="29"/>
      <c r="J278" s="29"/>
      <c r="K278" s="25">
        <f t="shared" si="59"/>
        <v>0</v>
      </c>
    </row>
    <row r="279" ht="13.5" customHeight="1">
      <c r="A279" s="18" t="s">
        <v>102</v>
      </c>
      <c r="B279" s="57"/>
      <c r="C279" s="57"/>
      <c r="D279" s="21"/>
      <c r="E279" s="36"/>
      <c r="F279" s="41"/>
      <c r="G279" s="58"/>
      <c r="H279" s="21"/>
      <c r="I279" s="23"/>
      <c r="J279" s="59"/>
      <c r="K279" s="25">
        <f t="shared" si="59"/>
        <v>0</v>
      </c>
    </row>
    <row r="280" ht="13.5" customHeight="1">
      <c r="A280" s="35" t="s">
        <v>103</v>
      </c>
      <c r="B280" s="27"/>
      <c r="C280" s="27"/>
      <c r="D280" s="21"/>
      <c r="E280" s="36"/>
      <c r="F280" s="37"/>
      <c r="G280" s="60"/>
      <c r="H280" s="21"/>
      <c r="I280" s="29"/>
      <c r="J280" s="61"/>
      <c r="K280" s="25">
        <f t="shared" si="59"/>
        <v>0</v>
      </c>
    </row>
    <row r="281" ht="13.5" customHeight="1">
      <c r="A281" s="40" t="s">
        <v>7</v>
      </c>
      <c r="B281" s="40"/>
      <c r="C281" s="40"/>
      <c r="D281" s="10">
        <f t="shared" ref="D281:J281" si="60">SUM(D271:D280)</f>
        <v>2040</v>
      </c>
      <c r="E281" s="10">
        <f t="shared" si="60"/>
        <v>150</v>
      </c>
      <c r="F281" s="10">
        <f t="shared" si="60"/>
        <v>1670</v>
      </c>
      <c r="G281" s="10">
        <f t="shared" si="60"/>
        <v>0</v>
      </c>
      <c r="H281" s="10">
        <f t="shared" si="60"/>
        <v>12270</v>
      </c>
      <c r="I281" s="10">
        <f t="shared" si="60"/>
        <v>0</v>
      </c>
      <c r="J281" s="10">
        <f t="shared" si="60"/>
        <v>800</v>
      </c>
      <c r="K281" s="25">
        <f t="shared" si="59"/>
        <v>16930</v>
      </c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ht="13.5" customHeight="1">
      <c r="A283" s="48" t="s">
        <v>104</v>
      </c>
    </row>
    <row r="284" ht="13.5" customHeight="1">
      <c r="A284" s="14" t="s">
        <v>25</v>
      </c>
      <c r="B284" s="14" t="s">
        <v>1</v>
      </c>
      <c r="C284" s="14" t="s">
        <v>27</v>
      </c>
      <c r="D284" s="15" t="s">
        <v>2</v>
      </c>
      <c r="E284" s="16" t="s">
        <v>28</v>
      </c>
      <c r="F284" s="16" t="s">
        <v>3</v>
      </c>
      <c r="G284" s="14" t="s">
        <v>4</v>
      </c>
      <c r="H284" s="15" t="s">
        <v>5</v>
      </c>
      <c r="I284" s="15" t="s">
        <v>29</v>
      </c>
      <c r="J284" s="14" t="s">
        <v>30</v>
      </c>
      <c r="K284" s="17" t="s">
        <v>7</v>
      </c>
    </row>
    <row r="285" ht="13.5" customHeight="1">
      <c r="A285" s="18" t="s">
        <v>31</v>
      </c>
      <c r="B285" s="19" t="s">
        <v>165</v>
      </c>
      <c r="C285" s="20" t="s">
        <v>33</v>
      </c>
      <c r="D285" s="21">
        <v>400.0</v>
      </c>
      <c r="E285" s="36">
        <v>60.0</v>
      </c>
      <c r="F285" s="36">
        <v>700.0</v>
      </c>
      <c r="G285" s="32"/>
      <c r="H285" s="21">
        <v>960.0</v>
      </c>
      <c r="I285" s="21"/>
      <c r="J285" s="24">
        <v>170.0</v>
      </c>
      <c r="K285" s="25">
        <f t="shared" ref="K285:K295" si="61">SUM(D285:J285)</f>
        <v>2290</v>
      </c>
    </row>
    <row r="286" ht="13.5" customHeight="1">
      <c r="A286" s="26" t="s">
        <v>34</v>
      </c>
      <c r="B286" s="27"/>
      <c r="C286" s="28"/>
      <c r="D286" s="21">
        <v>200.0</v>
      </c>
      <c r="E286" s="36"/>
      <c r="F286" s="36">
        <v>360.0</v>
      </c>
      <c r="G286" s="22"/>
      <c r="H286" s="21">
        <v>130.0</v>
      </c>
      <c r="I286" s="21"/>
      <c r="J286" s="29">
        <v>50.0</v>
      </c>
      <c r="K286" s="25">
        <f t="shared" si="61"/>
        <v>740</v>
      </c>
    </row>
    <row r="287" ht="13.5" customHeight="1">
      <c r="A287" s="18" t="s">
        <v>35</v>
      </c>
      <c r="B287" s="30">
        <v>2.0</v>
      </c>
      <c r="C287" s="31" t="s">
        <v>36</v>
      </c>
      <c r="D287" s="21">
        <v>400.0</v>
      </c>
      <c r="E287" s="36">
        <v>30.0</v>
      </c>
      <c r="F287" s="36">
        <v>700.0</v>
      </c>
      <c r="G287" s="32"/>
      <c r="H287" s="21">
        <v>1480.0</v>
      </c>
      <c r="I287" s="21"/>
      <c r="J287" s="24">
        <v>130.0</v>
      </c>
      <c r="K287" s="25">
        <f t="shared" si="61"/>
        <v>2740</v>
      </c>
    </row>
    <row r="288" ht="13.5" customHeight="1">
      <c r="A288" s="26" t="s">
        <v>37</v>
      </c>
      <c r="B288" s="33"/>
      <c r="C288" s="34"/>
      <c r="D288" s="21"/>
      <c r="E288" s="36"/>
      <c r="F288" s="36"/>
      <c r="G288" s="22"/>
      <c r="H288" s="21"/>
      <c r="I288" s="21"/>
      <c r="J288" s="29"/>
      <c r="K288" s="25">
        <f t="shared" si="61"/>
        <v>0</v>
      </c>
    </row>
    <row r="289" ht="15.0" customHeight="1">
      <c r="A289" s="18" t="s">
        <v>38</v>
      </c>
      <c r="B289" s="19" t="s">
        <v>39</v>
      </c>
      <c r="C289" s="19" t="s">
        <v>40</v>
      </c>
      <c r="D289" s="21">
        <v>560.0</v>
      </c>
      <c r="E289" s="41">
        <v>60.0</v>
      </c>
      <c r="F289" s="41">
        <v>250.0</v>
      </c>
      <c r="G289" s="32"/>
      <c r="H289" s="21">
        <v>4640.0</v>
      </c>
      <c r="I289" s="21"/>
      <c r="J289" s="24">
        <v>250.0</v>
      </c>
      <c r="K289" s="25">
        <f t="shared" si="61"/>
        <v>5760</v>
      </c>
    </row>
    <row r="290" ht="13.5" customHeight="1">
      <c r="A290" s="35" t="s">
        <v>41</v>
      </c>
      <c r="B290" s="27"/>
      <c r="C290" s="27"/>
      <c r="D290" s="21">
        <v>530.0</v>
      </c>
      <c r="E290" s="36"/>
      <c r="F290" s="37">
        <v>340.0</v>
      </c>
      <c r="G290" s="38"/>
      <c r="H290" s="21">
        <v>4430.0</v>
      </c>
      <c r="I290" s="21"/>
      <c r="J290" s="39">
        <v>330.0</v>
      </c>
      <c r="K290" s="25">
        <f t="shared" si="61"/>
        <v>5630</v>
      </c>
    </row>
    <row r="291" ht="13.5" customHeight="1">
      <c r="A291" s="54" t="s">
        <v>100</v>
      </c>
      <c r="B291" s="55"/>
      <c r="C291" s="55"/>
      <c r="D291" s="21"/>
      <c r="E291" s="36"/>
      <c r="F291" s="36"/>
      <c r="G291" s="21"/>
      <c r="H291" s="21"/>
      <c r="I291" s="21"/>
      <c r="J291" s="56"/>
      <c r="K291" s="25">
        <f t="shared" si="61"/>
        <v>0</v>
      </c>
    </row>
    <row r="292" ht="13.5" customHeight="1">
      <c r="A292" s="26" t="s">
        <v>101</v>
      </c>
      <c r="B292" s="7"/>
      <c r="C292" s="7"/>
      <c r="D292" s="21"/>
      <c r="E292" s="36"/>
      <c r="F292" s="37"/>
      <c r="G292" s="22"/>
      <c r="H292" s="21"/>
      <c r="I292" s="29"/>
      <c r="J292" s="29"/>
      <c r="K292" s="25">
        <f t="shared" si="61"/>
        <v>0</v>
      </c>
    </row>
    <row r="293" ht="13.5" customHeight="1">
      <c r="A293" s="18" t="s">
        <v>102</v>
      </c>
      <c r="B293" s="57"/>
      <c r="C293" s="57"/>
      <c r="D293" s="21"/>
      <c r="E293" s="36"/>
      <c r="F293" s="41"/>
      <c r="G293" s="58"/>
      <c r="H293" s="21"/>
      <c r="I293" s="23"/>
      <c r="J293" s="59"/>
      <c r="K293" s="25">
        <f t="shared" si="61"/>
        <v>0</v>
      </c>
    </row>
    <row r="294" ht="13.5" customHeight="1">
      <c r="A294" s="35" t="s">
        <v>103</v>
      </c>
      <c r="B294" s="27"/>
      <c r="C294" s="27"/>
      <c r="D294" s="21"/>
      <c r="E294" s="36"/>
      <c r="F294" s="37"/>
      <c r="G294" s="60"/>
      <c r="H294" s="21"/>
      <c r="I294" s="29"/>
      <c r="J294" s="61"/>
      <c r="K294" s="25">
        <f t="shared" si="61"/>
        <v>0</v>
      </c>
    </row>
    <row r="295" ht="13.5" customHeight="1">
      <c r="A295" s="40" t="s">
        <v>7</v>
      </c>
      <c r="B295" s="40"/>
      <c r="C295" s="40"/>
      <c r="D295" s="10">
        <f t="shared" ref="D295:J295" si="62">SUM(D285:D294)</f>
        <v>2090</v>
      </c>
      <c r="E295" s="10">
        <f t="shared" si="62"/>
        <v>150</v>
      </c>
      <c r="F295" s="10">
        <f t="shared" si="62"/>
        <v>2350</v>
      </c>
      <c r="G295" s="10">
        <f t="shared" si="62"/>
        <v>0</v>
      </c>
      <c r="H295" s="10">
        <f t="shared" si="62"/>
        <v>11640</v>
      </c>
      <c r="I295" s="10">
        <f t="shared" si="62"/>
        <v>0</v>
      </c>
      <c r="J295" s="10">
        <f t="shared" si="62"/>
        <v>930</v>
      </c>
      <c r="K295" s="25">
        <f t="shared" si="61"/>
        <v>17160</v>
      </c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ht="13.5" customHeight="1">
      <c r="A297" s="48" t="s">
        <v>106</v>
      </c>
    </row>
    <row r="298" ht="13.5" customHeight="1">
      <c r="A298" s="14" t="s">
        <v>25</v>
      </c>
      <c r="B298" s="14" t="s">
        <v>1</v>
      </c>
      <c r="C298" s="14" t="s">
        <v>27</v>
      </c>
      <c r="D298" s="15" t="s">
        <v>2</v>
      </c>
      <c r="E298" s="16" t="s">
        <v>28</v>
      </c>
      <c r="F298" s="16" t="s">
        <v>3</v>
      </c>
      <c r="G298" s="14" t="s">
        <v>4</v>
      </c>
      <c r="H298" s="15" t="s">
        <v>5</v>
      </c>
      <c r="I298" s="15" t="s">
        <v>29</v>
      </c>
      <c r="J298" s="14" t="s">
        <v>30</v>
      </c>
      <c r="K298" s="17" t="s">
        <v>7</v>
      </c>
    </row>
    <row r="299" ht="13.5" customHeight="1">
      <c r="A299" s="18" t="s">
        <v>31</v>
      </c>
      <c r="B299" s="19" t="s">
        <v>166</v>
      </c>
      <c r="C299" s="20" t="s">
        <v>33</v>
      </c>
      <c r="D299" s="21">
        <v>430.0</v>
      </c>
      <c r="E299" s="36">
        <v>60.0</v>
      </c>
      <c r="F299" s="36">
        <v>630.0</v>
      </c>
      <c r="G299" s="32"/>
      <c r="H299" s="21">
        <v>960.0</v>
      </c>
      <c r="I299" s="21"/>
      <c r="J299" s="24">
        <v>100.0</v>
      </c>
      <c r="K299" s="25">
        <f t="shared" ref="K299:K309" si="63">SUM(D299:J299)</f>
        <v>2180</v>
      </c>
    </row>
    <row r="300" ht="13.5" customHeight="1">
      <c r="A300" s="26" t="s">
        <v>34</v>
      </c>
      <c r="B300" s="27"/>
      <c r="C300" s="28"/>
      <c r="D300" s="21">
        <v>190.0</v>
      </c>
      <c r="E300" s="36"/>
      <c r="F300" s="36">
        <v>240.0</v>
      </c>
      <c r="G300" s="22"/>
      <c r="H300" s="21">
        <v>350.0</v>
      </c>
      <c r="I300" s="21"/>
      <c r="J300" s="29">
        <v>70.0</v>
      </c>
      <c r="K300" s="25">
        <f t="shared" si="63"/>
        <v>850</v>
      </c>
    </row>
    <row r="301" ht="13.5" customHeight="1">
      <c r="A301" s="18" t="s">
        <v>35</v>
      </c>
      <c r="B301" s="30">
        <v>2.0</v>
      </c>
      <c r="C301" s="31" t="s">
        <v>36</v>
      </c>
      <c r="D301" s="21">
        <v>430.0</v>
      </c>
      <c r="E301" s="36">
        <v>30.0</v>
      </c>
      <c r="F301" s="36">
        <v>740.0</v>
      </c>
      <c r="G301" s="32"/>
      <c r="H301" s="21">
        <v>1560.0</v>
      </c>
      <c r="I301" s="21"/>
      <c r="J301" s="24">
        <v>100.0</v>
      </c>
      <c r="K301" s="25">
        <f t="shared" si="63"/>
        <v>2860</v>
      </c>
    </row>
    <row r="302" ht="13.5" customHeight="1">
      <c r="A302" s="26" t="s">
        <v>37</v>
      </c>
      <c r="B302" s="33"/>
      <c r="C302" s="34"/>
      <c r="D302" s="21"/>
      <c r="E302" s="36"/>
      <c r="F302" s="36"/>
      <c r="G302" s="22"/>
      <c r="H302" s="21"/>
      <c r="I302" s="21"/>
      <c r="J302" s="29"/>
      <c r="K302" s="25">
        <f t="shared" si="63"/>
        <v>0</v>
      </c>
    </row>
    <row r="303" ht="15.0" customHeight="1">
      <c r="A303" s="18" t="s">
        <v>38</v>
      </c>
      <c r="B303" s="19" t="s">
        <v>39</v>
      </c>
      <c r="C303" s="19" t="s">
        <v>40</v>
      </c>
      <c r="D303" s="21">
        <v>550.0</v>
      </c>
      <c r="E303" s="41">
        <v>60.0</v>
      </c>
      <c r="F303" s="41">
        <v>400.0</v>
      </c>
      <c r="G303" s="32"/>
      <c r="H303" s="21">
        <v>4460.0</v>
      </c>
      <c r="I303" s="21"/>
      <c r="J303" s="24">
        <v>300.0</v>
      </c>
      <c r="K303" s="25">
        <f t="shared" si="63"/>
        <v>5770</v>
      </c>
    </row>
    <row r="304" ht="13.5" customHeight="1">
      <c r="A304" s="35" t="s">
        <v>41</v>
      </c>
      <c r="B304" s="27"/>
      <c r="C304" s="27"/>
      <c r="D304" s="21">
        <v>560.0</v>
      </c>
      <c r="E304" s="36"/>
      <c r="F304" s="37">
        <v>270.0</v>
      </c>
      <c r="G304" s="38"/>
      <c r="H304" s="21">
        <v>4600.0</v>
      </c>
      <c r="I304" s="21"/>
      <c r="J304" s="39">
        <v>270.0</v>
      </c>
      <c r="K304" s="25">
        <f t="shared" si="63"/>
        <v>5700</v>
      </c>
    </row>
    <row r="305" ht="13.5" customHeight="1">
      <c r="A305" s="54" t="s">
        <v>100</v>
      </c>
      <c r="B305" s="55"/>
      <c r="C305" s="55"/>
      <c r="D305" s="21"/>
      <c r="E305" s="36"/>
      <c r="F305" s="36"/>
      <c r="G305" s="21"/>
      <c r="H305" s="21"/>
      <c r="I305" s="21"/>
      <c r="J305" s="56"/>
      <c r="K305" s="25">
        <f t="shared" si="63"/>
        <v>0</v>
      </c>
    </row>
    <row r="306" ht="13.5" customHeight="1">
      <c r="A306" s="26" t="s">
        <v>101</v>
      </c>
      <c r="B306" s="7"/>
      <c r="C306" s="7"/>
      <c r="D306" s="21"/>
      <c r="E306" s="36"/>
      <c r="F306" s="37"/>
      <c r="G306" s="22"/>
      <c r="H306" s="21"/>
      <c r="I306" s="29"/>
      <c r="J306" s="29"/>
      <c r="K306" s="25">
        <f t="shared" si="63"/>
        <v>0</v>
      </c>
    </row>
    <row r="307" ht="13.5" customHeight="1">
      <c r="A307" s="18" t="s">
        <v>102</v>
      </c>
      <c r="B307" s="57"/>
      <c r="C307" s="57"/>
      <c r="D307" s="21"/>
      <c r="E307" s="36"/>
      <c r="F307" s="41"/>
      <c r="G307" s="58"/>
      <c r="H307" s="21"/>
      <c r="I307" s="23"/>
      <c r="J307" s="59"/>
      <c r="K307" s="25">
        <f t="shared" si="63"/>
        <v>0</v>
      </c>
    </row>
    <row r="308" ht="13.5" customHeight="1">
      <c r="A308" s="35" t="s">
        <v>103</v>
      </c>
      <c r="B308" s="27"/>
      <c r="C308" s="27"/>
      <c r="D308" s="21"/>
      <c r="E308" s="36"/>
      <c r="F308" s="37"/>
      <c r="G308" s="60"/>
      <c r="H308" s="21"/>
      <c r="I308" s="29"/>
      <c r="J308" s="61"/>
      <c r="K308" s="25">
        <f t="shared" si="63"/>
        <v>0</v>
      </c>
    </row>
    <row r="309" ht="13.5" customHeight="1">
      <c r="A309" s="40" t="s">
        <v>7</v>
      </c>
      <c r="B309" s="40"/>
      <c r="C309" s="40"/>
      <c r="D309" s="10">
        <f t="shared" ref="D309:J309" si="64">SUM(D299:D308)</f>
        <v>2160</v>
      </c>
      <c r="E309" s="10">
        <f t="shared" si="64"/>
        <v>150</v>
      </c>
      <c r="F309" s="10">
        <f t="shared" si="64"/>
        <v>2280</v>
      </c>
      <c r="G309" s="10">
        <f t="shared" si="64"/>
        <v>0</v>
      </c>
      <c r="H309" s="10">
        <f t="shared" si="64"/>
        <v>11930</v>
      </c>
      <c r="I309" s="10">
        <f t="shared" si="64"/>
        <v>0</v>
      </c>
      <c r="J309" s="10">
        <f t="shared" si="64"/>
        <v>840</v>
      </c>
      <c r="K309" s="25">
        <f t="shared" si="63"/>
        <v>17360</v>
      </c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ht="13.5" customHeight="1">
      <c r="A312" s="64" t="s">
        <v>167</v>
      </c>
      <c r="B312" s="65"/>
      <c r="C312" s="65"/>
      <c r="D312" s="5"/>
      <c r="E312" s="10"/>
      <c r="F312" s="10"/>
      <c r="G312" s="10"/>
      <c r="H312" s="10"/>
      <c r="I312" s="10"/>
      <c r="J312" s="10"/>
      <c r="K312" s="10"/>
    </row>
    <row r="313" ht="13.5" customHeight="1">
      <c r="A313" s="15" t="s">
        <v>25</v>
      </c>
      <c r="B313" s="15" t="s">
        <v>1</v>
      </c>
      <c r="C313" s="15" t="s">
        <v>27</v>
      </c>
      <c r="D313" s="15" t="s">
        <v>2</v>
      </c>
      <c r="E313" s="10" t="s">
        <v>28</v>
      </c>
      <c r="F313" s="16" t="s">
        <v>3</v>
      </c>
      <c r="G313" s="15" t="s">
        <v>4</v>
      </c>
      <c r="H313" s="15" t="s">
        <v>5</v>
      </c>
      <c r="I313" s="15" t="s">
        <v>29</v>
      </c>
      <c r="J313" s="15" t="s">
        <v>30</v>
      </c>
      <c r="K313" s="10" t="s">
        <v>7</v>
      </c>
    </row>
    <row r="314" ht="13.5" customHeight="1">
      <c r="A314" s="10" t="s">
        <v>31</v>
      </c>
      <c r="B314" s="66" t="s">
        <v>168</v>
      </c>
      <c r="C314" s="10" t="s">
        <v>33</v>
      </c>
      <c r="D314" s="21">
        <f t="shared" ref="D314:J314" si="65">D4+D14+D23+D32+D41+D50+D60+D70+D80+D91+D100+D110+D119+D128+D137+D146+D155+D164+D173+D182+D191+D201+D211+D221+D231+D241+D251+D261+D271+D285+D299</f>
        <v>12980</v>
      </c>
      <c r="E314" s="21">
        <f t="shared" si="65"/>
        <v>1740</v>
      </c>
      <c r="F314" s="21">
        <f t="shared" si="65"/>
        <v>18770</v>
      </c>
      <c r="G314" s="21">
        <f t="shared" si="65"/>
        <v>0</v>
      </c>
      <c r="H314" s="21">
        <f t="shared" si="65"/>
        <v>35374</v>
      </c>
      <c r="I314" s="21">
        <f t="shared" si="65"/>
        <v>0</v>
      </c>
      <c r="J314" s="21">
        <f t="shared" si="65"/>
        <v>1440</v>
      </c>
      <c r="K314" s="10">
        <f t="shared" ref="K314:K319" si="67">SUM(D314:J314)</f>
        <v>70304</v>
      </c>
    </row>
    <row r="315" ht="13.5" customHeight="1">
      <c r="A315" s="10" t="s">
        <v>34</v>
      </c>
      <c r="B315" s="7"/>
      <c r="C315" s="10"/>
      <c r="D315" s="21">
        <f t="shared" ref="D315:J315" si="66">D5+D15+D24+D33+D42+D51+D61+D71+D81+D92+D101+D111+D120+D129+D138+D147+D156+D165+D174+D183+D192+D202+D212+D222+D232+D242+D252+D262+D272+D286+D300</f>
        <v>8490</v>
      </c>
      <c r="E315" s="21">
        <f t="shared" si="66"/>
        <v>0</v>
      </c>
      <c r="F315" s="21">
        <f t="shared" si="66"/>
        <v>14300</v>
      </c>
      <c r="G315" s="21">
        <f t="shared" si="66"/>
        <v>0</v>
      </c>
      <c r="H315" s="21">
        <f t="shared" si="66"/>
        <v>21870</v>
      </c>
      <c r="I315" s="21">
        <f t="shared" si="66"/>
        <v>0</v>
      </c>
      <c r="J315" s="21">
        <f t="shared" si="66"/>
        <v>670</v>
      </c>
      <c r="K315" s="10">
        <f t="shared" si="67"/>
        <v>45330</v>
      </c>
    </row>
    <row r="316" ht="13.5" customHeight="1">
      <c r="A316" s="10" t="s">
        <v>35</v>
      </c>
      <c r="B316" s="67">
        <v>2.0</v>
      </c>
      <c r="C316" s="15" t="s">
        <v>36</v>
      </c>
      <c r="D316" s="21">
        <f t="shared" ref="D316:J316" si="68">D6+D16+D25+D34+D43+D52+D62+D72+D82+D93+D102+D112+D121+D130+D139+D148+D157+D166+D175+D184+D193+D203+D213+D223+D233+D243+D253+D263+D273+D287+D301</f>
        <v>10270</v>
      </c>
      <c r="E316" s="21">
        <f t="shared" si="68"/>
        <v>870</v>
      </c>
      <c r="F316" s="21">
        <f t="shared" si="68"/>
        <v>15740</v>
      </c>
      <c r="G316" s="21">
        <f t="shared" si="68"/>
        <v>0</v>
      </c>
      <c r="H316" s="21">
        <f t="shared" si="68"/>
        <v>38390</v>
      </c>
      <c r="I316" s="21">
        <f t="shared" si="68"/>
        <v>0</v>
      </c>
      <c r="J316" s="21">
        <f t="shared" si="68"/>
        <v>3150</v>
      </c>
      <c r="K316" s="10">
        <f t="shared" si="67"/>
        <v>68420</v>
      </c>
    </row>
    <row r="317" ht="13.5" customHeight="1">
      <c r="A317" s="10" t="s">
        <v>37</v>
      </c>
      <c r="B317" s="67"/>
      <c r="C317" s="15"/>
      <c r="D317" s="21">
        <f t="shared" ref="D317:J317" si="69">D7+D17+D26+D35+D44+D53+D63+D73+D83+D94+D103+D113+D122+D131+D140+D149+D158+D167+D176+D185+D194+D204+D214+D224+D234+D244+D254+D264+D274+D288+D302</f>
        <v>0</v>
      </c>
      <c r="E317" s="21">
        <f t="shared" si="69"/>
        <v>0</v>
      </c>
      <c r="F317" s="21">
        <f t="shared" si="69"/>
        <v>0</v>
      </c>
      <c r="G317" s="21">
        <f t="shared" si="69"/>
        <v>0</v>
      </c>
      <c r="H317" s="21">
        <f t="shared" si="69"/>
        <v>0</v>
      </c>
      <c r="I317" s="21">
        <f t="shared" si="69"/>
        <v>0</v>
      </c>
      <c r="J317" s="21">
        <f t="shared" si="69"/>
        <v>0</v>
      </c>
      <c r="K317" s="10">
        <f t="shared" si="67"/>
        <v>0</v>
      </c>
    </row>
    <row r="318" ht="15.0" customHeight="1">
      <c r="A318" s="10" t="s">
        <v>38</v>
      </c>
      <c r="B318" s="66" t="s">
        <v>39</v>
      </c>
      <c r="C318" s="66" t="s">
        <v>40</v>
      </c>
      <c r="D318" s="21">
        <f t="shared" ref="D318:J318" si="70">D8+D18+D27+D36+D45+D54+D64+D74+D84+D95+D104+D114+D123+D132+D141+D150+D159+D168+D177+D186+D195+D205+D215+D225+D235+D245+D255+D265+D275+D289+D303</f>
        <v>17240</v>
      </c>
      <c r="E318" s="21">
        <f t="shared" si="70"/>
        <v>1740</v>
      </c>
      <c r="F318" s="21">
        <f t="shared" si="70"/>
        <v>9780</v>
      </c>
      <c r="G318" s="21">
        <f t="shared" si="70"/>
        <v>0</v>
      </c>
      <c r="H318" s="21">
        <f t="shared" si="70"/>
        <v>138690</v>
      </c>
      <c r="I318" s="21">
        <f t="shared" si="70"/>
        <v>0</v>
      </c>
      <c r="J318" s="21">
        <f t="shared" si="70"/>
        <v>8220</v>
      </c>
      <c r="K318" s="10">
        <f t="shared" si="67"/>
        <v>175670</v>
      </c>
    </row>
    <row r="319" ht="13.5" customHeight="1">
      <c r="A319" s="10" t="s">
        <v>41</v>
      </c>
      <c r="B319" s="7"/>
      <c r="C319" s="7"/>
      <c r="D319" s="21">
        <f t="shared" ref="D319:J319" si="71">D9+D19+D28+D37+D46+D55+D65+D75+D85+D96+D105+D115+D124+D133+D142+D151+D160+D169+D178+D187+D196+D206+D216+D226+D236+D246+D256+D266+D276+D290+D304</f>
        <v>16620</v>
      </c>
      <c r="E319" s="21">
        <f t="shared" si="71"/>
        <v>0</v>
      </c>
      <c r="F319" s="21">
        <f t="shared" si="71"/>
        <v>9990</v>
      </c>
      <c r="G319" s="21">
        <f t="shared" si="71"/>
        <v>0</v>
      </c>
      <c r="H319" s="21">
        <f t="shared" si="71"/>
        <v>133030</v>
      </c>
      <c r="I319" s="21">
        <f t="shared" si="71"/>
        <v>0</v>
      </c>
      <c r="J319" s="21">
        <f t="shared" si="71"/>
        <v>7850</v>
      </c>
      <c r="K319" s="10">
        <f t="shared" si="67"/>
        <v>167490</v>
      </c>
    </row>
    <row r="320" ht="13.5" customHeight="1">
      <c r="A320" s="10" t="s">
        <v>7</v>
      </c>
      <c r="B320" s="10"/>
      <c r="C320" s="10"/>
      <c r="D320" s="21">
        <f t="shared" ref="D320:K320" si="72">SUM(D314:D319)</f>
        <v>65600</v>
      </c>
      <c r="E320" s="21">
        <f t="shared" si="72"/>
        <v>4350</v>
      </c>
      <c r="F320" s="21">
        <f t="shared" si="72"/>
        <v>68580</v>
      </c>
      <c r="G320" s="21">
        <f t="shared" si="72"/>
        <v>0</v>
      </c>
      <c r="H320" s="21">
        <f t="shared" si="72"/>
        <v>367354</v>
      </c>
      <c r="I320" s="21">
        <f t="shared" si="72"/>
        <v>0</v>
      </c>
      <c r="J320" s="21">
        <f t="shared" si="72"/>
        <v>21330</v>
      </c>
      <c r="K320" s="21">
        <f t="shared" si="72"/>
        <v>527214</v>
      </c>
    </row>
    <row r="321" ht="13.5" customHeight="1">
      <c r="A321" s="10"/>
      <c r="B321" s="10"/>
      <c r="C321" s="10"/>
      <c r="D321" s="15" t="s">
        <v>2</v>
      </c>
      <c r="E321" s="10" t="s">
        <v>28</v>
      </c>
      <c r="F321" s="16" t="s">
        <v>3</v>
      </c>
      <c r="G321" s="15" t="s">
        <v>4</v>
      </c>
      <c r="H321" s="15" t="s">
        <v>5</v>
      </c>
      <c r="I321" s="15" t="s">
        <v>29</v>
      </c>
      <c r="J321" s="15" t="s">
        <v>30</v>
      </c>
      <c r="K321" s="10" t="s">
        <v>7</v>
      </c>
    </row>
    <row r="322" ht="13.5" customHeight="1">
      <c r="A322" s="10"/>
      <c r="B322" s="66" t="s">
        <v>169</v>
      </c>
      <c r="C322" s="10" t="s">
        <v>33</v>
      </c>
      <c r="D322" s="10">
        <f t="shared" ref="D322:K322" si="73">D314+D315</f>
        <v>21470</v>
      </c>
      <c r="E322" s="10">
        <f t="shared" si="73"/>
        <v>1740</v>
      </c>
      <c r="F322" s="10">
        <f t="shared" si="73"/>
        <v>33070</v>
      </c>
      <c r="G322" s="10">
        <f t="shared" si="73"/>
        <v>0</v>
      </c>
      <c r="H322" s="10">
        <f t="shared" si="73"/>
        <v>57244</v>
      </c>
      <c r="I322" s="10">
        <f t="shared" si="73"/>
        <v>0</v>
      </c>
      <c r="J322" s="10">
        <f t="shared" si="73"/>
        <v>2110</v>
      </c>
      <c r="K322" s="10">
        <f t="shared" si="73"/>
        <v>115634</v>
      </c>
      <c r="L322" s="68"/>
    </row>
    <row r="323" ht="13.5" customHeight="1">
      <c r="A323" s="10" t="s">
        <v>7</v>
      </c>
      <c r="B323" s="7"/>
      <c r="C323" s="10"/>
      <c r="D323" s="10"/>
      <c r="E323" s="10"/>
      <c r="F323" s="10"/>
      <c r="G323" s="10"/>
      <c r="H323" s="10"/>
      <c r="I323" s="10"/>
      <c r="J323" s="10"/>
      <c r="K323" s="10"/>
    </row>
    <row r="324" ht="13.5" customHeight="1">
      <c r="A324" s="10"/>
      <c r="B324" s="67">
        <v>2.0</v>
      </c>
      <c r="C324" s="15" t="s">
        <v>36</v>
      </c>
      <c r="D324" s="10">
        <f t="shared" ref="D324:J324" si="74">D316+D317</f>
        <v>10270</v>
      </c>
      <c r="E324" s="10">
        <f t="shared" si="74"/>
        <v>870</v>
      </c>
      <c r="F324" s="10">
        <f t="shared" si="74"/>
        <v>15740</v>
      </c>
      <c r="G324" s="10">
        <f t="shared" si="74"/>
        <v>0</v>
      </c>
      <c r="H324" s="10">
        <f t="shared" si="74"/>
        <v>38390</v>
      </c>
      <c r="I324" s="10">
        <f t="shared" si="74"/>
        <v>0</v>
      </c>
      <c r="J324" s="10">
        <f t="shared" si="74"/>
        <v>3150</v>
      </c>
      <c r="K324" s="10">
        <f>SUM(D324:J324)</f>
        <v>68420</v>
      </c>
    </row>
    <row r="325" ht="13.5" customHeight="1">
      <c r="A325" s="10"/>
      <c r="B325" s="67"/>
      <c r="C325" s="15"/>
      <c r="D325" s="10"/>
      <c r="E325" s="10"/>
      <c r="F325" s="10"/>
      <c r="G325" s="10"/>
      <c r="H325" s="10"/>
      <c r="I325" s="10"/>
      <c r="J325" s="10"/>
      <c r="K325" s="10"/>
    </row>
    <row r="326" ht="14.25" customHeight="1">
      <c r="A326" s="10"/>
      <c r="B326" s="66" t="s">
        <v>39</v>
      </c>
      <c r="C326" s="66" t="s">
        <v>40</v>
      </c>
      <c r="D326" s="10">
        <f t="shared" ref="D326:J326" si="75">D318+D319</f>
        <v>33860</v>
      </c>
      <c r="E326" s="10">
        <f t="shared" si="75"/>
        <v>1740</v>
      </c>
      <c r="F326" s="10">
        <f t="shared" si="75"/>
        <v>19770</v>
      </c>
      <c r="G326" s="10">
        <f t="shared" si="75"/>
        <v>0</v>
      </c>
      <c r="H326" s="10">
        <f t="shared" si="75"/>
        <v>271720</v>
      </c>
      <c r="I326" s="10">
        <f t="shared" si="75"/>
        <v>0</v>
      </c>
      <c r="J326" s="10">
        <f t="shared" si="75"/>
        <v>16070</v>
      </c>
      <c r="K326" s="10">
        <f>SUM(D326:J326)</f>
        <v>343160</v>
      </c>
    </row>
    <row r="327" ht="13.5" customHeight="1">
      <c r="A327" s="10"/>
      <c r="B327" s="7"/>
      <c r="C327" s="7"/>
      <c r="D327" s="10"/>
      <c r="E327" s="10"/>
      <c r="F327" s="10"/>
      <c r="G327" s="10"/>
      <c r="H327" s="10"/>
      <c r="I327" s="10"/>
      <c r="J327" s="10"/>
      <c r="K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f>SUM(K322:K327)</f>
        <v>527214</v>
      </c>
    </row>
    <row r="329" ht="13.5" customHeight="1">
      <c r="E329" s="43" t="s">
        <v>170</v>
      </c>
    </row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4">
    <mergeCell ref="B104:B105"/>
    <mergeCell ref="C104:C105"/>
    <mergeCell ref="A108:D108"/>
    <mergeCell ref="B110:B111"/>
    <mergeCell ref="B114:B115"/>
    <mergeCell ref="C114:C115"/>
    <mergeCell ref="A117:D117"/>
    <mergeCell ref="B119:B120"/>
    <mergeCell ref="B123:B124"/>
    <mergeCell ref="C123:C124"/>
    <mergeCell ref="A126:D126"/>
    <mergeCell ref="B128:B129"/>
    <mergeCell ref="C132:C133"/>
    <mergeCell ref="A135:D135"/>
    <mergeCell ref="B132:B133"/>
    <mergeCell ref="B137:B138"/>
    <mergeCell ref="B141:B142"/>
    <mergeCell ref="C141:C142"/>
    <mergeCell ref="A144:D144"/>
    <mergeCell ref="B146:B147"/>
    <mergeCell ref="B150:B151"/>
    <mergeCell ref="C150:C151"/>
    <mergeCell ref="A153:D153"/>
    <mergeCell ref="B155:B156"/>
    <mergeCell ref="B159:B160"/>
    <mergeCell ref="C159:C160"/>
    <mergeCell ref="A162:D162"/>
    <mergeCell ref="B164:B165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9:D89"/>
    <mergeCell ref="B91:B92"/>
    <mergeCell ref="B95:B96"/>
    <mergeCell ref="C95:C96"/>
    <mergeCell ref="A98:D98"/>
    <mergeCell ref="B100:B101"/>
    <mergeCell ref="B168:B169"/>
    <mergeCell ref="C168:C169"/>
    <mergeCell ref="A171:D171"/>
    <mergeCell ref="B173:B174"/>
    <mergeCell ref="B177:B178"/>
    <mergeCell ref="C177:C178"/>
    <mergeCell ref="A180:D180"/>
    <mergeCell ref="B291:B292"/>
    <mergeCell ref="B293:B294"/>
    <mergeCell ref="C293:C294"/>
    <mergeCell ref="B279:B280"/>
    <mergeCell ref="C279:C280"/>
    <mergeCell ref="A283:D283"/>
    <mergeCell ref="B285:B286"/>
    <mergeCell ref="C289:C290"/>
    <mergeCell ref="C291:C292"/>
    <mergeCell ref="A297:D297"/>
    <mergeCell ref="B182:B183"/>
    <mergeCell ref="B186:B187"/>
    <mergeCell ref="C186:C187"/>
    <mergeCell ref="A189:D189"/>
    <mergeCell ref="B191:B192"/>
    <mergeCell ref="C195:C196"/>
    <mergeCell ref="A199:D199"/>
    <mergeCell ref="B195:B196"/>
    <mergeCell ref="B201:B202"/>
    <mergeCell ref="B205:B206"/>
    <mergeCell ref="C205:C206"/>
    <mergeCell ref="A209:D209"/>
    <mergeCell ref="B211:B212"/>
    <mergeCell ref="B215:B216"/>
    <mergeCell ref="C215:C216"/>
    <mergeCell ref="A219:D219"/>
    <mergeCell ref="B221:B222"/>
    <mergeCell ref="B225:B226"/>
    <mergeCell ref="C225:C226"/>
    <mergeCell ref="A229:D229"/>
    <mergeCell ref="B231:B232"/>
    <mergeCell ref="B235:B236"/>
    <mergeCell ref="C235:C236"/>
    <mergeCell ref="A239:D239"/>
    <mergeCell ref="B241:B242"/>
    <mergeCell ref="B245:B246"/>
    <mergeCell ref="C245:C246"/>
    <mergeCell ref="A249:D249"/>
    <mergeCell ref="B251:B252"/>
    <mergeCell ref="B255:B256"/>
    <mergeCell ref="C255:C256"/>
    <mergeCell ref="A259:D259"/>
    <mergeCell ref="B261:B262"/>
    <mergeCell ref="B265:B266"/>
    <mergeCell ref="C265:C266"/>
    <mergeCell ref="A268:D268"/>
    <mergeCell ref="A269:D269"/>
    <mergeCell ref="B271:B272"/>
    <mergeCell ref="B275:B276"/>
    <mergeCell ref="C275:C276"/>
    <mergeCell ref="B277:B278"/>
    <mergeCell ref="C277:C278"/>
    <mergeCell ref="C307:C308"/>
    <mergeCell ref="A312:D312"/>
    <mergeCell ref="B314:B315"/>
    <mergeCell ref="B318:B319"/>
    <mergeCell ref="C318:C319"/>
    <mergeCell ref="B322:B323"/>
    <mergeCell ref="B326:B327"/>
    <mergeCell ref="C326:C327"/>
    <mergeCell ref="B289:B290"/>
    <mergeCell ref="B299:B300"/>
    <mergeCell ref="B303:B304"/>
    <mergeCell ref="C303:C304"/>
    <mergeCell ref="B305:B306"/>
    <mergeCell ref="C305:C306"/>
    <mergeCell ref="B307:B308"/>
  </mergeCells>
  <printOptions/>
  <pageMargins bottom="0.984251968503937" footer="0.0" header="0.0" left="0.748031496062992" right="0.31496062992126" top="0.43307086614173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171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28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 t="s">
        <v>172</v>
      </c>
      <c r="C4" s="20" t="s">
        <v>33</v>
      </c>
      <c r="D4" s="21">
        <v>400.0</v>
      </c>
      <c r="E4" s="10">
        <v>60.0</v>
      </c>
      <c r="F4" s="10">
        <v>630.0</v>
      </c>
      <c r="G4" s="22"/>
      <c r="H4" s="21">
        <v>1070.0</v>
      </c>
      <c r="I4" s="23"/>
      <c r="J4" s="24">
        <v>160.0</v>
      </c>
      <c r="K4" s="25">
        <f t="shared" ref="K4:K10" si="1">SUM(D4:J4)</f>
        <v>2320</v>
      </c>
    </row>
    <row r="5" ht="15.0" customHeight="1">
      <c r="A5" s="26" t="s">
        <v>34</v>
      </c>
      <c r="B5" s="27"/>
      <c r="C5" s="28">
        <v>99.0</v>
      </c>
      <c r="D5" s="21"/>
      <c r="E5" s="10"/>
      <c r="F5" s="10"/>
      <c r="G5" s="22"/>
      <c r="H5" s="21"/>
      <c r="I5" s="29"/>
      <c r="J5" s="29"/>
      <c r="K5" s="25">
        <f t="shared" si="1"/>
        <v>0</v>
      </c>
    </row>
    <row r="6" ht="13.5" customHeight="1">
      <c r="A6" s="18" t="s">
        <v>35</v>
      </c>
      <c r="B6" s="30">
        <v>2.0</v>
      </c>
      <c r="C6" s="31" t="s">
        <v>36</v>
      </c>
      <c r="D6" s="21">
        <v>400.0</v>
      </c>
      <c r="E6" s="10">
        <v>30.0</v>
      </c>
      <c r="F6" s="10">
        <v>690.0</v>
      </c>
      <c r="G6" s="32"/>
      <c r="H6" s="21">
        <v>1650.0</v>
      </c>
      <c r="I6" s="22"/>
      <c r="J6" s="22">
        <v>130.0</v>
      </c>
      <c r="K6" s="25">
        <f t="shared" si="1"/>
        <v>2900</v>
      </c>
    </row>
    <row r="7" ht="13.5" customHeight="1">
      <c r="A7" s="26" t="s">
        <v>37</v>
      </c>
      <c r="B7" s="33"/>
      <c r="C7" s="34">
        <v>106.0</v>
      </c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580.0</v>
      </c>
      <c r="E8" s="10">
        <v>60.0</v>
      </c>
      <c r="F8" s="10">
        <v>710.0</v>
      </c>
      <c r="G8" s="32"/>
      <c r="H8" s="21">
        <v>4250.0</v>
      </c>
      <c r="I8" s="22"/>
      <c r="J8" s="22">
        <v>290.0</v>
      </c>
      <c r="K8" s="25">
        <f t="shared" si="1"/>
        <v>5890</v>
      </c>
    </row>
    <row r="9" ht="15.0" customHeight="1">
      <c r="A9" s="35" t="s">
        <v>41</v>
      </c>
      <c r="B9" s="27"/>
      <c r="C9" s="27"/>
      <c r="D9" s="21">
        <v>530.0</v>
      </c>
      <c r="E9" s="36"/>
      <c r="F9" s="37">
        <v>630.0</v>
      </c>
      <c r="G9" s="38"/>
      <c r="H9" s="21">
        <v>4300.0</v>
      </c>
      <c r="I9" s="29"/>
      <c r="J9" s="39">
        <v>270.0</v>
      </c>
      <c r="K9" s="25">
        <f t="shared" si="1"/>
        <v>5730</v>
      </c>
    </row>
    <row r="10" ht="13.5" customHeight="1">
      <c r="A10" s="40" t="s">
        <v>7</v>
      </c>
      <c r="B10" s="40"/>
      <c r="C10" s="40">
        <v>547.0</v>
      </c>
      <c r="D10" s="10">
        <f t="shared" ref="D10:J10" si="2">SUM(D4:D9)</f>
        <v>1910</v>
      </c>
      <c r="E10" s="10">
        <f t="shared" si="2"/>
        <v>150</v>
      </c>
      <c r="F10" s="10">
        <f t="shared" si="2"/>
        <v>2660</v>
      </c>
      <c r="G10" s="10">
        <f t="shared" si="2"/>
        <v>0</v>
      </c>
      <c r="H10" s="10">
        <f t="shared" si="2"/>
        <v>11270</v>
      </c>
      <c r="I10" s="10">
        <f t="shared" si="2"/>
        <v>0</v>
      </c>
      <c r="J10" s="10">
        <f t="shared" si="2"/>
        <v>850</v>
      </c>
      <c r="K10" s="25">
        <f t="shared" si="1"/>
        <v>16840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173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 t="s">
        <v>172</v>
      </c>
      <c r="C14" s="20" t="s">
        <v>33</v>
      </c>
      <c r="D14" s="21">
        <v>420.0</v>
      </c>
      <c r="E14" s="10">
        <v>60.0</v>
      </c>
      <c r="F14" s="36">
        <v>740.0</v>
      </c>
      <c r="G14" s="32"/>
      <c r="H14" s="21">
        <v>1060.0</v>
      </c>
      <c r="I14" s="23"/>
      <c r="J14" s="24">
        <v>80.0</v>
      </c>
      <c r="K14" s="25">
        <f t="shared" ref="K14:K20" si="3">SUM(D14:J14)</f>
        <v>2360</v>
      </c>
    </row>
    <row r="15" ht="13.5" customHeight="1">
      <c r="A15" s="26" t="s">
        <v>34</v>
      </c>
      <c r="B15" s="27"/>
      <c r="C15" s="28">
        <v>99.0</v>
      </c>
      <c r="D15" s="21">
        <v>220.0</v>
      </c>
      <c r="E15" s="10"/>
      <c r="F15" s="36">
        <v>260.0</v>
      </c>
      <c r="G15" s="22"/>
      <c r="H15" s="21">
        <v>240.0</v>
      </c>
      <c r="I15" s="29"/>
      <c r="J15" s="29"/>
      <c r="K15" s="25">
        <f t="shared" si="3"/>
        <v>720</v>
      </c>
    </row>
    <row r="16" ht="13.5" customHeight="1">
      <c r="A16" s="18" t="s">
        <v>35</v>
      </c>
      <c r="B16" s="30">
        <v>2.0</v>
      </c>
      <c r="C16" s="31" t="s">
        <v>36</v>
      </c>
      <c r="D16" s="21">
        <v>420.0</v>
      </c>
      <c r="E16" s="10">
        <v>30.0</v>
      </c>
      <c r="F16" s="36">
        <v>720.0</v>
      </c>
      <c r="G16" s="32"/>
      <c r="H16" s="21">
        <v>1620.0</v>
      </c>
      <c r="I16" s="23"/>
      <c r="J16" s="24">
        <v>70.0</v>
      </c>
      <c r="K16" s="25">
        <f t="shared" si="3"/>
        <v>2860</v>
      </c>
    </row>
    <row r="17" ht="13.5" customHeight="1">
      <c r="A17" s="26" t="s">
        <v>37</v>
      </c>
      <c r="B17" s="33"/>
      <c r="C17" s="34">
        <v>106.0</v>
      </c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550.0</v>
      </c>
      <c r="E18" s="10">
        <v>60.0</v>
      </c>
      <c r="F18" s="41">
        <v>530.0</v>
      </c>
      <c r="G18" s="32"/>
      <c r="H18" s="21">
        <v>4460.0</v>
      </c>
      <c r="I18" s="23"/>
      <c r="J18" s="24">
        <v>260.0</v>
      </c>
      <c r="K18" s="25">
        <f t="shared" si="3"/>
        <v>5860</v>
      </c>
    </row>
    <row r="19" ht="13.5" customHeight="1">
      <c r="A19" s="35" t="s">
        <v>41</v>
      </c>
      <c r="B19" s="27"/>
      <c r="C19" s="27"/>
      <c r="D19" s="21">
        <v>550.0</v>
      </c>
      <c r="E19" s="36"/>
      <c r="F19" s="37">
        <v>700.0</v>
      </c>
      <c r="G19" s="38"/>
      <c r="H19" s="21">
        <v>4210.0</v>
      </c>
      <c r="I19" s="29"/>
      <c r="J19" s="39">
        <v>260.0</v>
      </c>
      <c r="K19" s="25">
        <f t="shared" si="3"/>
        <v>5720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2160</v>
      </c>
      <c r="E20" s="10">
        <f t="shared" si="4"/>
        <v>150</v>
      </c>
      <c r="F20" s="10">
        <f t="shared" si="4"/>
        <v>2950</v>
      </c>
      <c r="G20" s="10">
        <f t="shared" si="4"/>
        <v>0</v>
      </c>
      <c r="H20" s="10">
        <f t="shared" si="4"/>
        <v>11590</v>
      </c>
      <c r="I20" s="10">
        <f t="shared" si="4"/>
        <v>0</v>
      </c>
      <c r="J20" s="10">
        <f t="shared" si="4"/>
        <v>670</v>
      </c>
      <c r="K20" s="25">
        <f t="shared" si="3"/>
        <v>17520</v>
      </c>
    </row>
    <row r="21" ht="13.5" customHeight="1">
      <c r="A21" s="13" t="s">
        <v>174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 t="s">
        <v>172</v>
      </c>
      <c r="C23" s="20" t="s">
        <v>33</v>
      </c>
      <c r="D23" s="21">
        <v>490.0</v>
      </c>
      <c r="E23" s="10">
        <v>60.0</v>
      </c>
      <c r="F23" s="36">
        <v>700.0</v>
      </c>
      <c r="G23" s="32"/>
      <c r="H23" s="21">
        <v>830.0</v>
      </c>
      <c r="I23" s="23"/>
      <c r="J23" s="24">
        <v>100.0</v>
      </c>
      <c r="K23" s="25">
        <f t="shared" ref="K23:K29" si="5">SUM(D23:J23)</f>
        <v>2180</v>
      </c>
    </row>
    <row r="24" ht="13.5" customHeight="1">
      <c r="A24" s="26" t="s">
        <v>34</v>
      </c>
      <c r="B24" s="27"/>
      <c r="C24" s="28">
        <v>99.0</v>
      </c>
      <c r="D24" s="21">
        <v>190.0</v>
      </c>
      <c r="E24" s="10"/>
      <c r="F24" s="36">
        <v>450.0</v>
      </c>
      <c r="G24" s="22"/>
      <c r="H24" s="21">
        <v>230.0</v>
      </c>
      <c r="I24" s="29"/>
      <c r="J24" s="29"/>
      <c r="K24" s="25">
        <f t="shared" si="5"/>
        <v>870</v>
      </c>
    </row>
    <row r="25" ht="13.5" customHeight="1">
      <c r="A25" s="18" t="s">
        <v>35</v>
      </c>
      <c r="B25" s="30">
        <v>2.0</v>
      </c>
      <c r="C25" s="31" t="s">
        <v>36</v>
      </c>
      <c r="D25" s="21">
        <v>410.0</v>
      </c>
      <c r="E25" s="10">
        <v>30.0</v>
      </c>
      <c r="F25" s="41">
        <v>650.0</v>
      </c>
      <c r="G25" s="32"/>
      <c r="H25" s="21">
        <v>1640.0</v>
      </c>
      <c r="I25" s="23"/>
      <c r="J25" s="24">
        <v>100.0</v>
      </c>
      <c r="K25" s="25">
        <f t="shared" si="5"/>
        <v>2830</v>
      </c>
    </row>
    <row r="26" ht="13.5" customHeight="1">
      <c r="A26" s="26" t="s">
        <v>37</v>
      </c>
      <c r="B26" s="33"/>
      <c r="C26" s="34">
        <v>106.0</v>
      </c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550.0</v>
      </c>
      <c r="E27" s="10">
        <v>60.0</v>
      </c>
      <c r="F27" s="41">
        <v>650.0</v>
      </c>
      <c r="G27" s="32"/>
      <c r="H27" s="21">
        <v>4220.0</v>
      </c>
      <c r="I27" s="23"/>
      <c r="J27" s="24">
        <v>280.0</v>
      </c>
      <c r="K27" s="25">
        <f t="shared" si="5"/>
        <v>5760</v>
      </c>
    </row>
    <row r="28" ht="13.5" customHeight="1">
      <c r="A28" s="35" t="s">
        <v>41</v>
      </c>
      <c r="B28" s="27"/>
      <c r="C28" s="27"/>
      <c r="D28" s="21">
        <v>540.0</v>
      </c>
      <c r="E28" s="36"/>
      <c r="F28" s="37">
        <v>370.0</v>
      </c>
      <c r="G28" s="22"/>
      <c r="H28" s="21">
        <v>4680.0</v>
      </c>
      <c r="I28" s="29"/>
      <c r="J28" s="29">
        <v>260.0</v>
      </c>
      <c r="K28" s="25">
        <f t="shared" si="5"/>
        <v>5850</v>
      </c>
    </row>
    <row r="29" ht="13.5" customHeight="1">
      <c r="A29" s="40" t="s">
        <v>7</v>
      </c>
      <c r="B29" s="40"/>
      <c r="C29" s="40">
        <v>547.0</v>
      </c>
      <c r="D29" s="10">
        <f t="shared" ref="D29:J29" si="6">SUM(D23:D28)</f>
        <v>2180</v>
      </c>
      <c r="E29" s="10">
        <f t="shared" si="6"/>
        <v>150</v>
      </c>
      <c r="F29" s="10">
        <f t="shared" si="6"/>
        <v>2820</v>
      </c>
      <c r="G29" s="10">
        <f t="shared" si="6"/>
        <v>0</v>
      </c>
      <c r="H29" s="10">
        <f t="shared" si="6"/>
        <v>11600</v>
      </c>
      <c r="I29" s="10">
        <f t="shared" si="6"/>
        <v>0</v>
      </c>
      <c r="J29" s="10">
        <f t="shared" si="6"/>
        <v>740</v>
      </c>
      <c r="K29" s="25">
        <f t="shared" si="5"/>
        <v>17490</v>
      </c>
    </row>
    <row r="30" ht="13.5" customHeight="1">
      <c r="A30" s="13" t="s">
        <v>175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 t="s">
        <v>176</v>
      </c>
      <c r="C32" s="20" t="s">
        <v>33</v>
      </c>
      <c r="D32" s="21">
        <v>530.0</v>
      </c>
      <c r="E32" s="10">
        <v>60.0</v>
      </c>
      <c r="F32" s="36">
        <v>850.0</v>
      </c>
      <c r="G32" s="32"/>
      <c r="H32" s="21">
        <v>1220.0</v>
      </c>
      <c r="I32" s="23"/>
      <c r="J32" s="24">
        <v>200.0</v>
      </c>
      <c r="K32" s="25">
        <f t="shared" ref="K32:K37" si="7">SUM(D32:J32)</f>
        <v>2860</v>
      </c>
    </row>
    <row r="33" ht="13.5" customHeight="1">
      <c r="A33" s="26" t="s">
        <v>34</v>
      </c>
      <c r="B33" s="27"/>
      <c r="C33" s="28">
        <v>206.0</v>
      </c>
      <c r="D33" s="21">
        <v>450.0</v>
      </c>
      <c r="E33" s="10"/>
      <c r="F33" s="36">
        <v>400.0</v>
      </c>
      <c r="G33" s="22"/>
      <c r="H33" s="21">
        <v>450.0</v>
      </c>
      <c r="I33" s="21"/>
      <c r="J33" s="29">
        <v>50.0</v>
      </c>
      <c r="K33" s="25">
        <f t="shared" si="7"/>
        <v>1350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7"/>
        <v>0</v>
      </c>
    </row>
    <row r="35" ht="13.5" customHeight="1">
      <c r="A35" s="26" t="s">
        <v>37</v>
      </c>
      <c r="B35" s="33"/>
      <c r="C35" s="34">
        <v>106.0</v>
      </c>
      <c r="D35" s="21"/>
      <c r="E35" s="10"/>
      <c r="F35" s="36"/>
      <c r="G35" s="38"/>
      <c r="H35" s="21"/>
      <c r="I35" s="21"/>
      <c r="J35" s="29"/>
      <c r="K35" s="25">
        <f t="shared" si="7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500.0</v>
      </c>
      <c r="E36" s="10">
        <v>60.0</v>
      </c>
      <c r="F36" s="41">
        <v>650.0</v>
      </c>
      <c r="G36" s="32"/>
      <c r="H36" s="21">
        <v>4190.0</v>
      </c>
      <c r="I36" s="21"/>
      <c r="J36" s="24">
        <v>260.0</v>
      </c>
      <c r="K36" s="25">
        <f t="shared" si="7"/>
        <v>5660</v>
      </c>
    </row>
    <row r="37" ht="13.5" customHeight="1">
      <c r="A37" s="35" t="s">
        <v>41</v>
      </c>
      <c r="B37" s="27"/>
      <c r="C37" s="27"/>
      <c r="D37" s="21">
        <v>550.0</v>
      </c>
      <c r="E37" s="36"/>
      <c r="F37" s="37">
        <v>800.0</v>
      </c>
      <c r="G37" s="22"/>
      <c r="H37" s="21">
        <v>3650.0</v>
      </c>
      <c r="I37" s="29"/>
      <c r="J37" s="39">
        <v>200.0</v>
      </c>
      <c r="K37" s="25">
        <f t="shared" si="7"/>
        <v>5200</v>
      </c>
    </row>
    <row r="38" ht="13.5" customHeight="1">
      <c r="A38" s="40" t="s">
        <v>7</v>
      </c>
      <c r="B38" s="40"/>
      <c r="C38" s="40">
        <v>547.0</v>
      </c>
      <c r="D38" s="10">
        <f t="shared" ref="D38:K38" si="8">SUM(D32:D37)</f>
        <v>2030</v>
      </c>
      <c r="E38" s="10">
        <f t="shared" si="8"/>
        <v>120</v>
      </c>
      <c r="F38" s="10">
        <f t="shared" si="8"/>
        <v>2700</v>
      </c>
      <c r="G38" s="10">
        <f t="shared" si="8"/>
        <v>0</v>
      </c>
      <c r="H38" s="10">
        <f t="shared" si="8"/>
        <v>9510</v>
      </c>
      <c r="I38" s="10">
        <f t="shared" si="8"/>
        <v>0</v>
      </c>
      <c r="J38" s="10">
        <f t="shared" si="8"/>
        <v>710</v>
      </c>
      <c r="K38" s="10">
        <f t="shared" si="8"/>
        <v>15070</v>
      </c>
    </row>
    <row r="39" ht="13.5" customHeight="1">
      <c r="A39" s="42" t="s">
        <v>177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 t="s">
        <v>176</v>
      </c>
      <c r="C41" s="20" t="s">
        <v>33</v>
      </c>
      <c r="D41" s="21">
        <v>520.0</v>
      </c>
      <c r="E41" s="10">
        <v>60.0</v>
      </c>
      <c r="F41" s="36">
        <v>900.0</v>
      </c>
      <c r="G41" s="32"/>
      <c r="H41" s="21">
        <v>1020.0</v>
      </c>
      <c r="I41" s="21"/>
      <c r="J41" s="24">
        <v>80.0</v>
      </c>
      <c r="K41" s="25">
        <f t="shared" ref="K41:K47" si="9">SUM(D41:J41)</f>
        <v>2580</v>
      </c>
    </row>
    <row r="42" ht="13.5" customHeight="1">
      <c r="A42" s="26" t="s">
        <v>34</v>
      </c>
      <c r="B42" s="27"/>
      <c r="C42" s="28">
        <v>206.0</v>
      </c>
      <c r="D42" s="21"/>
      <c r="E42" s="10"/>
      <c r="F42" s="36"/>
      <c r="G42" s="22"/>
      <c r="H42" s="21"/>
      <c r="I42" s="21"/>
      <c r="J42" s="29"/>
      <c r="K42" s="25">
        <f t="shared" si="9"/>
        <v>0</v>
      </c>
    </row>
    <row r="43" ht="13.5" customHeight="1">
      <c r="A43" s="18" t="s">
        <v>35</v>
      </c>
      <c r="B43" s="30">
        <v>2.0</v>
      </c>
      <c r="C43" s="31" t="s">
        <v>36</v>
      </c>
      <c r="D43" s="21">
        <v>540.0</v>
      </c>
      <c r="E43" s="10">
        <v>60.0</v>
      </c>
      <c r="F43" s="36">
        <v>830.0</v>
      </c>
      <c r="G43" s="32"/>
      <c r="H43" s="21">
        <v>1470.0</v>
      </c>
      <c r="I43" s="21"/>
      <c r="J43" s="24">
        <v>100.0</v>
      </c>
      <c r="K43" s="25">
        <f t="shared" si="9"/>
        <v>3000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9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430.0</v>
      </c>
      <c r="E45" s="10">
        <v>60.0</v>
      </c>
      <c r="F45" s="41"/>
      <c r="G45" s="32">
        <v>5120.0</v>
      </c>
      <c r="H45" s="21"/>
      <c r="I45" s="21">
        <v>150.0</v>
      </c>
      <c r="J45" s="24"/>
      <c r="K45" s="25">
        <f t="shared" si="9"/>
        <v>5760</v>
      </c>
    </row>
    <row r="46" ht="13.5" customHeight="1">
      <c r="A46" s="35" t="s">
        <v>41</v>
      </c>
      <c r="B46" s="27"/>
      <c r="C46" s="27"/>
      <c r="D46" s="21">
        <v>450.0</v>
      </c>
      <c r="E46" s="36"/>
      <c r="F46" s="37">
        <v>340.0</v>
      </c>
      <c r="G46" s="38"/>
      <c r="H46" s="21">
        <v>4930.0</v>
      </c>
      <c r="I46" s="21"/>
      <c r="J46" s="39">
        <v>120.0</v>
      </c>
      <c r="K46" s="25">
        <f t="shared" si="9"/>
        <v>5840</v>
      </c>
    </row>
    <row r="47" ht="13.5" customHeight="1">
      <c r="A47" s="40" t="s">
        <v>7</v>
      </c>
      <c r="B47" s="40"/>
      <c r="C47" s="40">
        <v>547.0</v>
      </c>
      <c r="D47" s="10">
        <f t="shared" ref="D47:J47" si="10">SUM(D41:D46)</f>
        <v>1940</v>
      </c>
      <c r="E47" s="10">
        <f t="shared" si="10"/>
        <v>180</v>
      </c>
      <c r="F47" s="10">
        <f t="shared" si="10"/>
        <v>2070</v>
      </c>
      <c r="G47" s="10">
        <f t="shared" si="10"/>
        <v>5120</v>
      </c>
      <c r="H47" s="10">
        <f t="shared" si="10"/>
        <v>7420</v>
      </c>
      <c r="I47" s="10">
        <f t="shared" si="10"/>
        <v>150</v>
      </c>
      <c r="J47" s="10">
        <f t="shared" si="10"/>
        <v>300</v>
      </c>
      <c r="K47" s="25">
        <f t="shared" si="9"/>
        <v>17180</v>
      </c>
    </row>
    <row r="48" ht="13.5" customHeight="1">
      <c r="A48" s="13" t="s">
        <v>178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 t="s">
        <v>176</v>
      </c>
      <c r="C50" s="20" t="s">
        <v>33</v>
      </c>
      <c r="D50" s="21">
        <v>510.0</v>
      </c>
      <c r="E50" s="10">
        <v>60.0</v>
      </c>
      <c r="F50" s="36">
        <v>680.0</v>
      </c>
      <c r="G50" s="32"/>
      <c r="H50" s="21">
        <v>1110.0</v>
      </c>
      <c r="I50" s="21"/>
      <c r="J50" s="24">
        <v>50.0</v>
      </c>
      <c r="K50" s="25">
        <f t="shared" ref="K50:K56" si="11">SUM(D50:J50)</f>
        <v>2410</v>
      </c>
    </row>
    <row r="51" ht="13.5" customHeight="1">
      <c r="A51" s="26" t="s">
        <v>34</v>
      </c>
      <c r="B51" s="27"/>
      <c r="C51" s="28">
        <v>206.0</v>
      </c>
      <c r="D51" s="21"/>
      <c r="E51" s="10"/>
      <c r="F51" s="36"/>
      <c r="G51" s="22"/>
      <c r="H51" s="21"/>
      <c r="I51" s="21"/>
      <c r="J51" s="29"/>
      <c r="K51" s="25">
        <f t="shared" si="11"/>
        <v>0</v>
      </c>
    </row>
    <row r="52" ht="13.5" customHeight="1">
      <c r="A52" s="18" t="s">
        <v>35</v>
      </c>
      <c r="B52" s="30">
        <v>2.0</v>
      </c>
      <c r="C52" s="31" t="s">
        <v>36</v>
      </c>
      <c r="D52" s="21">
        <v>520.0</v>
      </c>
      <c r="E52" s="10">
        <v>60.0</v>
      </c>
      <c r="F52" s="36">
        <v>1060.0</v>
      </c>
      <c r="G52" s="38"/>
      <c r="H52" s="21">
        <v>1350.0</v>
      </c>
      <c r="I52" s="21"/>
      <c r="J52" s="29">
        <v>110.0</v>
      </c>
      <c r="K52" s="25">
        <f t="shared" si="11"/>
        <v>3100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1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480.0</v>
      </c>
      <c r="E54" s="10">
        <v>60.0</v>
      </c>
      <c r="F54" s="41">
        <v>380.0</v>
      </c>
      <c r="G54" s="32"/>
      <c r="H54" s="21">
        <v>4940.0</v>
      </c>
      <c r="I54" s="21"/>
      <c r="J54" s="24">
        <v>130.0</v>
      </c>
      <c r="K54" s="25">
        <f t="shared" si="11"/>
        <v>5990</v>
      </c>
    </row>
    <row r="55" ht="13.5" customHeight="1">
      <c r="A55" s="35" t="s">
        <v>41</v>
      </c>
      <c r="B55" s="27"/>
      <c r="C55" s="27"/>
      <c r="D55" s="21">
        <v>440.0</v>
      </c>
      <c r="E55" s="36"/>
      <c r="F55" s="37">
        <v>430.0</v>
      </c>
      <c r="G55" s="38"/>
      <c r="H55" s="21">
        <v>4870.0</v>
      </c>
      <c r="I55" s="21"/>
      <c r="J55" s="39">
        <v>120.0</v>
      </c>
      <c r="K55" s="25">
        <f t="shared" si="11"/>
        <v>5860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2">SUM(D50:D55)</f>
        <v>1950</v>
      </c>
      <c r="E56" s="10">
        <f t="shared" si="12"/>
        <v>180</v>
      </c>
      <c r="F56" s="10">
        <f t="shared" si="12"/>
        <v>2550</v>
      </c>
      <c r="G56" s="10">
        <f t="shared" si="12"/>
        <v>0</v>
      </c>
      <c r="H56" s="10">
        <f t="shared" si="12"/>
        <v>12270</v>
      </c>
      <c r="I56" s="10">
        <f t="shared" si="12"/>
        <v>0</v>
      </c>
      <c r="J56" s="10">
        <f t="shared" si="12"/>
        <v>410</v>
      </c>
      <c r="K56" s="25">
        <f t="shared" si="11"/>
        <v>17360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179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 t="s">
        <v>172</v>
      </c>
      <c r="C60" s="20" t="s">
        <v>33</v>
      </c>
      <c r="D60" s="21">
        <v>530.0</v>
      </c>
      <c r="E60" s="10">
        <v>60.0</v>
      </c>
      <c r="F60" s="36">
        <v>870.0</v>
      </c>
      <c r="G60" s="21"/>
      <c r="H60" s="10">
        <v>780.0</v>
      </c>
      <c r="I60" s="10"/>
      <c r="J60" s="24">
        <v>100.0</v>
      </c>
      <c r="K60" s="25">
        <f t="shared" ref="K60:K66" si="13">SUM(D60:J60)</f>
        <v>2340</v>
      </c>
    </row>
    <row r="61" ht="13.5" customHeight="1">
      <c r="A61" s="26" t="s">
        <v>34</v>
      </c>
      <c r="B61" s="27"/>
      <c r="C61" s="28">
        <v>99.0</v>
      </c>
      <c r="D61" s="21"/>
      <c r="E61" s="10"/>
      <c r="F61" s="36"/>
      <c r="G61" s="21"/>
      <c r="H61" s="10"/>
      <c r="I61" s="10"/>
      <c r="J61" s="29"/>
      <c r="K61" s="25">
        <f t="shared" si="13"/>
        <v>0</v>
      </c>
    </row>
    <row r="62" ht="13.5" customHeight="1">
      <c r="A62" s="18" t="s">
        <v>35</v>
      </c>
      <c r="B62" s="30">
        <v>2.0</v>
      </c>
      <c r="C62" s="31" t="s">
        <v>36</v>
      </c>
      <c r="D62" s="21">
        <v>540.0</v>
      </c>
      <c r="E62" s="10">
        <v>60.0</v>
      </c>
      <c r="F62" s="36">
        <v>1100.0</v>
      </c>
      <c r="G62" s="21"/>
      <c r="H62" s="10">
        <v>1230.0</v>
      </c>
      <c r="I62" s="10"/>
      <c r="J62" s="24">
        <v>170.0</v>
      </c>
      <c r="K62" s="25">
        <f t="shared" si="13"/>
        <v>3100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3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440.0</v>
      </c>
      <c r="E64" s="10">
        <v>60.0</v>
      </c>
      <c r="F64" s="43">
        <v>390.0</v>
      </c>
      <c r="G64" s="21"/>
      <c r="H64" s="10">
        <v>5000.0</v>
      </c>
      <c r="I64" s="10"/>
      <c r="J64" s="24">
        <v>170.0</v>
      </c>
      <c r="K64" s="25">
        <f t="shared" si="13"/>
        <v>6060</v>
      </c>
    </row>
    <row r="65" ht="13.5" customHeight="1">
      <c r="A65" s="35" t="s">
        <v>41</v>
      </c>
      <c r="B65" s="27"/>
      <c r="C65" s="27"/>
      <c r="D65" s="21">
        <v>420.0</v>
      </c>
      <c r="E65" s="36"/>
      <c r="F65" s="36">
        <v>400.0</v>
      </c>
      <c r="G65" s="21"/>
      <c r="H65" s="10">
        <v>4950.0</v>
      </c>
      <c r="I65" s="10"/>
      <c r="J65" s="39">
        <v>130.0</v>
      </c>
      <c r="K65" s="25">
        <f t="shared" si="13"/>
        <v>5900</v>
      </c>
    </row>
    <row r="66" ht="13.5" customHeight="1">
      <c r="A66" s="40" t="s">
        <v>7</v>
      </c>
      <c r="B66" s="40"/>
      <c r="C66" s="40">
        <v>547.0</v>
      </c>
      <c r="D66" s="10">
        <f t="shared" ref="D66:J66" si="14">SUM(D60:D65)</f>
        <v>1930</v>
      </c>
      <c r="E66" s="10">
        <f t="shared" si="14"/>
        <v>180</v>
      </c>
      <c r="F66" s="10">
        <f t="shared" si="14"/>
        <v>2760</v>
      </c>
      <c r="G66" s="10">
        <f t="shared" si="14"/>
        <v>0</v>
      </c>
      <c r="H66" s="10">
        <f t="shared" si="14"/>
        <v>11960</v>
      </c>
      <c r="I66" s="10">
        <f t="shared" si="14"/>
        <v>0</v>
      </c>
      <c r="J66" s="10">
        <f t="shared" si="14"/>
        <v>570</v>
      </c>
      <c r="K66" s="25">
        <f t="shared" si="13"/>
        <v>17400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180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 t="s">
        <v>172</v>
      </c>
      <c r="C70" s="20" t="s">
        <v>33</v>
      </c>
      <c r="D70" s="21">
        <v>520.0</v>
      </c>
      <c r="E70" s="10">
        <v>60.0</v>
      </c>
      <c r="F70" s="36">
        <v>930.0</v>
      </c>
      <c r="G70" s="21"/>
      <c r="H70" s="10">
        <v>910.0</v>
      </c>
      <c r="I70" s="10"/>
      <c r="J70" s="24">
        <v>70.0</v>
      </c>
      <c r="K70" s="25">
        <f t="shared" ref="K70:K76" si="15">SUM(D70:J70)</f>
        <v>2490</v>
      </c>
    </row>
    <row r="71" ht="13.5" customHeight="1">
      <c r="A71" s="26" t="s">
        <v>34</v>
      </c>
      <c r="B71" s="27"/>
      <c r="C71" s="28">
        <v>99.0</v>
      </c>
      <c r="D71" s="21"/>
      <c r="E71" s="10"/>
      <c r="F71" s="36"/>
      <c r="G71" s="21"/>
      <c r="H71" s="10"/>
      <c r="I71" s="10"/>
      <c r="J71" s="29"/>
      <c r="K71" s="25">
        <f t="shared" si="15"/>
        <v>0</v>
      </c>
    </row>
    <row r="72" ht="13.5" customHeight="1">
      <c r="A72" s="18" t="s">
        <v>35</v>
      </c>
      <c r="B72" s="30">
        <v>2.0</v>
      </c>
      <c r="C72" s="31" t="s">
        <v>36</v>
      </c>
      <c r="D72" s="21">
        <v>540.0</v>
      </c>
      <c r="E72" s="10">
        <v>60.0</v>
      </c>
      <c r="F72" s="36">
        <v>1000.0</v>
      </c>
      <c r="G72" s="21"/>
      <c r="H72" s="10">
        <v>1460.0</v>
      </c>
      <c r="I72" s="10"/>
      <c r="J72" s="24">
        <v>100.0</v>
      </c>
      <c r="K72" s="25">
        <f t="shared" si="15"/>
        <v>3160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5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440.0</v>
      </c>
      <c r="E74" s="10">
        <v>60.0</v>
      </c>
      <c r="F74" s="10">
        <v>350.0</v>
      </c>
      <c r="G74" s="21"/>
      <c r="H74" s="10">
        <v>4980.0</v>
      </c>
      <c r="I74" s="10"/>
      <c r="J74" s="24">
        <v>130.0</v>
      </c>
      <c r="K74" s="25">
        <f t="shared" si="15"/>
        <v>5960</v>
      </c>
    </row>
    <row r="75" ht="13.5" customHeight="1">
      <c r="A75" s="35" t="s">
        <v>41</v>
      </c>
      <c r="B75" s="27"/>
      <c r="C75" s="27"/>
      <c r="D75" s="21">
        <v>410.0</v>
      </c>
      <c r="E75" s="36"/>
      <c r="F75" s="36">
        <v>400.0</v>
      </c>
      <c r="G75" s="21"/>
      <c r="H75" s="10">
        <v>4920.0</v>
      </c>
      <c r="I75" s="10"/>
      <c r="J75" s="39">
        <v>120.0</v>
      </c>
      <c r="K75" s="25">
        <f t="shared" si="15"/>
        <v>5850</v>
      </c>
    </row>
    <row r="76" ht="13.5" customHeight="1">
      <c r="A76" s="40" t="s">
        <v>7</v>
      </c>
      <c r="B76" s="40"/>
      <c r="C76" s="40">
        <v>547.0</v>
      </c>
      <c r="D76" s="40">
        <f t="shared" ref="D76:J76" si="16">SUM(D70:D75)</f>
        <v>1910</v>
      </c>
      <c r="E76" s="40">
        <f t="shared" si="16"/>
        <v>180</v>
      </c>
      <c r="F76" s="40">
        <f t="shared" si="16"/>
        <v>2680</v>
      </c>
      <c r="G76" s="40">
        <f t="shared" si="16"/>
        <v>0</v>
      </c>
      <c r="H76" s="40">
        <f t="shared" si="16"/>
        <v>12270</v>
      </c>
      <c r="I76" s="40">
        <f t="shared" si="16"/>
        <v>0</v>
      </c>
      <c r="J76" s="40">
        <f t="shared" si="16"/>
        <v>420</v>
      </c>
      <c r="K76" s="25">
        <f t="shared" si="15"/>
        <v>17460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128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 t="s">
        <v>172</v>
      </c>
      <c r="C80" s="20" t="s">
        <v>33</v>
      </c>
      <c r="D80" s="21"/>
      <c r="E80" s="36"/>
      <c r="F80" s="36"/>
      <c r="G80" s="22"/>
      <c r="H80" s="21"/>
      <c r="I80" s="21"/>
      <c r="J80" s="29"/>
      <c r="K80" s="25">
        <f t="shared" ref="K80:K86" si="17">SUM(D80:J80)</f>
        <v>0</v>
      </c>
    </row>
    <row r="81" ht="13.5" customHeight="1">
      <c r="A81" s="26" t="s">
        <v>34</v>
      </c>
      <c r="B81" s="27"/>
      <c r="C81" s="28">
        <v>99.0</v>
      </c>
      <c r="D81" s="21"/>
      <c r="E81" s="36"/>
      <c r="F81" s="36"/>
      <c r="G81" s="22"/>
      <c r="H81" s="21"/>
      <c r="I81" s="21"/>
      <c r="J81" s="29"/>
      <c r="K81" s="25">
        <f t="shared" si="17"/>
        <v>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7"/>
        <v>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7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/>
      <c r="E84" s="41"/>
      <c r="F84" s="41"/>
      <c r="G84" s="32"/>
      <c r="H84" s="21"/>
      <c r="I84" s="21"/>
      <c r="J84" s="24"/>
      <c r="K84" s="25">
        <f t="shared" si="17"/>
        <v>0</v>
      </c>
    </row>
    <row r="85" ht="13.5" customHeight="1">
      <c r="A85" s="35" t="s">
        <v>41</v>
      </c>
      <c r="B85" s="27"/>
      <c r="C85" s="27"/>
      <c r="D85" s="21"/>
      <c r="E85" s="36"/>
      <c r="F85" s="37"/>
      <c r="G85" s="38"/>
      <c r="H85" s="21"/>
      <c r="I85" s="29"/>
      <c r="J85" s="39"/>
      <c r="K85" s="25">
        <f t="shared" si="17"/>
        <v>0</v>
      </c>
    </row>
    <row r="86" ht="13.5" customHeight="1">
      <c r="A86" s="40" t="s">
        <v>7</v>
      </c>
      <c r="B86" s="40"/>
      <c r="C86" s="40">
        <v>547.0</v>
      </c>
      <c r="D86" s="10">
        <f t="shared" ref="D86:J86" si="18">SUM(D80:D85)</f>
        <v>0</v>
      </c>
      <c r="E86" s="10">
        <f t="shared" si="18"/>
        <v>0</v>
      </c>
      <c r="F86" s="10">
        <f t="shared" si="18"/>
        <v>0</v>
      </c>
      <c r="G86" s="10">
        <f t="shared" si="18"/>
        <v>0</v>
      </c>
      <c r="H86" s="10">
        <f t="shared" si="18"/>
        <v>0</v>
      </c>
      <c r="I86" s="10">
        <f t="shared" si="18"/>
        <v>0</v>
      </c>
      <c r="J86" s="10">
        <f t="shared" si="18"/>
        <v>0</v>
      </c>
      <c r="K86" s="25">
        <f t="shared" si="17"/>
        <v>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ht="13.5" customHeight="1">
      <c r="A89" s="13" t="s">
        <v>130</v>
      </c>
    </row>
    <row r="90" ht="13.5" customHeight="1">
      <c r="A90" s="14" t="s">
        <v>25</v>
      </c>
      <c r="B90" s="14" t="s">
        <v>1</v>
      </c>
      <c r="C90" s="14" t="s">
        <v>27</v>
      </c>
      <c r="D90" s="15" t="s">
        <v>2</v>
      </c>
      <c r="E90" s="10" t="s">
        <v>28</v>
      </c>
      <c r="F90" s="16" t="s">
        <v>3</v>
      </c>
      <c r="G90" s="15" t="s">
        <v>4</v>
      </c>
      <c r="H90" s="15" t="s">
        <v>5</v>
      </c>
      <c r="I90" s="15" t="s">
        <v>29</v>
      </c>
      <c r="J90" s="14" t="s">
        <v>30</v>
      </c>
      <c r="K90" s="17" t="s">
        <v>7</v>
      </c>
    </row>
    <row r="91" ht="14.25" customHeight="1">
      <c r="A91" s="18" t="s">
        <v>31</v>
      </c>
      <c r="B91" s="19" t="s">
        <v>172</v>
      </c>
      <c r="C91" s="20" t="s">
        <v>33</v>
      </c>
      <c r="D91" s="21"/>
      <c r="E91" s="10"/>
      <c r="F91" s="36"/>
      <c r="G91" s="32"/>
      <c r="H91" s="21"/>
      <c r="I91" s="21"/>
      <c r="J91" s="24"/>
      <c r="K91" s="25">
        <f t="shared" ref="K91:K97" si="19">SUM(D91:J91)</f>
        <v>0</v>
      </c>
    </row>
    <row r="92" ht="13.5" customHeight="1">
      <c r="A92" s="26" t="s">
        <v>34</v>
      </c>
      <c r="B92" s="27"/>
      <c r="C92" s="28">
        <v>136.0</v>
      </c>
      <c r="D92" s="21"/>
      <c r="E92" s="10"/>
      <c r="F92" s="36"/>
      <c r="G92" s="32"/>
      <c r="H92" s="21"/>
      <c r="I92" s="21"/>
      <c r="J92" s="29"/>
      <c r="K92" s="25">
        <f t="shared" si="19"/>
        <v>0</v>
      </c>
    </row>
    <row r="93" ht="13.5" customHeight="1">
      <c r="A93" s="18" t="s">
        <v>35</v>
      </c>
      <c r="B93" s="30">
        <v>2.0</v>
      </c>
      <c r="C93" s="31" t="s">
        <v>36</v>
      </c>
      <c r="D93" s="21"/>
      <c r="E93" s="10"/>
      <c r="F93" s="36"/>
      <c r="G93" s="32"/>
      <c r="H93" s="21"/>
      <c r="I93" s="21"/>
      <c r="J93" s="24"/>
      <c r="K93" s="25">
        <f t="shared" si="19"/>
        <v>0</v>
      </c>
    </row>
    <row r="94" ht="13.5" customHeight="1">
      <c r="A94" s="26" t="s">
        <v>37</v>
      </c>
      <c r="B94" s="33"/>
      <c r="C94" s="34">
        <v>91.0</v>
      </c>
      <c r="D94" s="21"/>
      <c r="E94" s="10"/>
      <c r="F94" s="36"/>
      <c r="G94" s="32"/>
      <c r="H94" s="21"/>
      <c r="I94" s="21"/>
      <c r="J94" s="29"/>
      <c r="K94" s="25">
        <f t="shared" si="19"/>
        <v>0</v>
      </c>
    </row>
    <row r="95" ht="15.0" customHeight="1">
      <c r="A95" s="18" t="s">
        <v>38</v>
      </c>
      <c r="B95" s="19" t="s">
        <v>39</v>
      </c>
      <c r="C95" s="19" t="s">
        <v>40</v>
      </c>
      <c r="D95" s="21"/>
      <c r="E95" s="36"/>
      <c r="F95" s="41"/>
      <c r="G95" s="32"/>
      <c r="H95" s="21"/>
      <c r="I95" s="21"/>
      <c r="J95" s="24"/>
      <c r="K95" s="25">
        <f t="shared" si="19"/>
        <v>0</v>
      </c>
    </row>
    <row r="96" ht="13.5" customHeight="1">
      <c r="A96" s="35" t="s">
        <v>41</v>
      </c>
      <c r="B96" s="27"/>
      <c r="C96" s="27"/>
      <c r="D96" s="21"/>
      <c r="E96" s="36"/>
      <c r="F96" s="37"/>
      <c r="G96" s="38"/>
      <c r="H96" s="21"/>
      <c r="I96" s="21"/>
      <c r="J96" s="39"/>
      <c r="K96" s="25">
        <f t="shared" si="19"/>
        <v>0</v>
      </c>
    </row>
    <row r="97" ht="13.5" customHeight="1">
      <c r="A97" s="40" t="s">
        <v>7</v>
      </c>
      <c r="B97" s="40"/>
      <c r="C97" s="40">
        <v>563.0</v>
      </c>
      <c r="D97" s="10">
        <f t="shared" ref="D97:J97" si="20">SUM(D91:D96)</f>
        <v>0</v>
      </c>
      <c r="E97" s="10">
        <f t="shared" si="20"/>
        <v>0</v>
      </c>
      <c r="F97" s="10">
        <f t="shared" si="20"/>
        <v>0</v>
      </c>
      <c r="G97" s="10">
        <f t="shared" si="20"/>
        <v>0</v>
      </c>
      <c r="H97" s="10">
        <f t="shared" si="20"/>
        <v>0</v>
      </c>
      <c r="I97" s="10">
        <f t="shared" si="20"/>
        <v>0</v>
      </c>
      <c r="J97" s="10">
        <f t="shared" si="20"/>
        <v>0</v>
      </c>
      <c r="K97" s="25">
        <f t="shared" si="19"/>
        <v>0</v>
      </c>
    </row>
    <row r="98" ht="13.5" customHeight="1">
      <c r="A98" s="13" t="s">
        <v>132</v>
      </c>
    </row>
    <row r="99" ht="13.5" customHeight="1">
      <c r="A99" s="14" t="s">
        <v>25</v>
      </c>
      <c r="B99" s="14" t="s">
        <v>1</v>
      </c>
      <c r="C99" s="14" t="s">
        <v>27</v>
      </c>
      <c r="D99" s="15" t="s">
        <v>2</v>
      </c>
      <c r="E99" s="10" t="s">
        <v>28</v>
      </c>
      <c r="F99" s="16" t="s">
        <v>3</v>
      </c>
      <c r="G99" s="15" t="s">
        <v>4</v>
      </c>
      <c r="H99" s="15" t="s">
        <v>5</v>
      </c>
      <c r="I99" s="15" t="s">
        <v>29</v>
      </c>
      <c r="J99" s="14" t="s">
        <v>30</v>
      </c>
      <c r="K99" s="10" t="s">
        <v>7</v>
      </c>
    </row>
    <row r="100" ht="14.25" customHeight="1">
      <c r="A100" s="18" t="s">
        <v>31</v>
      </c>
      <c r="B100" s="19" t="s">
        <v>172</v>
      </c>
      <c r="C100" s="20" t="s">
        <v>33</v>
      </c>
      <c r="D100" s="21"/>
      <c r="E100" s="10"/>
      <c r="F100" s="36"/>
      <c r="G100" s="32"/>
      <c r="H100" s="21"/>
      <c r="I100" s="21"/>
      <c r="J100" s="21"/>
      <c r="K100" s="10">
        <f t="shared" ref="K100:K106" si="21">SUM(D100:J100)</f>
        <v>0</v>
      </c>
    </row>
    <row r="101" ht="13.5" customHeight="1">
      <c r="A101" s="26" t="s">
        <v>34</v>
      </c>
      <c r="B101" s="27"/>
      <c r="C101" s="28">
        <v>136.0</v>
      </c>
      <c r="D101" s="21"/>
      <c r="E101" s="10"/>
      <c r="F101" s="36"/>
      <c r="G101" s="32"/>
      <c r="H101" s="21"/>
      <c r="I101" s="21"/>
      <c r="J101" s="21"/>
      <c r="K101" s="10">
        <f t="shared" si="21"/>
        <v>0</v>
      </c>
    </row>
    <row r="102" ht="13.5" customHeight="1">
      <c r="A102" s="18" t="s">
        <v>35</v>
      </c>
      <c r="B102" s="30">
        <v>2.0</v>
      </c>
      <c r="C102" s="31" t="s">
        <v>36</v>
      </c>
      <c r="D102" s="21"/>
      <c r="E102" s="10"/>
      <c r="F102" s="36"/>
      <c r="G102" s="32"/>
      <c r="H102" s="21"/>
      <c r="I102" s="21"/>
      <c r="J102" s="21"/>
      <c r="K102" s="10">
        <f t="shared" si="21"/>
        <v>0</v>
      </c>
    </row>
    <row r="103" ht="13.5" customHeight="1">
      <c r="A103" s="26" t="s">
        <v>37</v>
      </c>
      <c r="B103" s="33"/>
      <c r="C103" s="34">
        <v>91.0</v>
      </c>
      <c r="D103" s="21"/>
      <c r="E103" s="10"/>
      <c r="F103" s="36"/>
      <c r="G103" s="32"/>
      <c r="H103" s="21"/>
      <c r="I103" s="21"/>
      <c r="J103" s="21"/>
      <c r="K103" s="10">
        <f t="shared" si="21"/>
        <v>0</v>
      </c>
    </row>
    <row r="104" ht="14.25" customHeight="1">
      <c r="A104" s="18" t="s">
        <v>38</v>
      </c>
      <c r="B104" s="19" t="s">
        <v>39</v>
      </c>
      <c r="C104" s="19" t="s">
        <v>40</v>
      </c>
      <c r="D104" s="21"/>
      <c r="E104" s="36"/>
      <c r="F104" s="41"/>
      <c r="G104" s="32"/>
      <c r="H104" s="21"/>
      <c r="I104" s="21"/>
      <c r="J104" s="21"/>
      <c r="K104" s="10">
        <f t="shared" si="21"/>
        <v>0</v>
      </c>
    </row>
    <row r="105" ht="13.5" customHeight="1">
      <c r="A105" s="35" t="s">
        <v>41</v>
      </c>
      <c r="B105" s="27"/>
      <c r="C105" s="27"/>
      <c r="D105" s="21"/>
      <c r="E105" s="36"/>
      <c r="F105" s="37"/>
      <c r="G105" s="38"/>
      <c r="H105" s="21"/>
      <c r="I105" s="21"/>
      <c r="J105" s="21"/>
      <c r="K105" s="10">
        <f t="shared" si="21"/>
        <v>0</v>
      </c>
    </row>
    <row r="106" ht="13.5" customHeight="1">
      <c r="A106" s="40" t="s">
        <v>7</v>
      </c>
      <c r="B106" s="40"/>
      <c r="C106" s="40">
        <v>563.0</v>
      </c>
      <c r="D106" s="10">
        <f t="shared" ref="D106:J106" si="22">SUM(D100:D105)</f>
        <v>0</v>
      </c>
      <c r="E106" s="10">
        <f t="shared" si="22"/>
        <v>0</v>
      </c>
      <c r="F106" s="10">
        <f t="shared" si="22"/>
        <v>0</v>
      </c>
      <c r="G106" s="10">
        <f t="shared" si="22"/>
        <v>0</v>
      </c>
      <c r="H106" s="10">
        <f t="shared" si="22"/>
        <v>0</v>
      </c>
      <c r="I106" s="10">
        <f t="shared" si="22"/>
        <v>0</v>
      </c>
      <c r="J106" s="10">
        <f t="shared" si="22"/>
        <v>0</v>
      </c>
      <c r="K106" s="10">
        <f t="shared" si="21"/>
        <v>0</v>
      </c>
    </row>
    <row r="107" ht="13.5" customHeight="1">
      <c r="A107" s="14"/>
      <c r="B107" s="14"/>
      <c r="C107" s="14"/>
      <c r="D107" s="14"/>
      <c r="E107" s="14"/>
      <c r="F107" s="14"/>
      <c r="G107" s="15"/>
      <c r="H107" s="15"/>
      <c r="I107" s="15"/>
      <c r="J107" s="10"/>
      <c r="K107" s="10"/>
    </row>
    <row r="108" ht="13.5" customHeight="1">
      <c r="A108" s="45" t="s">
        <v>181</v>
      </c>
    </row>
    <row r="109" ht="13.5" customHeight="1">
      <c r="A109" s="14" t="s">
        <v>25</v>
      </c>
      <c r="B109" s="14" t="s">
        <v>1</v>
      </c>
      <c r="C109" s="14" t="s">
        <v>27</v>
      </c>
      <c r="D109" s="15" t="s">
        <v>2</v>
      </c>
      <c r="E109" s="10" t="s">
        <v>28</v>
      </c>
      <c r="F109" s="16" t="s">
        <v>3</v>
      </c>
      <c r="G109" s="15" t="s">
        <v>4</v>
      </c>
      <c r="H109" s="15" t="s">
        <v>5</v>
      </c>
      <c r="I109" s="15" t="s">
        <v>29</v>
      </c>
      <c r="J109" s="14" t="s">
        <v>30</v>
      </c>
      <c r="K109" s="17" t="s">
        <v>7</v>
      </c>
    </row>
    <row r="110" ht="14.25" customHeight="1">
      <c r="A110" s="18" t="s">
        <v>31</v>
      </c>
      <c r="B110" s="19" t="s">
        <v>172</v>
      </c>
      <c r="C110" s="20" t="s">
        <v>33</v>
      </c>
      <c r="D110" s="21">
        <v>510.0</v>
      </c>
      <c r="E110" s="10">
        <v>60.0</v>
      </c>
      <c r="F110" s="10">
        <v>870.0</v>
      </c>
      <c r="G110" s="32"/>
      <c r="H110" s="21">
        <v>950.0</v>
      </c>
      <c r="I110" s="21"/>
      <c r="J110" s="21">
        <v>90.0</v>
      </c>
      <c r="K110" s="25">
        <f t="shared" ref="K110:K116" si="23">SUM(D110:J110)</f>
        <v>2480</v>
      </c>
    </row>
    <row r="111" ht="13.5" customHeight="1">
      <c r="A111" s="26" t="s">
        <v>34</v>
      </c>
      <c r="B111" s="27"/>
      <c r="C111" s="28">
        <v>136.0</v>
      </c>
      <c r="D111" s="21"/>
      <c r="E111" s="10"/>
      <c r="F111" s="10"/>
      <c r="G111" s="32"/>
      <c r="H111" s="21"/>
      <c r="I111" s="21"/>
      <c r="J111" s="21"/>
      <c r="K111" s="25">
        <f t="shared" si="23"/>
        <v>0</v>
      </c>
    </row>
    <row r="112" ht="13.5" customHeight="1">
      <c r="A112" s="18" t="s">
        <v>35</v>
      </c>
      <c r="B112" s="30">
        <v>2.0</v>
      </c>
      <c r="C112" s="31" t="s">
        <v>36</v>
      </c>
      <c r="D112" s="21">
        <v>530.0</v>
      </c>
      <c r="E112" s="10">
        <v>60.0</v>
      </c>
      <c r="F112" s="10">
        <v>1150.0</v>
      </c>
      <c r="G112" s="32"/>
      <c r="H112" s="21">
        <v>1230.0</v>
      </c>
      <c r="I112" s="21"/>
      <c r="J112" s="21">
        <v>120.0</v>
      </c>
      <c r="K112" s="25">
        <f t="shared" si="23"/>
        <v>3090</v>
      </c>
    </row>
    <row r="113" ht="13.5" customHeight="1">
      <c r="A113" s="26" t="s">
        <v>37</v>
      </c>
      <c r="B113" s="33"/>
      <c r="C113" s="34">
        <v>91.0</v>
      </c>
      <c r="D113" s="21"/>
      <c r="E113" s="10"/>
      <c r="F113" s="36"/>
      <c r="G113" s="32"/>
      <c r="H113" s="21"/>
      <c r="I113" s="21"/>
      <c r="J113" s="21"/>
      <c r="K113" s="25">
        <f t="shared" si="23"/>
        <v>0</v>
      </c>
    </row>
    <row r="114" ht="15.0" customHeight="1">
      <c r="A114" s="18" t="s">
        <v>38</v>
      </c>
      <c r="B114" s="19" t="s">
        <v>39</v>
      </c>
      <c r="C114" s="19" t="s">
        <v>40</v>
      </c>
      <c r="D114" s="21">
        <v>440.0</v>
      </c>
      <c r="E114" s="36">
        <v>60.0</v>
      </c>
      <c r="F114" s="41">
        <v>250.0</v>
      </c>
      <c r="G114" s="32"/>
      <c r="H114" s="21">
        <v>5100.0</v>
      </c>
      <c r="I114" s="21"/>
      <c r="J114" s="21">
        <v>130.0</v>
      </c>
      <c r="K114" s="25">
        <f t="shared" si="23"/>
        <v>5980</v>
      </c>
    </row>
    <row r="115" ht="13.5" customHeight="1">
      <c r="A115" s="35" t="s">
        <v>41</v>
      </c>
      <c r="B115" s="27"/>
      <c r="C115" s="27"/>
      <c r="D115" s="21">
        <v>430.0</v>
      </c>
      <c r="E115" s="36"/>
      <c r="F115" s="41">
        <v>300.0</v>
      </c>
      <c r="G115" s="32"/>
      <c r="H115" s="21">
        <v>5040.0</v>
      </c>
      <c r="I115" s="21"/>
      <c r="J115" s="21">
        <v>120.0</v>
      </c>
      <c r="K115" s="25">
        <f t="shared" si="23"/>
        <v>5890</v>
      </c>
    </row>
    <row r="116" ht="13.5" customHeight="1">
      <c r="A116" s="40" t="s">
        <v>7</v>
      </c>
      <c r="B116" s="40"/>
      <c r="C116" s="40">
        <v>563.0</v>
      </c>
      <c r="D116" s="10">
        <f t="shared" ref="D116:J116" si="24">SUM(D110:D115)</f>
        <v>1910</v>
      </c>
      <c r="E116" s="10">
        <f t="shared" si="24"/>
        <v>180</v>
      </c>
      <c r="F116" s="10">
        <f t="shared" si="24"/>
        <v>2570</v>
      </c>
      <c r="G116" s="10">
        <f t="shared" si="24"/>
        <v>0</v>
      </c>
      <c r="H116" s="10">
        <f t="shared" si="24"/>
        <v>12320</v>
      </c>
      <c r="I116" s="10">
        <f t="shared" si="24"/>
        <v>0</v>
      </c>
      <c r="J116" s="10">
        <f t="shared" si="24"/>
        <v>460</v>
      </c>
      <c r="K116" s="25">
        <f t="shared" si="23"/>
        <v>17440</v>
      </c>
    </row>
    <row r="117" ht="13.5" customHeight="1">
      <c r="A117" s="13" t="s">
        <v>182</v>
      </c>
    </row>
    <row r="118" ht="13.5" customHeight="1">
      <c r="A118" s="14" t="s">
        <v>25</v>
      </c>
      <c r="B118" s="14" t="s">
        <v>1</v>
      </c>
      <c r="C118" s="14" t="s">
        <v>27</v>
      </c>
      <c r="D118" s="15" t="s">
        <v>2</v>
      </c>
      <c r="E118" s="10" t="s">
        <v>28</v>
      </c>
      <c r="F118" s="16" t="s">
        <v>3</v>
      </c>
      <c r="G118" s="15" t="s">
        <v>4</v>
      </c>
      <c r="H118" s="15" t="s">
        <v>5</v>
      </c>
      <c r="I118" s="15" t="s">
        <v>29</v>
      </c>
      <c r="J118" s="14" t="s">
        <v>30</v>
      </c>
      <c r="K118" s="17" t="s">
        <v>7</v>
      </c>
    </row>
    <row r="119" ht="14.25" customHeight="1">
      <c r="A119" s="18" t="s">
        <v>31</v>
      </c>
      <c r="B119" s="19" t="s">
        <v>172</v>
      </c>
      <c r="C119" s="20" t="s">
        <v>33</v>
      </c>
      <c r="D119" s="21">
        <v>500.0</v>
      </c>
      <c r="E119" s="10">
        <v>60.0</v>
      </c>
      <c r="F119" s="36">
        <v>780.0</v>
      </c>
      <c r="G119" s="32"/>
      <c r="H119" s="21">
        <v>1090.0</v>
      </c>
      <c r="I119" s="21"/>
      <c r="J119" s="21">
        <v>90.0</v>
      </c>
      <c r="K119" s="25">
        <f t="shared" ref="K119:K125" si="25">SUM(D119:J119)</f>
        <v>2520</v>
      </c>
    </row>
    <row r="120" ht="13.5" customHeight="1">
      <c r="A120" s="26" t="s">
        <v>34</v>
      </c>
      <c r="B120" s="27"/>
      <c r="C120" s="28">
        <v>130.0</v>
      </c>
      <c r="D120" s="21"/>
      <c r="E120" s="10"/>
      <c r="F120" s="36"/>
      <c r="G120" s="32"/>
      <c r="H120" s="21"/>
      <c r="I120" s="21"/>
      <c r="J120" s="21"/>
      <c r="K120" s="25">
        <f t="shared" si="25"/>
        <v>0</v>
      </c>
    </row>
    <row r="121" ht="13.5" customHeight="1">
      <c r="A121" s="18" t="s">
        <v>35</v>
      </c>
      <c r="B121" s="30">
        <v>2.0</v>
      </c>
      <c r="C121" s="31" t="s">
        <v>36</v>
      </c>
      <c r="D121" s="21">
        <v>450.0</v>
      </c>
      <c r="E121" s="10">
        <v>60.0</v>
      </c>
      <c r="F121" s="36">
        <v>1050.0</v>
      </c>
      <c r="G121" s="32"/>
      <c r="H121" s="21">
        <v>1360.0</v>
      </c>
      <c r="I121" s="21"/>
      <c r="J121" s="21">
        <v>90.0</v>
      </c>
      <c r="K121" s="25">
        <f t="shared" si="25"/>
        <v>3010</v>
      </c>
    </row>
    <row r="122" ht="13.5" customHeight="1">
      <c r="A122" s="26" t="s">
        <v>37</v>
      </c>
      <c r="B122" s="33"/>
      <c r="C122" s="34">
        <v>91.0</v>
      </c>
      <c r="D122" s="21"/>
      <c r="E122" s="10"/>
      <c r="F122" s="36"/>
      <c r="G122" s="32"/>
      <c r="H122" s="21"/>
      <c r="I122" s="21"/>
      <c r="J122" s="21"/>
      <c r="K122" s="25">
        <f t="shared" si="25"/>
        <v>0</v>
      </c>
    </row>
    <row r="123" ht="15.0" customHeight="1">
      <c r="A123" s="18" t="s">
        <v>38</v>
      </c>
      <c r="B123" s="19" t="s">
        <v>39</v>
      </c>
      <c r="C123" s="19" t="s">
        <v>40</v>
      </c>
      <c r="D123" s="21">
        <v>520.0</v>
      </c>
      <c r="E123" s="36">
        <v>60.0</v>
      </c>
      <c r="F123" s="41">
        <v>500.0</v>
      </c>
      <c r="G123" s="44"/>
      <c r="H123" s="44">
        <v>4970.0</v>
      </c>
      <c r="I123" s="23"/>
      <c r="J123" s="23">
        <v>130.0</v>
      </c>
      <c r="K123" s="25">
        <f t="shared" si="25"/>
        <v>6180</v>
      </c>
    </row>
    <row r="124" ht="13.5" customHeight="1">
      <c r="A124" s="35" t="s">
        <v>41</v>
      </c>
      <c r="B124" s="27"/>
      <c r="C124" s="27"/>
      <c r="D124" s="21">
        <v>500.0</v>
      </c>
      <c r="E124" s="36"/>
      <c r="F124" s="37">
        <v>550.0</v>
      </c>
      <c r="G124" s="38"/>
      <c r="H124" s="21">
        <v>4790.0</v>
      </c>
      <c r="I124" s="29"/>
      <c r="J124" s="39">
        <v>110.0</v>
      </c>
      <c r="K124" s="25">
        <f t="shared" si="25"/>
        <v>5950</v>
      </c>
    </row>
    <row r="125" ht="13.5" customHeight="1">
      <c r="A125" s="40" t="s">
        <v>7</v>
      </c>
      <c r="B125" s="40"/>
      <c r="C125" s="40">
        <v>563.0</v>
      </c>
      <c r="D125" s="10">
        <f t="shared" ref="D125:J125" si="26">SUM(D119:D124)</f>
        <v>1970</v>
      </c>
      <c r="E125" s="10">
        <f t="shared" si="26"/>
        <v>180</v>
      </c>
      <c r="F125" s="10">
        <f t="shared" si="26"/>
        <v>2880</v>
      </c>
      <c r="G125" s="10">
        <f t="shared" si="26"/>
        <v>0</v>
      </c>
      <c r="H125" s="10">
        <f t="shared" si="26"/>
        <v>12210</v>
      </c>
      <c r="I125" s="10">
        <f t="shared" si="26"/>
        <v>0</v>
      </c>
      <c r="J125" s="10">
        <f t="shared" si="26"/>
        <v>420</v>
      </c>
      <c r="K125" s="25">
        <f t="shared" si="25"/>
        <v>17660</v>
      </c>
    </row>
    <row r="126" ht="13.5" customHeight="1">
      <c r="A126" s="13" t="s">
        <v>183</v>
      </c>
    </row>
    <row r="127" ht="13.5" customHeight="1">
      <c r="A127" s="14" t="s">
        <v>25</v>
      </c>
      <c r="B127" s="14" t="s">
        <v>1</v>
      </c>
      <c r="C127" s="14" t="s">
        <v>27</v>
      </c>
      <c r="D127" s="15" t="s">
        <v>2</v>
      </c>
      <c r="E127" s="10" t="s">
        <v>28</v>
      </c>
      <c r="F127" s="16" t="s">
        <v>3</v>
      </c>
      <c r="G127" s="15" t="s">
        <v>4</v>
      </c>
      <c r="H127" s="15" t="s">
        <v>5</v>
      </c>
      <c r="I127" s="15" t="s">
        <v>29</v>
      </c>
      <c r="J127" s="14" t="s">
        <v>30</v>
      </c>
      <c r="K127" s="17" t="s">
        <v>7</v>
      </c>
    </row>
    <row r="128" ht="13.5" customHeight="1">
      <c r="A128" s="18" t="s">
        <v>31</v>
      </c>
      <c r="B128" s="19" t="s">
        <v>172</v>
      </c>
      <c r="C128" s="20" t="s">
        <v>33</v>
      </c>
      <c r="D128" s="21">
        <v>500.0</v>
      </c>
      <c r="E128" s="36">
        <v>60.0</v>
      </c>
      <c r="F128" s="36">
        <v>800.0</v>
      </c>
      <c r="G128" s="32"/>
      <c r="H128" s="21">
        <v>1080.0</v>
      </c>
      <c r="I128" s="21"/>
      <c r="J128" s="21">
        <v>150.0</v>
      </c>
      <c r="K128" s="25">
        <f t="shared" ref="K128:K134" si="27">SUM(D128:J128)</f>
        <v>2590</v>
      </c>
    </row>
    <row r="129" ht="13.5" customHeight="1">
      <c r="A129" s="26" t="s">
        <v>34</v>
      </c>
      <c r="B129" s="27"/>
      <c r="C129" s="28">
        <v>130.0</v>
      </c>
      <c r="D129" s="21"/>
      <c r="E129" s="36"/>
      <c r="F129" s="36"/>
      <c r="G129" s="32"/>
      <c r="H129" s="21"/>
      <c r="I129" s="21"/>
      <c r="J129" s="21"/>
      <c r="K129" s="25">
        <f t="shared" si="27"/>
        <v>0</v>
      </c>
    </row>
    <row r="130" ht="13.5" customHeight="1">
      <c r="A130" s="18" t="s">
        <v>35</v>
      </c>
      <c r="B130" s="30">
        <v>2.0</v>
      </c>
      <c r="C130" s="31" t="s">
        <v>36</v>
      </c>
      <c r="D130" s="21">
        <v>520.0</v>
      </c>
      <c r="E130" s="36">
        <v>60.0</v>
      </c>
      <c r="F130" s="36">
        <v>950.0</v>
      </c>
      <c r="G130" s="32"/>
      <c r="H130" s="21">
        <v>1370.0</v>
      </c>
      <c r="I130" s="21"/>
      <c r="J130" s="21">
        <v>160.0</v>
      </c>
      <c r="K130" s="25">
        <f t="shared" si="27"/>
        <v>3060</v>
      </c>
    </row>
    <row r="131" ht="13.5" customHeight="1">
      <c r="A131" s="26" t="s">
        <v>37</v>
      </c>
      <c r="B131" s="33"/>
      <c r="C131" s="34">
        <v>91.0</v>
      </c>
      <c r="D131" s="21"/>
      <c r="E131" s="36"/>
      <c r="F131" s="36"/>
      <c r="G131" s="32"/>
      <c r="H131" s="21"/>
      <c r="I131" s="21"/>
      <c r="J131" s="21"/>
      <c r="K131" s="25">
        <f t="shared" si="27"/>
        <v>0</v>
      </c>
    </row>
    <row r="132" ht="15.0" customHeight="1">
      <c r="A132" s="18" t="s">
        <v>38</v>
      </c>
      <c r="B132" s="19" t="s">
        <v>39</v>
      </c>
      <c r="C132" s="19" t="s">
        <v>40</v>
      </c>
      <c r="D132" s="21">
        <v>420.0</v>
      </c>
      <c r="E132" s="36">
        <v>60.0</v>
      </c>
      <c r="F132" s="36">
        <v>550.0</v>
      </c>
      <c r="G132" s="21"/>
      <c r="H132" s="21">
        <v>4920.0</v>
      </c>
      <c r="I132" s="21"/>
      <c r="J132" s="21">
        <v>160.0</v>
      </c>
      <c r="K132" s="25">
        <f t="shared" si="27"/>
        <v>6110</v>
      </c>
    </row>
    <row r="133" ht="13.5" customHeight="1">
      <c r="A133" s="35" t="s">
        <v>41</v>
      </c>
      <c r="B133" s="27"/>
      <c r="C133" s="27"/>
      <c r="D133" s="21">
        <v>420.0</v>
      </c>
      <c r="E133" s="36"/>
      <c r="F133" s="36">
        <v>500.0</v>
      </c>
      <c r="G133" s="21"/>
      <c r="H133" s="21">
        <v>4750.0</v>
      </c>
      <c r="I133" s="21"/>
      <c r="J133" s="21">
        <v>130.0</v>
      </c>
      <c r="K133" s="25">
        <f t="shared" si="27"/>
        <v>5800</v>
      </c>
    </row>
    <row r="134" ht="13.5" customHeight="1">
      <c r="A134" s="40" t="s">
        <v>7</v>
      </c>
      <c r="B134" s="40"/>
      <c r="C134" s="40">
        <v>563.0</v>
      </c>
      <c r="D134" s="10">
        <f t="shared" ref="D134:J134" si="28">SUM(D128:D133)</f>
        <v>1860</v>
      </c>
      <c r="E134" s="10">
        <f t="shared" si="28"/>
        <v>180</v>
      </c>
      <c r="F134" s="10">
        <f t="shared" si="28"/>
        <v>2800</v>
      </c>
      <c r="G134" s="10">
        <f t="shared" si="28"/>
        <v>0</v>
      </c>
      <c r="H134" s="10">
        <f t="shared" si="28"/>
        <v>12120</v>
      </c>
      <c r="I134" s="10">
        <f t="shared" si="28"/>
        <v>0</v>
      </c>
      <c r="J134" s="10">
        <f t="shared" si="28"/>
        <v>600</v>
      </c>
      <c r="K134" s="25">
        <f t="shared" si="27"/>
        <v>17560</v>
      </c>
    </row>
    <row r="135" ht="13.5" customHeight="1">
      <c r="A135" s="46" t="s">
        <v>184</v>
      </c>
    </row>
    <row r="136" ht="13.5" customHeight="1">
      <c r="A136" s="14" t="s">
        <v>25</v>
      </c>
      <c r="B136" s="14" t="s">
        <v>1</v>
      </c>
      <c r="C136" s="14" t="s">
        <v>27</v>
      </c>
      <c r="D136" s="15" t="s">
        <v>2</v>
      </c>
      <c r="E136" s="10" t="s">
        <v>28</v>
      </c>
      <c r="F136" s="16" t="s">
        <v>3</v>
      </c>
      <c r="G136" s="15" t="s">
        <v>4</v>
      </c>
      <c r="H136" s="15" t="s">
        <v>5</v>
      </c>
      <c r="I136" s="15" t="s">
        <v>29</v>
      </c>
      <c r="J136" s="14" t="s">
        <v>30</v>
      </c>
      <c r="K136" s="17" t="s">
        <v>7</v>
      </c>
    </row>
    <row r="137" ht="13.5" customHeight="1">
      <c r="A137" s="18" t="s">
        <v>31</v>
      </c>
      <c r="B137" s="19" t="s">
        <v>172</v>
      </c>
      <c r="C137" s="20" t="s">
        <v>33</v>
      </c>
      <c r="D137" s="21">
        <v>500.0</v>
      </c>
      <c r="E137" s="36">
        <v>60.0</v>
      </c>
      <c r="F137" s="36">
        <v>770.0</v>
      </c>
      <c r="G137" s="32"/>
      <c r="H137" s="21">
        <v>990.0</v>
      </c>
      <c r="I137" s="21"/>
      <c r="J137" s="21">
        <v>100.0</v>
      </c>
      <c r="K137" s="25">
        <f t="shared" ref="K137:K143" si="29">SUM(D137:J137)</f>
        <v>2420</v>
      </c>
    </row>
    <row r="138" ht="13.5" customHeight="1">
      <c r="A138" s="26" t="s">
        <v>34</v>
      </c>
      <c r="B138" s="27"/>
      <c r="C138" s="28">
        <v>130.0</v>
      </c>
      <c r="D138" s="21"/>
      <c r="E138" s="36"/>
      <c r="F138" s="36"/>
      <c r="G138" s="32"/>
      <c r="H138" s="21"/>
      <c r="I138" s="21"/>
      <c r="J138" s="21"/>
      <c r="K138" s="25">
        <f t="shared" si="29"/>
        <v>0</v>
      </c>
    </row>
    <row r="139" ht="13.5" customHeight="1">
      <c r="A139" s="18" t="s">
        <v>35</v>
      </c>
      <c r="B139" s="30">
        <v>2.0</v>
      </c>
      <c r="C139" s="31" t="s">
        <v>36</v>
      </c>
      <c r="D139" s="21">
        <v>520.0</v>
      </c>
      <c r="E139" s="36">
        <v>60.0</v>
      </c>
      <c r="F139" s="36">
        <v>900.0</v>
      </c>
      <c r="G139" s="32"/>
      <c r="H139" s="21">
        <v>1520.0</v>
      </c>
      <c r="I139" s="21"/>
      <c r="J139" s="21">
        <v>120.0</v>
      </c>
      <c r="K139" s="25">
        <f t="shared" si="29"/>
        <v>3120</v>
      </c>
    </row>
    <row r="140" ht="13.5" customHeight="1">
      <c r="A140" s="26" t="s">
        <v>37</v>
      </c>
      <c r="B140" s="33"/>
      <c r="C140" s="34">
        <v>91.0</v>
      </c>
      <c r="D140" s="21"/>
      <c r="E140" s="36"/>
      <c r="F140" s="36"/>
      <c r="G140" s="32"/>
      <c r="H140" s="21"/>
      <c r="I140" s="21"/>
      <c r="J140" s="21"/>
      <c r="K140" s="25">
        <f t="shared" si="29"/>
        <v>0</v>
      </c>
    </row>
    <row r="141" ht="15.0" customHeight="1">
      <c r="A141" s="18" t="s">
        <v>38</v>
      </c>
      <c r="B141" s="19" t="s">
        <v>39</v>
      </c>
      <c r="C141" s="19" t="s">
        <v>40</v>
      </c>
      <c r="D141" s="44">
        <v>420.0</v>
      </c>
      <c r="E141" s="41">
        <v>60.0</v>
      </c>
      <c r="F141" s="41">
        <v>500.0</v>
      </c>
      <c r="G141" s="44"/>
      <c r="H141" s="44">
        <v>4860.0</v>
      </c>
      <c r="I141" s="23"/>
      <c r="J141" s="24">
        <v>170.0</v>
      </c>
      <c r="K141" s="25">
        <f t="shared" si="29"/>
        <v>6010</v>
      </c>
      <c r="L141" s="47"/>
      <c r="M141" s="12"/>
    </row>
    <row r="142" ht="13.5" customHeight="1">
      <c r="A142" s="35" t="s">
        <v>41</v>
      </c>
      <c r="B142" s="27"/>
      <c r="C142" s="27"/>
      <c r="D142" s="21">
        <v>420.0</v>
      </c>
      <c r="E142" s="36"/>
      <c r="F142" s="36">
        <v>360.0</v>
      </c>
      <c r="G142" s="21"/>
      <c r="H142" s="21">
        <v>5030.0</v>
      </c>
      <c r="I142" s="29"/>
      <c r="J142" s="39">
        <v>180.0</v>
      </c>
      <c r="K142" s="25">
        <f t="shared" si="29"/>
        <v>5990</v>
      </c>
    </row>
    <row r="143" ht="13.5" customHeight="1">
      <c r="A143" s="40" t="s">
        <v>7</v>
      </c>
      <c r="B143" s="40"/>
      <c r="C143" s="40">
        <v>563.0</v>
      </c>
      <c r="D143" s="10">
        <f t="shared" ref="D143:J143" si="30">SUM(D137:D142)</f>
        <v>1860</v>
      </c>
      <c r="E143" s="10">
        <f t="shared" si="30"/>
        <v>180</v>
      </c>
      <c r="F143" s="10">
        <f t="shared" si="30"/>
        <v>2530</v>
      </c>
      <c r="G143" s="10">
        <f t="shared" si="30"/>
        <v>0</v>
      </c>
      <c r="H143" s="10">
        <f t="shared" si="30"/>
        <v>12400</v>
      </c>
      <c r="I143" s="10">
        <f t="shared" si="30"/>
        <v>0</v>
      </c>
      <c r="J143" s="10">
        <f t="shared" si="30"/>
        <v>570</v>
      </c>
      <c r="K143" s="25">
        <f t="shared" si="29"/>
        <v>17540</v>
      </c>
    </row>
    <row r="144" ht="13.5" customHeight="1">
      <c r="A144" s="48" t="s">
        <v>185</v>
      </c>
    </row>
    <row r="145" ht="13.5" customHeight="1">
      <c r="A145" s="14" t="s">
        <v>25</v>
      </c>
      <c r="B145" s="14" t="s">
        <v>1</v>
      </c>
      <c r="C145" s="14" t="s">
        <v>27</v>
      </c>
      <c r="D145" s="15" t="s">
        <v>2</v>
      </c>
      <c r="E145" s="10" t="s">
        <v>28</v>
      </c>
      <c r="F145" s="16" t="s">
        <v>3</v>
      </c>
      <c r="G145" s="15" t="s">
        <v>4</v>
      </c>
      <c r="H145" s="15" t="s">
        <v>5</v>
      </c>
      <c r="I145" s="15" t="s">
        <v>29</v>
      </c>
      <c r="J145" s="14" t="s">
        <v>30</v>
      </c>
      <c r="K145" s="17" t="s">
        <v>7</v>
      </c>
    </row>
    <row r="146" ht="15.0" customHeight="1">
      <c r="A146" s="18" t="s">
        <v>31</v>
      </c>
      <c r="B146" s="19" t="s">
        <v>172</v>
      </c>
      <c r="C146" s="20" t="s">
        <v>33</v>
      </c>
      <c r="D146" s="21">
        <v>460.0</v>
      </c>
      <c r="E146" s="36">
        <v>60.0</v>
      </c>
      <c r="F146" s="36">
        <v>850.0</v>
      </c>
      <c r="G146" s="32"/>
      <c r="H146" s="21">
        <v>1020.0</v>
      </c>
      <c r="I146" s="23">
        <v>130.0</v>
      </c>
      <c r="J146" s="24"/>
      <c r="K146" s="25">
        <f t="shared" ref="K146:K152" si="31">SUM(D146:J146)</f>
        <v>2520</v>
      </c>
    </row>
    <row r="147" ht="13.5" customHeight="1">
      <c r="A147" s="26" t="s">
        <v>34</v>
      </c>
      <c r="B147" s="27"/>
      <c r="C147" s="28">
        <v>130.0</v>
      </c>
      <c r="D147" s="21"/>
      <c r="E147" s="36"/>
      <c r="F147" s="36"/>
      <c r="G147" s="32"/>
      <c r="H147" s="21"/>
      <c r="I147" s="21"/>
      <c r="J147" s="29"/>
      <c r="K147" s="25">
        <f t="shared" si="31"/>
        <v>0</v>
      </c>
    </row>
    <row r="148" ht="13.5" customHeight="1">
      <c r="A148" s="18" t="s">
        <v>35</v>
      </c>
      <c r="B148" s="30">
        <v>2.0</v>
      </c>
      <c r="C148" s="31" t="s">
        <v>36</v>
      </c>
      <c r="D148" s="21">
        <v>500.0</v>
      </c>
      <c r="E148" s="36">
        <v>60.0</v>
      </c>
      <c r="F148" s="41">
        <v>1050.0</v>
      </c>
      <c r="G148" s="32"/>
      <c r="H148" s="21">
        <v>1250.0</v>
      </c>
      <c r="I148" s="21"/>
      <c r="J148" s="24">
        <v>130.0</v>
      </c>
      <c r="K148" s="25">
        <f t="shared" si="31"/>
        <v>2990</v>
      </c>
    </row>
    <row r="149" ht="13.5" customHeight="1">
      <c r="A149" s="26" t="s">
        <v>37</v>
      </c>
      <c r="B149" s="33"/>
      <c r="C149" s="34">
        <v>91.0</v>
      </c>
      <c r="D149" s="21"/>
      <c r="E149" s="21"/>
      <c r="F149" s="21"/>
      <c r="G149" s="21"/>
      <c r="H149" s="21"/>
      <c r="I149" s="21"/>
      <c r="J149" s="21"/>
      <c r="K149" s="25">
        <f t="shared" si="31"/>
        <v>0</v>
      </c>
    </row>
    <row r="150" ht="14.25" customHeight="1">
      <c r="A150" s="18" t="s">
        <v>38</v>
      </c>
      <c r="B150" s="19" t="s">
        <v>39</v>
      </c>
      <c r="C150" s="19" t="s">
        <v>40</v>
      </c>
      <c r="D150" s="21">
        <v>400.0</v>
      </c>
      <c r="E150" s="36">
        <v>60.0</v>
      </c>
      <c r="F150" s="41">
        <v>380.0</v>
      </c>
      <c r="G150" s="32"/>
      <c r="H150" s="21">
        <v>5150.0</v>
      </c>
      <c r="I150" s="21"/>
      <c r="J150" s="24">
        <v>150.0</v>
      </c>
      <c r="K150" s="25">
        <f t="shared" si="31"/>
        <v>6140</v>
      </c>
      <c r="L150" s="47"/>
      <c r="M150" s="12"/>
    </row>
    <row r="151" ht="13.5" customHeight="1">
      <c r="A151" s="35" t="s">
        <v>41</v>
      </c>
      <c r="B151" s="27"/>
      <c r="C151" s="27"/>
      <c r="D151" s="21">
        <v>440.0</v>
      </c>
      <c r="E151" s="21"/>
      <c r="F151" s="21">
        <v>640.0</v>
      </c>
      <c r="G151" s="21"/>
      <c r="H151" s="21">
        <v>4770.0</v>
      </c>
      <c r="I151" s="21"/>
      <c r="J151" s="21">
        <v>130.0</v>
      </c>
      <c r="K151" s="25">
        <f t="shared" si="31"/>
        <v>5980</v>
      </c>
    </row>
    <row r="152" ht="13.5" customHeight="1">
      <c r="A152" s="40" t="s">
        <v>7</v>
      </c>
      <c r="B152" s="40"/>
      <c r="C152" s="40">
        <v>563.0</v>
      </c>
      <c r="D152" s="10">
        <f t="shared" ref="D152:J152" si="32">SUM(D146:D151)</f>
        <v>1800</v>
      </c>
      <c r="E152" s="10">
        <f t="shared" si="32"/>
        <v>180</v>
      </c>
      <c r="F152" s="10">
        <f t="shared" si="32"/>
        <v>2920</v>
      </c>
      <c r="G152" s="10">
        <f t="shared" si="32"/>
        <v>0</v>
      </c>
      <c r="H152" s="10">
        <f t="shared" si="32"/>
        <v>12190</v>
      </c>
      <c r="I152" s="10">
        <f t="shared" si="32"/>
        <v>130</v>
      </c>
      <c r="J152" s="10">
        <f t="shared" si="32"/>
        <v>410</v>
      </c>
      <c r="K152" s="25">
        <f t="shared" si="31"/>
        <v>17630</v>
      </c>
    </row>
    <row r="153" ht="13.5" customHeight="1">
      <c r="A153" s="48" t="s">
        <v>186</v>
      </c>
    </row>
    <row r="154" ht="13.5" customHeight="1">
      <c r="A154" s="14" t="s">
        <v>25</v>
      </c>
      <c r="B154" s="14" t="s">
        <v>1</v>
      </c>
      <c r="C154" s="14" t="s">
        <v>27</v>
      </c>
      <c r="D154" s="15" t="s">
        <v>2</v>
      </c>
      <c r="E154" s="10" t="s">
        <v>28</v>
      </c>
      <c r="F154" s="16" t="s">
        <v>3</v>
      </c>
      <c r="G154" s="15" t="s">
        <v>4</v>
      </c>
      <c r="H154" s="15" t="s">
        <v>5</v>
      </c>
      <c r="I154" s="15" t="s">
        <v>29</v>
      </c>
      <c r="J154" s="14" t="s">
        <v>30</v>
      </c>
      <c r="K154" s="17" t="s">
        <v>7</v>
      </c>
      <c r="L154" s="49"/>
    </row>
    <row r="155" ht="13.5" customHeight="1">
      <c r="A155" s="18" t="s">
        <v>31</v>
      </c>
      <c r="B155" s="19" t="s">
        <v>172</v>
      </c>
      <c r="C155" s="20" t="s">
        <v>33</v>
      </c>
      <c r="D155" s="21">
        <v>450.0</v>
      </c>
      <c r="E155" s="36">
        <v>60.0</v>
      </c>
      <c r="F155" s="36">
        <v>780.0</v>
      </c>
      <c r="G155" s="32"/>
      <c r="H155" s="21">
        <v>970.0</v>
      </c>
      <c r="I155" s="21"/>
      <c r="J155" s="21">
        <v>80.0</v>
      </c>
      <c r="K155" s="25">
        <f t="shared" ref="K155:K161" si="33">SUM(D155:J155)</f>
        <v>2340</v>
      </c>
    </row>
    <row r="156" ht="13.5" customHeight="1">
      <c r="A156" s="26" t="s">
        <v>34</v>
      </c>
      <c r="B156" s="27"/>
      <c r="C156" s="28"/>
      <c r="D156" s="21"/>
      <c r="E156" s="36"/>
      <c r="F156" s="36"/>
      <c r="G156" s="32"/>
      <c r="H156" s="21"/>
      <c r="I156" s="21"/>
      <c r="J156" s="21"/>
      <c r="K156" s="25">
        <f t="shared" si="33"/>
        <v>0</v>
      </c>
    </row>
    <row r="157" ht="13.5" customHeight="1">
      <c r="A157" s="18" t="s">
        <v>35</v>
      </c>
      <c r="B157" s="30">
        <v>2.0</v>
      </c>
      <c r="C157" s="31" t="s">
        <v>36</v>
      </c>
      <c r="D157" s="21">
        <v>510.0</v>
      </c>
      <c r="E157" s="36">
        <v>60.0</v>
      </c>
      <c r="F157" s="36">
        <v>1100.0</v>
      </c>
      <c r="G157" s="32"/>
      <c r="H157" s="21">
        <v>1340.0</v>
      </c>
      <c r="I157" s="21"/>
      <c r="J157" s="21">
        <v>80.0</v>
      </c>
      <c r="K157" s="25">
        <f t="shared" si="33"/>
        <v>3090</v>
      </c>
    </row>
    <row r="158" ht="13.5" customHeight="1">
      <c r="A158" s="26" t="s">
        <v>37</v>
      </c>
      <c r="B158" s="33"/>
      <c r="C158" s="34"/>
      <c r="D158" s="21"/>
      <c r="E158" s="36"/>
      <c r="F158" s="36"/>
      <c r="G158" s="32"/>
      <c r="H158" s="21"/>
      <c r="I158" s="21"/>
      <c r="J158" s="21"/>
      <c r="K158" s="25">
        <f t="shared" si="33"/>
        <v>0</v>
      </c>
    </row>
    <row r="159" ht="14.25" customHeight="1">
      <c r="A159" s="18" t="s">
        <v>38</v>
      </c>
      <c r="B159" s="19" t="s">
        <v>39</v>
      </c>
      <c r="C159" s="19" t="s">
        <v>40</v>
      </c>
      <c r="D159" s="21">
        <v>420.0</v>
      </c>
      <c r="E159" s="36">
        <v>60.0</v>
      </c>
      <c r="F159" s="36">
        <v>300.0</v>
      </c>
      <c r="G159" s="21"/>
      <c r="H159" s="21">
        <v>5100.0</v>
      </c>
      <c r="I159" s="21"/>
      <c r="J159" s="21">
        <v>120.0</v>
      </c>
      <c r="K159" s="25">
        <f t="shared" si="33"/>
        <v>6000</v>
      </c>
      <c r="L159" s="47"/>
      <c r="M159" s="12"/>
    </row>
    <row r="160" ht="13.5" customHeight="1">
      <c r="A160" s="35" t="s">
        <v>41</v>
      </c>
      <c r="B160" s="27"/>
      <c r="C160" s="27"/>
      <c r="D160" s="21">
        <v>440.0</v>
      </c>
      <c r="E160" s="21"/>
      <c r="F160" s="21">
        <v>500.0</v>
      </c>
      <c r="G160" s="21"/>
      <c r="H160" s="21">
        <v>4970.0</v>
      </c>
      <c r="I160" s="21"/>
      <c r="J160" s="21">
        <v>140.0</v>
      </c>
      <c r="K160" s="25">
        <f t="shared" si="33"/>
        <v>6050</v>
      </c>
    </row>
    <row r="161" ht="13.5" customHeight="1">
      <c r="A161" s="40" t="s">
        <v>7</v>
      </c>
      <c r="B161" s="40"/>
      <c r="C161" s="40"/>
      <c r="D161" s="10">
        <f t="shared" ref="D161:J161" si="34">SUM(D155:D160)</f>
        <v>1820</v>
      </c>
      <c r="E161" s="10">
        <f t="shared" si="34"/>
        <v>180</v>
      </c>
      <c r="F161" s="10">
        <f t="shared" si="34"/>
        <v>2680</v>
      </c>
      <c r="G161" s="10">
        <f t="shared" si="34"/>
        <v>0</v>
      </c>
      <c r="H161" s="10">
        <f t="shared" si="34"/>
        <v>12380</v>
      </c>
      <c r="I161" s="10">
        <f t="shared" si="34"/>
        <v>0</v>
      </c>
      <c r="J161" s="10">
        <f t="shared" si="34"/>
        <v>420</v>
      </c>
      <c r="K161" s="25">
        <f t="shared" si="33"/>
        <v>17480</v>
      </c>
    </row>
    <row r="162" ht="13.5" customHeight="1">
      <c r="A162" s="48" t="s">
        <v>187</v>
      </c>
    </row>
    <row r="163" ht="13.5" customHeight="1">
      <c r="A163" s="14" t="s">
        <v>25</v>
      </c>
      <c r="B163" s="14" t="s">
        <v>1</v>
      </c>
      <c r="C163" s="14" t="s">
        <v>27</v>
      </c>
      <c r="D163" s="15" t="s">
        <v>2</v>
      </c>
      <c r="E163" s="10" t="s">
        <v>28</v>
      </c>
      <c r="F163" s="16" t="s">
        <v>3</v>
      </c>
      <c r="G163" s="15" t="s">
        <v>4</v>
      </c>
      <c r="H163" s="15" t="s">
        <v>5</v>
      </c>
      <c r="I163" s="15" t="s">
        <v>29</v>
      </c>
      <c r="J163" s="14" t="s">
        <v>30</v>
      </c>
      <c r="K163" s="17" t="s">
        <v>7</v>
      </c>
    </row>
    <row r="164" ht="13.5" customHeight="1">
      <c r="A164" s="18" t="s">
        <v>31</v>
      </c>
      <c r="B164" s="19" t="s">
        <v>172</v>
      </c>
      <c r="C164" s="20" t="s">
        <v>33</v>
      </c>
      <c r="D164" s="21">
        <v>470.0</v>
      </c>
      <c r="E164" s="36">
        <v>60.0</v>
      </c>
      <c r="F164" s="36">
        <v>900.0</v>
      </c>
      <c r="G164" s="32"/>
      <c r="H164" s="21">
        <v>980.0</v>
      </c>
      <c r="I164" s="21"/>
      <c r="J164" s="24">
        <v>120.0</v>
      </c>
      <c r="K164" s="25">
        <f t="shared" ref="K164:K170" si="35">SUM(D164:J164)</f>
        <v>2530</v>
      </c>
    </row>
    <row r="165" ht="13.5" customHeight="1">
      <c r="A165" s="26" t="s">
        <v>34</v>
      </c>
      <c r="B165" s="27"/>
      <c r="C165" s="28"/>
      <c r="D165" s="21"/>
      <c r="E165" s="36"/>
      <c r="F165" s="36"/>
      <c r="G165" s="32"/>
      <c r="H165" s="21"/>
      <c r="I165" s="21"/>
      <c r="J165" s="29"/>
      <c r="K165" s="25">
        <f t="shared" si="35"/>
        <v>0</v>
      </c>
    </row>
    <row r="166" ht="13.5" customHeight="1">
      <c r="A166" s="18" t="s">
        <v>35</v>
      </c>
      <c r="B166" s="30">
        <v>2.0</v>
      </c>
      <c r="C166" s="31" t="s">
        <v>36</v>
      </c>
      <c r="D166" s="21">
        <v>570.0</v>
      </c>
      <c r="E166" s="36">
        <v>60.0</v>
      </c>
      <c r="F166" s="36">
        <v>900.0</v>
      </c>
      <c r="G166" s="32"/>
      <c r="H166" s="21">
        <v>1540.0</v>
      </c>
      <c r="I166" s="21"/>
      <c r="J166" s="24">
        <v>110.0</v>
      </c>
      <c r="K166" s="25">
        <f t="shared" si="35"/>
        <v>3180</v>
      </c>
    </row>
    <row r="167" ht="13.5" customHeight="1">
      <c r="A167" s="26" t="s">
        <v>37</v>
      </c>
      <c r="B167" s="33"/>
      <c r="C167" s="34"/>
      <c r="D167" s="21"/>
      <c r="E167" s="36"/>
      <c r="F167" s="36"/>
      <c r="G167" s="21"/>
      <c r="H167" s="21"/>
      <c r="I167" s="21"/>
      <c r="J167" s="29"/>
      <c r="K167" s="25">
        <f t="shared" si="35"/>
        <v>0</v>
      </c>
    </row>
    <row r="168" ht="14.25" customHeight="1">
      <c r="A168" s="18" t="s">
        <v>38</v>
      </c>
      <c r="B168" s="19" t="s">
        <v>39</v>
      </c>
      <c r="C168" s="19" t="s">
        <v>40</v>
      </c>
      <c r="D168" s="21">
        <v>430.0</v>
      </c>
      <c r="E168" s="36">
        <v>60.0</v>
      </c>
      <c r="F168" s="36">
        <v>400.0</v>
      </c>
      <c r="G168" s="21"/>
      <c r="H168" s="21">
        <v>5070.0</v>
      </c>
      <c r="I168" s="21"/>
      <c r="J168" s="21">
        <v>130.0</v>
      </c>
      <c r="K168" s="25">
        <f t="shared" si="35"/>
        <v>6090</v>
      </c>
      <c r="L168" s="47"/>
      <c r="M168" s="12"/>
    </row>
    <row r="169" ht="13.5" customHeight="1">
      <c r="A169" s="35" t="s">
        <v>41</v>
      </c>
      <c r="B169" s="27"/>
      <c r="C169" s="27"/>
      <c r="D169" s="21">
        <v>420.0</v>
      </c>
      <c r="E169" s="21"/>
      <c r="F169" s="21">
        <v>320.0</v>
      </c>
      <c r="G169" s="21"/>
      <c r="H169" s="21">
        <v>5140.0</v>
      </c>
      <c r="I169" s="21"/>
      <c r="J169" s="21">
        <v>140.0</v>
      </c>
      <c r="K169" s="25">
        <f t="shared" si="35"/>
        <v>6020</v>
      </c>
    </row>
    <row r="170" ht="13.5" customHeight="1">
      <c r="A170" s="40" t="s">
        <v>7</v>
      </c>
      <c r="B170" s="40"/>
      <c r="C170" s="40"/>
      <c r="D170" s="10">
        <f t="shared" ref="D170:J170" si="36">SUM(D164:D169)</f>
        <v>1890</v>
      </c>
      <c r="E170" s="10">
        <f t="shared" si="36"/>
        <v>180</v>
      </c>
      <c r="F170" s="10">
        <f t="shared" si="36"/>
        <v>2520</v>
      </c>
      <c r="G170" s="10">
        <f t="shared" si="36"/>
        <v>0</v>
      </c>
      <c r="H170" s="10">
        <f t="shared" si="36"/>
        <v>12730</v>
      </c>
      <c r="I170" s="10">
        <f t="shared" si="36"/>
        <v>0</v>
      </c>
      <c r="J170" s="10">
        <f t="shared" si="36"/>
        <v>500</v>
      </c>
      <c r="K170" s="25">
        <f t="shared" si="35"/>
        <v>17820</v>
      </c>
    </row>
    <row r="171" ht="13.5" customHeight="1">
      <c r="A171" s="48" t="s">
        <v>188</v>
      </c>
    </row>
    <row r="172" ht="13.5" customHeight="1">
      <c r="A172" s="14"/>
      <c r="B172" s="14" t="s">
        <v>1</v>
      </c>
      <c r="C172" s="14" t="s">
        <v>27</v>
      </c>
      <c r="D172" s="15" t="s">
        <v>2</v>
      </c>
      <c r="E172" s="10" t="s">
        <v>28</v>
      </c>
      <c r="F172" s="16" t="s">
        <v>3</v>
      </c>
      <c r="G172" s="15" t="s">
        <v>4</v>
      </c>
      <c r="H172" s="15" t="s">
        <v>5</v>
      </c>
      <c r="I172" s="15" t="s">
        <v>77</v>
      </c>
      <c r="J172" s="14" t="s">
        <v>30</v>
      </c>
      <c r="K172" s="17" t="s">
        <v>7</v>
      </c>
    </row>
    <row r="173" ht="13.5" customHeight="1">
      <c r="A173" s="18" t="s">
        <v>31</v>
      </c>
      <c r="B173" s="19" t="s">
        <v>172</v>
      </c>
      <c r="C173" s="20" t="s">
        <v>33</v>
      </c>
      <c r="D173" s="21">
        <v>480.0</v>
      </c>
      <c r="E173" s="36">
        <v>60.0</v>
      </c>
      <c r="F173" s="36">
        <v>800.0</v>
      </c>
      <c r="G173" s="32"/>
      <c r="H173" s="21">
        <v>1070.0</v>
      </c>
      <c r="I173" s="21"/>
      <c r="J173" s="24">
        <v>100.0</v>
      </c>
      <c r="K173" s="25">
        <f t="shared" ref="K173:K179" si="37">SUM(D173:J173)</f>
        <v>2510</v>
      </c>
    </row>
    <row r="174" ht="13.5" customHeight="1">
      <c r="A174" s="26" t="s">
        <v>34</v>
      </c>
      <c r="B174" s="27"/>
      <c r="C174" s="28"/>
      <c r="D174" s="21"/>
      <c r="E174" s="36"/>
      <c r="F174" s="36"/>
      <c r="G174" s="32"/>
      <c r="H174" s="21"/>
      <c r="I174" s="21"/>
      <c r="J174" s="24"/>
      <c r="K174" s="25">
        <f t="shared" si="37"/>
        <v>0</v>
      </c>
    </row>
    <row r="175" ht="13.5" customHeight="1">
      <c r="A175" s="18" t="s">
        <v>35</v>
      </c>
      <c r="B175" s="30">
        <v>2.0</v>
      </c>
      <c r="C175" s="31" t="s">
        <v>36</v>
      </c>
      <c r="D175" s="21">
        <v>520.0</v>
      </c>
      <c r="E175" s="36">
        <v>60.0</v>
      </c>
      <c r="F175" s="41">
        <v>1040.0</v>
      </c>
      <c r="G175" s="32"/>
      <c r="H175" s="21">
        <v>980.0</v>
      </c>
      <c r="I175" s="21"/>
      <c r="J175" s="24">
        <v>120.0</v>
      </c>
      <c r="K175" s="25">
        <f t="shared" si="37"/>
        <v>2720</v>
      </c>
    </row>
    <row r="176" ht="13.5" customHeight="1">
      <c r="A176" s="26" t="s">
        <v>37</v>
      </c>
      <c r="B176" s="33"/>
      <c r="C176" s="34"/>
      <c r="D176" s="21"/>
      <c r="E176" s="36"/>
      <c r="F176" s="41"/>
      <c r="G176" s="32"/>
      <c r="H176" s="21"/>
      <c r="I176" s="21"/>
      <c r="J176" s="29"/>
      <c r="K176" s="25">
        <f t="shared" si="37"/>
        <v>0</v>
      </c>
    </row>
    <row r="177" ht="14.25" customHeight="1">
      <c r="A177" s="18" t="s">
        <v>38</v>
      </c>
      <c r="B177" s="19" t="s">
        <v>39</v>
      </c>
      <c r="C177" s="19" t="s">
        <v>40</v>
      </c>
      <c r="D177" s="21">
        <v>410.0</v>
      </c>
      <c r="E177" s="36">
        <v>60.0</v>
      </c>
      <c r="F177" s="36">
        <v>400.0</v>
      </c>
      <c r="G177" s="21"/>
      <c r="H177" s="21">
        <v>4910.0</v>
      </c>
      <c r="I177" s="21"/>
      <c r="J177" s="21">
        <v>150.0</v>
      </c>
      <c r="K177" s="25">
        <f t="shared" si="37"/>
        <v>5930</v>
      </c>
      <c r="L177" s="47"/>
      <c r="M177" s="12"/>
    </row>
    <row r="178" ht="13.5" customHeight="1">
      <c r="A178" s="35" t="s">
        <v>41</v>
      </c>
      <c r="B178" s="27"/>
      <c r="C178" s="27"/>
      <c r="D178" s="21">
        <v>410.0</v>
      </c>
      <c r="E178" s="36"/>
      <c r="F178" s="36">
        <v>330.0</v>
      </c>
      <c r="G178" s="21"/>
      <c r="H178" s="21">
        <v>5030.0</v>
      </c>
      <c r="I178" s="21"/>
      <c r="J178" s="21">
        <v>170.0</v>
      </c>
      <c r="K178" s="25">
        <f t="shared" si="37"/>
        <v>5940</v>
      </c>
    </row>
    <row r="179" ht="13.5" customHeight="1">
      <c r="A179" s="40" t="s">
        <v>7</v>
      </c>
      <c r="B179" s="40"/>
      <c r="C179" s="40"/>
      <c r="D179" s="10">
        <f t="shared" ref="D179:J179" si="38">SUM(D173:D178)</f>
        <v>1820</v>
      </c>
      <c r="E179" s="10">
        <f t="shared" si="38"/>
        <v>180</v>
      </c>
      <c r="F179" s="10">
        <f t="shared" si="38"/>
        <v>2570</v>
      </c>
      <c r="G179" s="10">
        <f t="shared" si="38"/>
        <v>0</v>
      </c>
      <c r="H179" s="10">
        <f t="shared" si="38"/>
        <v>11990</v>
      </c>
      <c r="I179" s="10">
        <f t="shared" si="38"/>
        <v>0</v>
      </c>
      <c r="J179" s="10">
        <f t="shared" si="38"/>
        <v>540</v>
      </c>
      <c r="K179" s="25">
        <f t="shared" si="37"/>
        <v>17100</v>
      </c>
    </row>
    <row r="180" ht="13.5" customHeight="1">
      <c r="A180" s="48" t="s">
        <v>189</v>
      </c>
    </row>
    <row r="181" ht="13.5" customHeight="1">
      <c r="A181" s="14" t="s">
        <v>25</v>
      </c>
      <c r="B181" s="14" t="s">
        <v>1</v>
      </c>
      <c r="C181" s="14" t="s">
        <v>27</v>
      </c>
      <c r="D181" s="15" t="s">
        <v>2</v>
      </c>
      <c r="E181" s="10" t="s">
        <v>28</v>
      </c>
      <c r="F181" s="16" t="s">
        <v>3</v>
      </c>
      <c r="G181" s="15" t="s">
        <v>4</v>
      </c>
      <c r="H181" s="15" t="s">
        <v>5</v>
      </c>
      <c r="I181" s="15" t="s">
        <v>77</v>
      </c>
      <c r="J181" s="14" t="s">
        <v>30</v>
      </c>
      <c r="K181" s="17" t="s">
        <v>7</v>
      </c>
    </row>
    <row r="182" ht="13.5" customHeight="1">
      <c r="A182" s="18" t="s">
        <v>31</v>
      </c>
      <c r="B182" s="19" t="s">
        <v>172</v>
      </c>
      <c r="C182" s="20" t="s">
        <v>33</v>
      </c>
      <c r="D182" s="21">
        <v>400.0</v>
      </c>
      <c r="E182" s="36">
        <v>60.0</v>
      </c>
      <c r="F182" s="41">
        <v>900.0</v>
      </c>
      <c r="G182" s="32"/>
      <c r="H182" s="21">
        <v>1120.0</v>
      </c>
      <c r="I182" s="21"/>
      <c r="J182" s="24">
        <v>160.0</v>
      </c>
      <c r="K182" s="25">
        <f t="shared" ref="K182:K188" si="39">SUM(D182:J182)</f>
        <v>2640</v>
      </c>
    </row>
    <row r="183" ht="13.5" customHeight="1">
      <c r="A183" s="26" t="s">
        <v>34</v>
      </c>
      <c r="B183" s="27"/>
      <c r="C183" s="28"/>
      <c r="D183" s="21"/>
      <c r="E183" s="36"/>
      <c r="F183" s="41"/>
      <c r="G183" s="32"/>
      <c r="H183" s="21"/>
      <c r="I183" s="21"/>
      <c r="J183" s="29"/>
      <c r="K183" s="25">
        <f t="shared" si="39"/>
        <v>0</v>
      </c>
    </row>
    <row r="184" ht="13.5" customHeight="1">
      <c r="A184" s="18" t="s">
        <v>35</v>
      </c>
      <c r="B184" s="30">
        <v>2.0</v>
      </c>
      <c r="C184" s="31" t="s">
        <v>36</v>
      </c>
      <c r="D184" s="21">
        <v>500.0</v>
      </c>
      <c r="E184" s="36">
        <v>60.0</v>
      </c>
      <c r="F184" s="41">
        <v>950.0</v>
      </c>
      <c r="G184" s="32"/>
      <c r="H184" s="21">
        <v>950.0</v>
      </c>
      <c r="I184" s="21"/>
      <c r="J184" s="24">
        <v>150.0</v>
      </c>
      <c r="K184" s="25">
        <f t="shared" si="39"/>
        <v>2610</v>
      </c>
    </row>
    <row r="185" ht="13.5" customHeight="1">
      <c r="A185" s="26" t="s">
        <v>37</v>
      </c>
      <c r="B185" s="33"/>
      <c r="C185" s="34"/>
      <c r="D185" s="21"/>
      <c r="E185" s="36"/>
      <c r="F185" s="41"/>
      <c r="G185" s="32"/>
      <c r="H185" s="21"/>
      <c r="I185" s="21"/>
      <c r="J185" s="29"/>
      <c r="K185" s="25">
        <f t="shared" si="39"/>
        <v>0</v>
      </c>
    </row>
    <row r="186" ht="14.25" customHeight="1">
      <c r="A186" s="18" t="s">
        <v>38</v>
      </c>
      <c r="B186" s="19" t="s">
        <v>39</v>
      </c>
      <c r="C186" s="19" t="s">
        <v>40</v>
      </c>
      <c r="D186" s="21">
        <v>560.0</v>
      </c>
      <c r="E186" s="36">
        <v>60.0</v>
      </c>
      <c r="F186" s="36">
        <v>450.0</v>
      </c>
      <c r="G186" s="21"/>
      <c r="H186" s="21">
        <v>4650.0</v>
      </c>
      <c r="I186" s="21"/>
      <c r="J186" s="21">
        <v>190.0</v>
      </c>
      <c r="K186" s="25">
        <f t="shared" si="39"/>
        <v>5910</v>
      </c>
      <c r="L186" s="47"/>
      <c r="M186" s="12"/>
    </row>
    <row r="187" ht="13.5" customHeight="1">
      <c r="A187" s="35" t="s">
        <v>41</v>
      </c>
      <c r="B187" s="27"/>
      <c r="C187" s="27"/>
      <c r="D187" s="21">
        <v>560.0</v>
      </c>
      <c r="E187" s="21"/>
      <c r="F187" s="21">
        <v>450.0</v>
      </c>
      <c r="G187" s="21"/>
      <c r="H187" s="21">
        <v>4700.0</v>
      </c>
      <c r="I187" s="21"/>
      <c r="J187" s="21">
        <v>190.0</v>
      </c>
      <c r="K187" s="25">
        <f t="shared" si="39"/>
        <v>5900</v>
      </c>
    </row>
    <row r="188" ht="13.5" customHeight="1">
      <c r="A188" s="40" t="s">
        <v>7</v>
      </c>
      <c r="B188" s="40"/>
      <c r="C188" s="40"/>
      <c r="D188" s="10">
        <f t="shared" ref="D188:J188" si="40">SUM(D182:D187)</f>
        <v>2020</v>
      </c>
      <c r="E188" s="10">
        <f t="shared" si="40"/>
        <v>180</v>
      </c>
      <c r="F188" s="10">
        <f t="shared" si="40"/>
        <v>2750</v>
      </c>
      <c r="G188" s="10">
        <f t="shared" si="40"/>
        <v>0</v>
      </c>
      <c r="H188" s="10">
        <f t="shared" si="40"/>
        <v>11420</v>
      </c>
      <c r="I188" s="10">
        <f t="shared" si="40"/>
        <v>0</v>
      </c>
      <c r="J188" s="10">
        <f t="shared" si="40"/>
        <v>690</v>
      </c>
      <c r="K188" s="25">
        <f t="shared" si="39"/>
        <v>17060</v>
      </c>
    </row>
    <row r="189" ht="13.5" customHeight="1">
      <c r="A189" s="48" t="s">
        <v>190</v>
      </c>
    </row>
    <row r="190" ht="13.5" customHeight="1">
      <c r="A190" s="14" t="s">
        <v>25</v>
      </c>
      <c r="B190" s="14" t="s">
        <v>1</v>
      </c>
      <c r="C190" s="14" t="s">
        <v>27</v>
      </c>
      <c r="D190" s="15" t="s">
        <v>2</v>
      </c>
      <c r="E190" s="10" t="s">
        <v>28</v>
      </c>
      <c r="F190" s="16" t="s">
        <v>3</v>
      </c>
      <c r="G190" s="15" t="s">
        <v>4</v>
      </c>
      <c r="H190" s="15" t="s">
        <v>5</v>
      </c>
      <c r="I190" s="15" t="s">
        <v>82</v>
      </c>
      <c r="J190" s="14" t="s">
        <v>30</v>
      </c>
      <c r="K190" s="17" t="s">
        <v>7</v>
      </c>
    </row>
    <row r="191" ht="13.5" customHeight="1">
      <c r="A191" s="18" t="s">
        <v>31</v>
      </c>
      <c r="B191" s="19" t="s">
        <v>172</v>
      </c>
      <c r="C191" s="20" t="s">
        <v>33</v>
      </c>
      <c r="D191" s="21">
        <v>530.0</v>
      </c>
      <c r="E191" s="36">
        <v>60.0</v>
      </c>
      <c r="F191" s="36">
        <v>960.0</v>
      </c>
      <c r="G191" s="32"/>
      <c r="H191" s="21">
        <v>880.0</v>
      </c>
      <c r="I191" s="21"/>
      <c r="J191" s="50">
        <v>100.0</v>
      </c>
      <c r="K191" s="25">
        <f t="shared" ref="K191:K197" si="41">SUM(D191:J191)</f>
        <v>2530</v>
      </c>
    </row>
    <row r="192" ht="13.5" customHeight="1">
      <c r="A192" s="26" t="s">
        <v>34</v>
      </c>
      <c r="B192" s="27"/>
      <c r="C192" s="28"/>
      <c r="D192" s="21"/>
      <c r="E192" s="36"/>
      <c r="F192" s="36"/>
      <c r="G192" s="32"/>
      <c r="H192" s="21"/>
      <c r="I192" s="21"/>
      <c r="J192" s="51"/>
      <c r="K192" s="25">
        <f t="shared" si="41"/>
        <v>0</v>
      </c>
    </row>
    <row r="193" ht="13.5" customHeight="1">
      <c r="A193" s="18" t="s">
        <v>35</v>
      </c>
      <c r="B193" s="30">
        <v>2.0</v>
      </c>
      <c r="C193" s="31" t="s">
        <v>36</v>
      </c>
      <c r="D193" s="21">
        <v>510.0</v>
      </c>
      <c r="E193" s="36">
        <v>60.0</v>
      </c>
      <c r="F193" s="36">
        <v>950.0</v>
      </c>
      <c r="G193" s="32"/>
      <c r="H193" s="21">
        <v>1450.0</v>
      </c>
      <c r="I193" s="21"/>
      <c r="J193" s="50">
        <v>120.0</v>
      </c>
      <c r="K193" s="25">
        <f t="shared" si="41"/>
        <v>3090</v>
      </c>
    </row>
    <row r="194" ht="13.5" customHeight="1">
      <c r="A194" s="26" t="s">
        <v>37</v>
      </c>
      <c r="B194" s="33"/>
      <c r="C194" s="34"/>
      <c r="D194" s="10"/>
      <c r="E194" s="10"/>
      <c r="F194" s="10"/>
      <c r="G194" s="32"/>
      <c r="H194" s="10"/>
      <c r="I194" s="10"/>
      <c r="J194" s="52"/>
      <c r="K194" s="25">
        <f t="shared" si="41"/>
        <v>0</v>
      </c>
    </row>
    <row r="195" ht="14.25" customHeight="1">
      <c r="A195" s="18" t="s">
        <v>38</v>
      </c>
      <c r="B195" s="19" t="s">
        <v>39</v>
      </c>
      <c r="C195" s="19" t="s">
        <v>40</v>
      </c>
      <c r="D195" s="21">
        <v>460.0</v>
      </c>
      <c r="E195" s="36">
        <v>60.0</v>
      </c>
      <c r="F195" s="36">
        <v>650.0</v>
      </c>
      <c r="G195" s="21"/>
      <c r="H195" s="21">
        <v>4780.0</v>
      </c>
      <c r="I195" s="21"/>
      <c r="J195" s="21">
        <v>130.0</v>
      </c>
      <c r="K195" s="25">
        <f t="shared" si="41"/>
        <v>6080</v>
      </c>
      <c r="L195" s="47"/>
      <c r="M195" s="12"/>
    </row>
    <row r="196" ht="13.5" customHeight="1">
      <c r="A196" s="35" t="s">
        <v>41</v>
      </c>
      <c r="B196" s="27"/>
      <c r="C196" s="27"/>
      <c r="D196" s="21">
        <v>450.0</v>
      </c>
      <c r="E196" s="21"/>
      <c r="F196" s="21">
        <v>330.0</v>
      </c>
      <c r="G196" s="21"/>
      <c r="H196" s="21">
        <v>5010.0</v>
      </c>
      <c r="I196" s="21"/>
      <c r="J196" s="21">
        <v>130.0</v>
      </c>
      <c r="K196" s="25">
        <f t="shared" si="41"/>
        <v>5920</v>
      </c>
    </row>
    <row r="197" ht="13.5" customHeight="1">
      <c r="A197" s="40" t="s">
        <v>7</v>
      </c>
      <c r="B197" s="40"/>
      <c r="C197" s="40"/>
      <c r="D197" s="10">
        <f t="shared" ref="D197:J197" si="42">SUM(D191:D196)</f>
        <v>1950</v>
      </c>
      <c r="E197" s="10">
        <f t="shared" si="42"/>
        <v>180</v>
      </c>
      <c r="F197" s="10">
        <f t="shared" si="42"/>
        <v>2890</v>
      </c>
      <c r="G197" s="10">
        <f t="shared" si="42"/>
        <v>0</v>
      </c>
      <c r="H197" s="10">
        <f t="shared" si="42"/>
        <v>12120</v>
      </c>
      <c r="I197" s="10">
        <f t="shared" si="42"/>
        <v>0</v>
      </c>
      <c r="J197" s="10">
        <f t="shared" si="42"/>
        <v>480</v>
      </c>
      <c r="K197" s="25">
        <f t="shared" si="41"/>
        <v>17620</v>
      </c>
    </row>
    <row r="198" ht="13.5" customHeight="1"/>
    <row r="199" ht="13.5" customHeight="1">
      <c r="A199" s="48"/>
    </row>
    <row r="200" ht="13.5" customHeight="1">
      <c r="A200" s="14" t="s">
        <v>25</v>
      </c>
      <c r="B200" s="14" t="s">
        <v>1</v>
      </c>
      <c r="C200" s="14" t="s">
        <v>27</v>
      </c>
      <c r="D200" s="15" t="s">
        <v>2</v>
      </c>
      <c r="E200" s="10" t="s">
        <v>28</v>
      </c>
      <c r="F200" s="16" t="s">
        <v>3</v>
      </c>
      <c r="G200" s="15" t="s">
        <v>4</v>
      </c>
      <c r="H200" s="15" t="s">
        <v>5</v>
      </c>
      <c r="I200" s="15" t="s">
        <v>29</v>
      </c>
      <c r="J200" s="14" t="s">
        <v>30</v>
      </c>
      <c r="K200" s="17" t="s">
        <v>7</v>
      </c>
    </row>
    <row r="201" ht="13.5" customHeight="1">
      <c r="A201" s="18" t="s">
        <v>31</v>
      </c>
      <c r="B201" s="19" t="s">
        <v>172</v>
      </c>
      <c r="C201" s="20" t="s">
        <v>33</v>
      </c>
      <c r="D201" s="21"/>
      <c r="E201" s="36"/>
      <c r="F201" s="41"/>
      <c r="G201" s="32"/>
      <c r="H201" s="21"/>
      <c r="I201" s="21"/>
      <c r="J201" s="24"/>
      <c r="K201" s="25">
        <f t="shared" ref="K201:K207" si="43">SUM(D201:J201)</f>
        <v>0</v>
      </c>
    </row>
    <row r="202" ht="13.5" customHeight="1">
      <c r="A202" s="26" t="s">
        <v>34</v>
      </c>
      <c r="B202" s="27"/>
      <c r="C202" s="28"/>
      <c r="D202" s="21"/>
      <c r="E202" s="36"/>
      <c r="F202" s="41"/>
      <c r="G202" s="32"/>
      <c r="H202" s="21"/>
      <c r="I202" s="21"/>
      <c r="J202" s="29"/>
      <c r="K202" s="25">
        <f t="shared" si="43"/>
        <v>0</v>
      </c>
    </row>
    <row r="203" ht="13.5" customHeight="1">
      <c r="A203" s="18" t="s">
        <v>35</v>
      </c>
      <c r="B203" s="30">
        <v>2.0</v>
      </c>
      <c r="C203" s="31" t="s">
        <v>36</v>
      </c>
      <c r="D203" s="21"/>
      <c r="E203" s="41"/>
      <c r="F203" s="10"/>
      <c r="G203" s="32"/>
      <c r="H203" s="21"/>
      <c r="I203" s="24"/>
      <c r="J203" s="24"/>
      <c r="K203" s="25">
        <f t="shared" si="43"/>
        <v>0</v>
      </c>
    </row>
    <row r="204" ht="13.5" customHeight="1">
      <c r="A204" s="26" t="s">
        <v>37</v>
      </c>
      <c r="B204" s="33"/>
      <c r="C204" s="34"/>
      <c r="D204" s="21"/>
      <c r="E204" s="36"/>
      <c r="F204" s="36"/>
      <c r="G204" s="32"/>
      <c r="H204" s="21"/>
      <c r="I204" s="29"/>
      <c r="J204" s="29"/>
      <c r="K204" s="25">
        <f t="shared" si="43"/>
        <v>0</v>
      </c>
    </row>
    <row r="205" ht="14.25" customHeight="1">
      <c r="A205" s="18" t="s">
        <v>38</v>
      </c>
      <c r="B205" s="19" t="s">
        <v>39</v>
      </c>
      <c r="C205" s="19" t="s">
        <v>40</v>
      </c>
      <c r="D205" s="21"/>
      <c r="E205" s="36"/>
      <c r="F205" s="36"/>
      <c r="G205" s="21"/>
      <c r="H205" s="21"/>
      <c r="I205" s="21"/>
      <c r="J205" s="24"/>
      <c r="K205" s="25">
        <f t="shared" si="43"/>
        <v>0</v>
      </c>
      <c r="L205" s="47"/>
      <c r="M205" s="12"/>
    </row>
    <row r="206" ht="13.5" customHeight="1">
      <c r="A206" s="35" t="s">
        <v>41</v>
      </c>
      <c r="B206" s="27"/>
      <c r="C206" s="27"/>
      <c r="D206" s="21"/>
      <c r="E206" s="36"/>
      <c r="F206" s="36"/>
      <c r="G206" s="21"/>
      <c r="H206" s="21"/>
      <c r="I206" s="21"/>
      <c r="J206" s="39"/>
      <c r="K206" s="25">
        <f t="shared" si="43"/>
        <v>0</v>
      </c>
    </row>
    <row r="207" ht="13.5" customHeight="1">
      <c r="A207" s="40" t="s">
        <v>7</v>
      </c>
      <c r="B207" s="40"/>
      <c r="C207" s="40"/>
      <c r="D207" s="10">
        <f t="shared" ref="D207:J207" si="44">SUM(D201:D206)</f>
        <v>0</v>
      </c>
      <c r="E207" s="10">
        <f t="shared" si="44"/>
        <v>0</v>
      </c>
      <c r="F207" s="10">
        <f t="shared" si="44"/>
        <v>0</v>
      </c>
      <c r="G207" s="10">
        <f t="shared" si="44"/>
        <v>0</v>
      </c>
      <c r="H207" s="10">
        <f t="shared" si="44"/>
        <v>0</v>
      </c>
      <c r="I207" s="10">
        <f t="shared" si="44"/>
        <v>0</v>
      </c>
      <c r="J207" s="10">
        <f t="shared" si="44"/>
        <v>0</v>
      </c>
      <c r="K207" s="25">
        <f t="shared" si="43"/>
        <v>0</v>
      </c>
    </row>
    <row r="208" ht="13.5" customHeight="1"/>
    <row r="209" ht="13.5" customHeight="1">
      <c r="A209" s="48" t="s">
        <v>156</v>
      </c>
    </row>
    <row r="210" ht="13.5" customHeight="1">
      <c r="A210" s="14"/>
      <c r="B210" s="14" t="s">
        <v>1</v>
      </c>
      <c r="C210" s="14" t="s">
        <v>27</v>
      </c>
      <c r="D210" s="15" t="s">
        <v>2</v>
      </c>
      <c r="E210" s="10" t="s">
        <v>28</v>
      </c>
      <c r="F210" s="16" t="s">
        <v>3</v>
      </c>
      <c r="G210" s="15" t="s">
        <v>4</v>
      </c>
      <c r="H210" s="15" t="s">
        <v>5</v>
      </c>
      <c r="I210" s="15" t="s">
        <v>29</v>
      </c>
      <c r="J210" s="14" t="s">
        <v>30</v>
      </c>
      <c r="K210" s="17" t="s">
        <v>7</v>
      </c>
    </row>
    <row r="211" ht="13.5" customHeight="1">
      <c r="A211" s="18" t="s">
        <v>31</v>
      </c>
      <c r="B211" s="19" t="s">
        <v>172</v>
      </c>
      <c r="C211" s="20" t="s">
        <v>33</v>
      </c>
      <c r="D211" s="21"/>
      <c r="E211" s="36"/>
      <c r="F211" s="36"/>
      <c r="G211" s="32"/>
      <c r="H211" s="21"/>
      <c r="I211" s="23"/>
      <c r="J211" s="24"/>
      <c r="K211" s="25">
        <f t="shared" ref="K211:K217" si="45">SUM(D211:J211)</f>
        <v>0</v>
      </c>
    </row>
    <row r="212" ht="13.5" customHeight="1">
      <c r="A212" s="26" t="s">
        <v>34</v>
      </c>
      <c r="B212" s="27"/>
      <c r="C212" s="28"/>
      <c r="D212" s="21"/>
      <c r="E212" s="36"/>
      <c r="F212" s="37"/>
      <c r="G212" s="53"/>
      <c r="H212" s="22"/>
      <c r="I212" s="29"/>
      <c r="J212" s="29"/>
      <c r="K212" s="25">
        <f t="shared" si="45"/>
        <v>0</v>
      </c>
    </row>
    <row r="213" ht="13.5" customHeight="1">
      <c r="A213" s="18" t="s">
        <v>35</v>
      </c>
      <c r="B213" s="30">
        <v>2.0</v>
      </c>
      <c r="C213" s="31" t="s">
        <v>36</v>
      </c>
      <c r="D213" s="21"/>
      <c r="E213" s="36"/>
      <c r="F213" s="36"/>
      <c r="G213" s="21"/>
      <c r="H213" s="21"/>
      <c r="I213" s="21"/>
      <c r="J213" s="24"/>
      <c r="K213" s="25">
        <f t="shared" si="45"/>
        <v>0</v>
      </c>
    </row>
    <row r="214" ht="13.5" customHeight="1">
      <c r="A214" s="26" t="s">
        <v>37</v>
      </c>
      <c r="B214" s="33"/>
      <c r="C214" s="34"/>
      <c r="D214" s="21"/>
      <c r="E214" s="36"/>
      <c r="F214" s="36"/>
      <c r="G214" s="21"/>
      <c r="H214" s="21"/>
      <c r="I214" s="21"/>
      <c r="J214" s="29"/>
      <c r="K214" s="25">
        <f t="shared" si="45"/>
        <v>0</v>
      </c>
    </row>
    <row r="215" ht="14.25" customHeight="1">
      <c r="A215" s="18" t="s">
        <v>38</v>
      </c>
      <c r="B215" s="19" t="s">
        <v>39</v>
      </c>
      <c r="C215" s="19" t="s">
        <v>40</v>
      </c>
      <c r="D215" s="21"/>
      <c r="E215" s="36"/>
      <c r="F215" s="36"/>
      <c r="G215" s="21"/>
      <c r="H215" s="21"/>
      <c r="I215" s="21"/>
      <c r="J215" s="24"/>
      <c r="K215" s="25">
        <f t="shared" si="45"/>
        <v>0</v>
      </c>
      <c r="L215" s="47"/>
      <c r="M215" s="12"/>
    </row>
    <row r="216" ht="13.5" customHeight="1">
      <c r="A216" s="35" t="s">
        <v>41</v>
      </c>
      <c r="B216" s="27"/>
      <c r="C216" s="27"/>
      <c r="D216" s="21"/>
      <c r="E216" s="21"/>
      <c r="F216" s="21"/>
      <c r="G216" s="21"/>
      <c r="H216" s="21"/>
      <c r="I216" s="21"/>
      <c r="J216" s="21"/>
      <c r="K216" s="25">
        <f t="shared" si="45"/>
        <v>0</v>
      </c>
    </row>
    <row r="217" ht="13.5" customHeight="1">
      <c r="A217" s="40" t="s">
        <v>7</v>
      </c>
      <c r="B217" s="40"/>
      <c r="C217" s="40"/>
      <c r="D217" s="10">
        <f t="shared" ref="D217:J217" si="46">SUM(D211:D216)</f>
        <v>0</v>
      </c>
      <c r="E217" s="10">
        <f t="shared" si="46"/>
        <v>0</v>
      </c>
      <c r="F217" s="10">
        <f t="shared" si="46"/>
        <v>0</v>
      </c>
      <c r="G217" s="10">
        <f t="shared" si="46"/>
        <v>0</v>
      </c>
      <c r="H217" s="10">
        <f t="shared" si="46"/>
        <v>0</v>
      </c>
      <c r="I217" s="10">
        <f t="shared" si="46"/>
        <v>0</v>
      </c>
      <c r="J217" s="10">
        <f t="shared" si="46"/>
        <v>0</v>
      </c>
      <c r="K217" s="25">
        <f t="shared" si="45"/>
        <v>0</v>
      </c>
    </row>
    <row r="218" ht="13.5" customHeight="1"/>
    <row r="219" ht="13.5" customHeight="1">
      <c r="A219" s="48" t="s">
        <v>158</v>
      </c>
    </row>
    <row r="220" ht="13.5" customHeight="1">
      <c r="A220" s="14" t="s">
        <v>25</v>
      </c>
      <c r="B220" s="14" t="s">
        <v>1</v>
      </c>
      <c r="C220" s="14" t="s">
        <v>27</v>
      </c>
      <c r="D220" s="15" t="s">
        <v>2</v>
      </c>
      <c r="E220" s="10" t="s">
        <v>28</v>
      </c>
      <c r="F220" s="16" t="s">
        <v>3</v>
      </c>
      <c r="G220" s="15" t="s">
        <v>4</v>
      </c>
      <c r="H220" s="15" t="s">
        <v>5</v>
      </c>
      <c r="I220" s="15" t="s">
        <v>29</v>
      </c>
      <c r="J220" s="14" t="s">
        <v>30</v>
      </c>
      <c r="K220" s="17" t="s">
        <v>7</v>
      </c>
    </row>
    <row r="221" ht="13.5" customHeight="1">
      <c r="A221" s="18" t="s">
        <v>31</v>
      </c>
      <c r="B221" s="19" t="s">
        <v>172</v>
      </c>
      <c r="C221" s="20" t="s">
        <v>33</v>
      </c>
      <c r="D221" s="21"/>
      <c r="E221" s="36"/>
      <c r="F221" s="36"/>
      <c r="G221" s="32"/>
      <c r="H221" s="21"/>
      <c r="I221" s="23"/>
      <c r="J221" s="24"/>
      <c r="K221" s="25">
        <f t="shared" ref="K221:K227" si="47">SUM(D221:J221)</f>
        <v>0</v>
      </c>
    </row>
    <row r="222" ht="13.5" customHeight="1">
      <c r="A222" s="26" t="s">
        <v>34</v>
      </c>
      <c r="B222" s="27"/>
      <c r="C222" s="28"/>
      <c r="D222" s="21"/>
      <c r="E222" s="36"/>
      <c r="F222" s="37"/>
      <c r="G222" s="53"/>
      <c r="H222" s="22"/>
      <c r="I222" s="29"/>
      <c r="J222" s="29"/>
      <c r="K222" s="25">
        <f t="shared" si="47"/>
        <v>0</v>
      </c>
    </row>
    <row r="223" ht="13.5" customHeight="1">
      <c r="A223" s="18" t="s">
        <v>35</v>
      </c>
      <c r="B223" s="30">
        <v>2.0</v>
      </c>
      <c r="C223" s="31" t="s">
        <v>36</v>
      </c>
      <c r="D223" s="21"/>
      <c r="E223" s="36"/>
      <c r="F223" s="36"/>
      <c r="G223" s="21"/>
      <c r="H223" s="21"/>
      <c r="I223" s="21"/>
      <c r="J223" s="24"/>
      <c r="K223" s="25">
        <f t="shared" si="47"/>
        <v>0</v>
      </c>
    </row>
    <row r="224" ht="13.5" customHeight="1">
      <c r="A224" s="26" t="s">
        <v>37</v>
      </c>
      <c r="B224" s="33"/>
      <c r="C224" s="34"/>
      <c r="D224" s="21"/>
      <c r="E224" s="36"/>
      <c r="F224" s="36"/>
      <c r="G224" s="21"/>
      <c r="H224" s="21"/>
      <c r="I224" s="21"/>
      <c r="J224" s="29"/>
      <c r="K224" s="25">
        <f t="shared" si="47"/>
        <v>0</v>
      </c>
    </row>
    <row r="225" ht="14.25" customHeight="1">
      <c r="A225" s="18" t="s">
        <v>38</v>
      </c>
      <c r="B225" s="19" t="s">
        <v>39</v>
      </c>
      <c r="C225" s="19" t="s">
        <v>40</v>
      </c>
      <c r="D225" s="21"/>
      <c r="E225" s="36"/>
      <c r="F225" s="36"/>
      <c r="G225" s="21"/>
      <c r="H225" s="21"/>
      <c r="I225" s="21"/>
      <c r="J225" s="24"/>
      <c r="K225" s="25">
        <f t="shared" si="47"/>
        <v>0</v>
      </c>
      <c r="L225" s="47"/>
      <c r="M225" s="12"/>
    </row>
    <row r="226" ht="13.5" customHeight="1">
      <c r="A226" s="35" t="s">
        <v>41</v>
      </c>
      <c r="B226" s="27"/>
      <c r="C226" s="27"/>
      <c r="D226" s="21"/>
      <c r="E226" s="21"/>
      <c r="F226" s="21"/>
      <c r="G226" s="21"/>
      <c r="H226" s="21"/>
      <c r="I226" s="21"/>
      <c r="J226" s="21"/>
      <c r="K226" s="25">
        <f t="shared" si="47"/>
        <v>0</v>
      </c>
    </row>
    <row r="227" ht="13.5" customHeight="1">
      <c r="A227" s="40" t="s">
        <v>7</v>
      </c>
      <c r="B227" s="40"/>
      <c r="C227" s="40"/>
      <c r="D227" s="10">
        <f t="shared" ref="D227:J227" si="48">SUM(D221:D226)</f>
        <v>0</v>
      </c>
      <c r="E227" s="10">
        <f t="shared" si="48"/>
        <v>0</v>
      </c>
      <c r="F227" s="10">
        <f t="shared" si="48"/>
        <v>0</v>
      </c>
      <c r="G227" s="10">
        <f t="shared" si="48"/>
        <v>0</v>
      </c>
      <c r="H227" s="10">
        <f t="shared" si="48"/>
        <v>0</v>
      </c>
      <c r="I227" s="10">
        <f t="shared" si="48"/>
        <v>0</v>
      </c>
      <c r="J227" s="10">
        <f t="shared" si="48"/>
        <v>0</v>
      </c>
      <c r="K227" s="25">
        <f t="shared" si="47"/>
        <v>0</v>
      </c>
    </row>
    <row r="228" ht="13.5" customHeight="1"/>
    <row r="229" ht="13.5" customHeight="1">
      <c r="A229" s="48" t="s">
        <v>90</v>
      </c>
    </row>
    <row r="230" ht="13.5" customHeight="1">
      <c r="A230" s="14" t="s">
        <v>25</v>
      </c>
      <c r="B230" s="14" t="s">
        <v>1</v>
      </c>
      <c r="C230" s="14" t="s">
        <v>27</v>
      </c>
      <c r="D230" s="15" t="s">
        <v>2</v>
      </c>
      <c r="E230" s="10" t="s">
        <v>28</v>
      </c>
      <c r="F230" s="16" t="s">
        <v>3</v>
      </c>
      <c r="G230" s="15" t="s">
        <v>4</v>
      </c>
      <c r="H230" s="14" t="s">
        <v>5</v>
      </c>
      <c r="I230" s="15" t="s">
        <v>29</v>
      </c>
      <c r="J230" s="14" t="s">
        <v>30</v>
      </c>
      <c r="K230" s="17" t="s">
        <v>7</v>
      </c>
    </row>
    <row r="231" ht="13.5" customHeight="1">
      <c r="A231" s="18" t="s">
        <v>31</v>
      </c>
      <c r="B231" s="19" t="s">
        <v>172</v>
      </c>
      <c r="C231" s="20" t="s">
        <v>33</v>
      </c>
      <c r="D231" s="21"/>
      <c r="E231" s="36"/>
      <c r="F231" s="36"/>
      <c r="G231" s="32"/>
      <c r="H231" s="21"/>
      <c r="I231" s="21"/>
      <c r="J231" s="21"/>
      <c r="K231" s="25">
        <f t="shared" ref="K231:K237" si="49">SUM(D231:J231)</f>
        <v>0</v>
      </c>
    </row>
    <row r="232" ht="13.5" customHeight="1">
      <c r="A232" s="26" t="s">
        <v>34</v>
      </c>
      <c r="B232" s="27"/>
      <c r="C232" s="28"/>
      <c r="D232" s="21"/>
      <c r="E232" s="36"/>
      <c r="F232" s="36"/>
      <c r="G232" s="32"/>
      <c r="H232" s="21"/>
      <c r="I232" s="21"/>
      <c r="J232" s="21"/>
      <c r="K232" s="25">
        <f t="shared" si="49"/>
        <v>0</v>
      </c>
    </row>
    <row r="233" ht="13.5" customHeight="1">
      <c r="A233" s="18" t="s">
        <v>35</v>
      </c>
      <c r="B233" s="30">
        <v>2.0</v>
      </c>
      <c r="C233" s="31" t="s">
        <v>36</v>
      </c>
      <c r="D233" s="21"/>
      <c r="E233" s="36"/>
      <c r="F233" s="36"/>
      <c r="G233" s="32"/>
      <c r="H233" s="21"/>
      <c r="I233" s="21"/>
      <c r="J233" s="21"/>
      <c r="K233" s="25">
        <f t="shared" si="49"/>
        <v>0</v>
      </c>
    </row>
    <row r="234" ht="13.5" customHeight="1">
      <c r="A234" s="26" t="s">
        <v>37</v>
      </c>
      <c r="B234" s="33"/>
      <c r="C234" s="34"/>
      <c r="D234" s="21"/>
      <c r="E234" s="36"/>
      <c r="F234" s="36"/>
      <c r="G234" s="32"/>
      <c r="H234" s="21"/>
      <c r="I234" s="21"/>
      <c r="J234" s="21"/>
      <c r="K234" s="25">
        <f t="shared" si="49"/>
        <v>0</v>
      </c>
    </row>
    <row r="235" ht="14.25" customHeight="1">
      <c r="A235" s="18" t="s">
        <v>38</v>
      </c>
      <c r="B235" s="19" t="s">
        <v>39</v>
      </c>
      <c r="C235" s="19" t="s">
        <v>40</v>
      </c>
      <c r="D235" s="21"/>
      <c r="E235" s="36"/>
      <c r="F235" s="36"/>
      <c r="G235" s="32"/>
      <c r="H235" s="21"/>
      <c r="I235" s="21"/>
      <c r="J235" s="21"/>
      <c r="K235" s="25">
        <f t="shared" si="49"/>
        <v>0</v>
      </c>
      <c r="L235" s="47"/>
      <c r="M235" s="12"/>
    </row>
    <row r="236" ht="13.5" customHeight="1">
      <c r="A236" s="35" t="s">
        <v>41</v>
      </c>
      <c r="B236" s="27"/>
      <c r="C236" s="27"/>
      <c r="D236" s="21"/>
      <c r="E236" s="36"/>
      <c r="F236" s="36"/>
      <c r="G236" s="38"/>
      <c r="H236" s="21"/>
      <c r="I236" s="29"/>
      <c r="J236" s="39"/>
      <c r="K236" s="25">
        <f t="shared" si="49"/>
        <v>0</v>
      </c>
    </row>
    <row r="237" ht="13.5" customHeight="1">
      <c r="A237" s="40" t="s">
        <v>7</v>
      </c>
      <c r="B237" s="40"/>
      <c r="C237" s="40"/>
      <c r="D237" s="10">
        <f t="shared" ref="D237:J237" si="50">SUM(D231:D236)</f>
        <v>0</v>
      </c>
      <c r="E237" s="10">
        <f t="shared" si="50"/>
        <v>0</v>
      </c>
      <c r="F237" s="10">
        <f t="shared" si="50"/>
        <v>0</v>
      </c>
      <c r="G237" s="10">
        <f t="shared" si="50"/>
        <v>0</v>
      </c>
      <c r="H237" s="10">
        <f t="shared" si="50"/>
        <v>0</v>
      </c>
      <c r="I237" s="10">
        <f t="shared" si="50"/>
        <v>0</v>
      </c>
      <c r="J237" s="10">
        <f t="shared" si="50"/>
        <v>0</v>
      </c>
      <c r="K237" s="25">
        <f t="shared" si="49"/>
        <v>0</v>
      </c>
    </row>
    <row r="238" ht="13.5" customHeight="1"/>
    <row r="239" ht="13.5" customHeight="1">
      <c r="A239" s="48" t="s">
        <v>191</v>
      </c>
    </row>
    <row r="240" ht="13.5" customHeight="1">
      <c r="A240" s="14" t="s">
        <v>25</v>
      </c>
      <c r="B240" s="14" t="s">
        <v>1</v>
      </c>
      <c r="C240" s="14" t="s">
        <v>27</v>
      </c>
      <c r="D240" s="15" t="s">
        <v>2</v>
      </c>
      <c r="E240" s="10" t="s">
        <v>28</v>
      </c>
      <c r="F240" s="16" t="s">
        <v>3</v>
      </c>
      <c r="G240" s="15" t="s">
        <v>4</v>
      </c>
      <c r="H240" s="15" t="s">
        <v>5</v>
      </c>
      <c r="I240" s="15" t="s">
        <v>29</v>
      </c>
      <c r="J240" s="14" t="s">
        <v>30</v>
      </c>
      <c r="K240" s="17" t="s">
        <v>7</v>
      </c>
    </row>
    <row r="241" ht="13.5" customHeight="1">
      <c r="A241" s="18" t="s">
        <v>31</v>
      </c>
      <c r="B241" s="19" t="s">
        <v>172</v>
      </c>
      <c r="C241" s="20" t="s">
        <v>33</v>
      </c>
      <c r="D241" s="21">
        <v>460.0</v>
      </c>
      <c r="E241" s="36">
        <v>60.0</v>
      </c>
      <c r="F241" s="36">
        <v>650.0</v>
      </c>
      <c r="G241" s="32"/>
      <c r="H241" s="21">
        <v>1100.0</v>
      </c>
      <c r="I241" s="23"/>
      <c r="J241" s="24">
        <v>130.0</v>
      </c>
      <c r="K241" s="25">
        <f t="shared" ref="K241:K247" si="51">SUM(D241:J241)</f>
        <v>2400</v>
      </c>
    </row>
    <row r="242" ht="13.5" customHeight="1">
      <c r="A242" s="26" t="s">
        <v>34</v>
      </c>
      <c r="B242" s="27"/>
      <c r="C242" s="28"/>
      <c r="D242" s="21"/>
      <c r="E242" s="36"/>
      <c r="F242" s="36"/>
      <c r="G242" s="32"/>
      <c r="H242" s="21"/>
      <c r="I242" s="29"/>
      <c r="J242" s="29"/>
      <c r="K242" s="25">
        <f t="shared" si="51"/>
        <v>0</v>
      </c>
    </row>
    <row r="243" ht="13.5" customHeight="1">
      <c r="A243" s="18" t="s">
        <v>35</v>
      </c>
      <c r="B243" s="30">
        <v>2.0</v>
      </c>
      <c r="C243" s="31" t="s">
        <v>36</v>
      </c>
      <c r="D243" s="21">
        <v>570.0</v>
      </c>
      <c r="E243" s="36">
        <v>60.0</v>
      </c>
      <c r="F243" s="36">
        <v>900.0</v>
      </c>
      <c r="G243" s="32"/>
      <c r="H243" s="21">
        <v>1770.0</v>
      </c>
      <c r="I243" s="23"/>
      <c r="J243" s="24">
        <v>140.0</v>
      </c>
      <c r="K243" s="25">
        <f t="shared" si="51"/>
        <v>3440</v>
      </c>
    </row>
    <row r="244" ht="13.5" customHeight="1">
      <c r="A244" s="26" t="s">
        <v>37</v>
      </c>
      <c r="B244" s="33"/>
      <c r="C244" s="34"/>
      <c r="D244" s="21"/>
      <c r="E244" s="36"/>
      <c r="F244" s="36"/>
      <c r="G244" s="32"/>
      <c r="H244" s="21"/>
      <c r="I244" s="29"/>
      <c r="J244" s="29"/>
      <c r="K244" s="25">
        <f t="shared" si="51"/>
        <v>0</v>
      </c>
    </row>
    <row r="245" ht="14.25" customHeight="1">
      <c r="A245" s="18" t="s">
        <v>38</v>
      </c>
      <c r="B245" s="19" t="s">
        <v>39</v>
      </c>
      <c r="C245" s="19" t="s">
        <v>40</v>
      </c>
      <c r="D245" s="21">
        <v>310.0</v>
      </c>
      <c r="E245" s="36">
        <v>90.0</v>
      </c>
      <c r="F245" s="36">
        <v>350.0</v>
      </c>
      <c r="G245" s="32"/>
      <c r="H245" s="21">
        <v>5090.0</v>
      </c>
      <c r="I245" s="23"/>
      <c r="J245" s="24">
        <v>140.0</v>
      </c>
      <c r="K245" s="25">
        <f t="shared" si="51"/>
        <v>5980</v>
      </c>
      <c r="L245" s="12"/>
    </row>
    <row r="246" ht="13.5" customHeight="1">
      <c r="A246" s="35" t="s">
        <v>41</v>
      </c>
      <c r="B246" s="27"/>
      <c r="C246" s="27"/>
      <c r="D246" s="21">
        <v>290.0</v>
      </c>
      <c r="E246" s="21">
        <v>90.0</v>
      </c>
      <c r="F246" s="21">
        <v>710.0</v>
      </c>
      <c r="G246" s="21"/>
      <c r="H246" s="21">
        <v>1660.0</v>
      </c>
      <c r="I246" s="21"/>
      <c r="J246" s="21">
        <v>140.0</v>
      </c>
      <c r="K246" s="25">
        <f t="shared" si="51"/>
        <v>2890</v>
      </c>
    </row>
    <row r="247" ht="13.5" customHeight="1">
      <c r="A247" s="40" t="s">
        <v>7</v>
      </c>
      <c r="B247" s="40"/>
      <c r="C247" s="40"/>
      <c r="D247" s="10">
        <f t="shared" ref="D247:J247" si="52">SUM(D241:D246)</f>
        <v>1630</v>
      </c>
      <c r="E247" s="10">
        <f t="shared" si="52"/>
        <v>300</v>
      </c>
      <c r="F247" s="10">
        <f t="shared" si="52"/>
        <v>2610</v>
      </c>
      <c r="G247" s="10">
        <f t="shared" si="52"/>
        <v>0</v>
      </c>
      <c r="H247" s="10">
        <f t="shared" si="52"/>
        <v>9620</v>
      </c>
      <c r="I247" s="10">
        <f t="shared" si="52"/>
        <v>0</v>
      </c>
      <c r="J247" s="10">
        <f t="shared" si="52"/>
        <v>550</v>
      </c>
      <c r="K247" s="25">
        <f t="shared" si="51"/>
        <v>14710</v>
      </c>
    </row>
    <row r="248" ht="13.5" customHeight="1"/>
    <row r="249" ht="13.5" customHeight="1">
      <c r="A249" s="48" t="s">
        <v>192</v>
      </c>
    </row>
    <row r="250" ht="13.5" customHeight="1">
      <c r="A250" s="14" t="s">
        <v>25</v>
      </c>
      <c r="B250" s="14" t="s">
        <v>1</v>
      </c>
      <c r="C250" s="14" t="s">
        <v>27</v>
      </c>
      <c r="D250" s="15" t="s">
        <v>2</v>
      </c>
      <c r="E250" s="10" t="s">
        <v>28</v>
      </c>
      <c r="F250" s="16" t="s">
        <v>3</v>
      </c>
      <c r="G250" s="15" t="s">
        <v>4</v>
      </c>
      <c r="H250" s="15" t="s">
        <v>5</v>
      </c>
      <c r="I250" s="15" t="s">
        <v>29</v>
      </c>
      <c r="J250" s="14" t="s">
        <v>30</v>
      </c>
      <c r="K250" s="17" t="s">
        <v>7</v>
      </c>
    </row>
    <row r="251" ht="14.25" customHeight="1">
      <c r="A251" s="18" t="s">
        <v>31</v>
      </c>
      <c r="B251" s="19" t="s">
        <v>172</v>
      </c>
      <c r="C251" s="20" t="s">
        <v>33</v>
      </c>
      <c r="D251" s="21">
        <v>460.0</v>
      </c>
      <c r="E251" s="36">
        <v>60.0</v>
      </c>
      <c r="F251" s="36">
        <v>830.0</v>
      </c>
      <c r="G251" s="36"/>
      <c r="H251" s="32">
        <v>1120.0</v>
      </c>
      <c r="I251" s="23"/>
      <c r="J251" s="24">
        <v>90.0</v>
      </c>
      <c r="K251" s="25">
        <f t="shared" ref="K251:K254" si="53">SUM(D251:J251)</f>
        <v>2560</v>
      </c>
    </row>
    <row r="252" ht="13.5" customHeight="1">
      <c r="A252" s="26" t="s">
        <v>34</v>
      </c>
      <c r="B252" s="27"/>
      <c r="C252" s="28"/>
      <c r="D252" s="21"/>
      <c r="E252" s="36"/>
      <c r="F252" s="36"/>
      <c r="G252" s="32"/>
      <c r="H252" s="21"/>
      <c r="I252" s="29"/>
      <c r="J252" s="29"/>
      <c r="K252" s="25">
        <f t="shared" si="53"/>
        <v>0</v>
      </c>
    </row>
    <row r="253" ht="13.5" customHeight="1">
      <c r="A253" s="18" t="s">
        <v>35</v>
      </c>
      <c r="B253" s="30">
        <v>2.0</v>
      </c>
      <c r="C253" s="31" t="s">
        <v>36</v>
      </c>
      <c r="D253" s="21">
        <v>500.0</v>
      </c>
      <c r="E253" s="36">
        <v>60.0</v>
      </c>
      <c r="F253" s="36">
        <v>1070.0</v>
      </c>
      <c r="G253" s="36"/>
      <c r="H253" s="32">
        <v>1330.0</v>
      </c>
      <c r="I253" s="23"/>
      <c r="J253" s="24">
        <v>180.0</v>
      </c>
      <c r="K253" s="25">
        <f t="shared" si="53"/>
        <v>3140</v>
      </c>
    </row>
    <row r="254" ht="13.5" customHeight="1">
      <c r="A254" s="26" t="s">
        <v>37</v>
      </c>
      <c r="B254" s="33"/>
      <c r="C254" s="34"/>
      <c r="D254" s="21"/>
      <c r="E254" s="36"/>
      <c r="F254" s="36"/>
      <c r="G254" s="21"/>
      <c r="H254" s="21"/>
      <c r="I254" s="21"/>
      <c r="J254" s="21"/>
      <c r="K254" s="25">
        <f t="shared" si="53"/>
        <v>0</v>
      </c>
    </row>
    <row r="255" ht="14.25" customHeight="1">
      <c r="A255" s="18" t="s">
        <v>38</v>
      </c>
      <c r="B255" s="19" t="s">
        <v>39</v>
      </c>
      <c r="C255" s="19" t="s">
        <v>40</v>
      </c>
      <c r="D255" s="10">
        <v>310.0</v>
      </c>
      <c r="E255" s="10">
        <v>90.0</v>
      </c>
      <c r="F255" s="10">
        <v>570.0</v>
      </c>
      <c r="G255" s="10"/>
      <c r="H255" s="10">
        <v>4830.0</v>
      </c>
      <c r="I255" s="10"/>
      <c r="J255" s="10">
        <v>180.0</v>
      </c>
      <c r="K255" s="25">
        <f>SUM(D265:J265)</f>
        <v>6060</v>
      </c>
      <c r="L255" s="47"/>
      <c r="M255" s="12"/>
    </row>
    <row r="256" ht="13.5" customHeight="1">
      <c r="A256" s="35" t="s">
        <v>41</v>
      </c>
      <c r="B256" s="27"/>
      <c r="C256" s="27"/>
      <c r="D256" s="21">
        <v>290.0</v>
      </c>
      <c r="E256" s="21">
        <v>90.0</v>
      </c>
      <c r="F256" s="21">
        <v>520.0</v>
      </c>
      <c r="G256" s="21"/>
      <c r="H256" s="21">
        <v>4900.0</v>
      </c>
      <c r="I256" s="21"/>
      <c r="J256" s="21">
        <v>120.0</v>
      </c>
      <c r="K256" s="25">
        <f t="shared" ref="K256:K257" si="55">SUM(D256:J256)</f>
        <v>5920</v>
      </c>
    </row>
    <row r="257" ht="13.5" customHeight="1">
      <c r="A257" s="40" t="s">
        <v>7</v>
      </c>
      <c r="B257" s="40"/>
      <c r="C257" s="40"/>
      <c r="D257" s="10">
        <f t="shared" ref="D257:J257" si="54">SUM(D251:D256)</f>
        <v>1560</v>
      </c>
      <c r="E257" s="10">
        <f t="shared" si="54"/>
        <v>300</v>
      </c>
      <c r="F257" s="10">
        <f t="shared" si="54"/>
        <v>2990</v>
      </c>
      <c r="G257" s="10">
        <f t="shared" si="54"/>
        <v>0</v>
      </c>
      <c r="H257" s="10">
        <f t="shared" si="54"/>
        <v>12180</v>
      </c>
      <c r="I257" s="10">
        <f t="shared" si="54"/>
        <v>0</v>
      </c>
      <c r="J257" s="10">
        <f t="shared" si="54"/>
        <v>570</v>
      </c>
      <c r="K257" s="25">
        <f t="shared" si="55"/>
        <v>17600</v>
      </c>
    </row>
    <row r="258" ht="13.5" customHeight="1"/>
    <row r="259" ht="13.5" customHeight="1">
      <c r="A259" s="48" t="s">
        <v>193</v>
      </c>
    </row>
    <row r="260" ht="13.5" customHeight="1">
      <c r="A260" s="14" t="s">
        <v>25</v>
      </c>
      <c r="B260" s="14" t="s">
        <v>1</v>
      </c>
      <c r="C260" s="14" t="s">
        <v>27</v>
      </c>
      <c r="D260" s="15" t="s">
        <v>2</v>
      </c>
      <c r="E260" s="10" t="s">
        <v>28</v>
      </c>
      <c r="F260" s="16" t="s">
        <v>3</v>
      </c>
      <c r="G260" s="15" t="s">
        <v>4</v>
      </c>
      <c r="H260" s="15" t="s">
        <v>5</v>
      </c>
      <c r="I260" s="15" t="s">
        <v>29</v>
      </c>
      <c r="J260" s="14" t="s">
        <v>30</v>
      </c>
      <c r="K260" s="17" t="s">
        <v>7</v>
      </c>
    </row>
    <row r="261" ht="14.25" customHeight="1">
      <c r="A261" s="18" t="s">
        <v>31</v>
      </c>
      <c r="B261" s="19" t="s">
        <v>172</v>
      </c>
      <c r="C261" s="20" t="s">
        <v>33</v>
      </c>
      <c r="D261" s="21">
        <v>450.0</v>
      </c>
      <c r="E261" s="36">
        <v>60.0</v>
      </c>
      <c r="F261" s="36">
        <v>500.0</v>
      </c>
      <c r="G261" s="32"/>
      <c r="H261" s="21">
        <v>750.0</v>
      </c>
      <c r="I261" s="23"/>
      <c r="J261" s="24">
        <v>100.0</v>
      </c>
      <c r="K261" s="25">
        <f t="shared" ref="K261:K264" si="56">SUM(D261:J261)</f>
        <v>1860</v>
      </c>
    </row>
    <row r="262" ht="13.5" customHeight="1">
      <c r="A262" s="26" t="s">
        <v>34</v>
      </c>
      <c r="B262" s="27"/>
      <c r="C262" s="28"/>
      <c r="D262" s="21"/>
      <c r="E262" s="36"/>
      <c r="F262" s="36"/>
      <c r="G262" s="22"/>
      <c r="H262" s="21"/>
      <c r="I262" s="29"/>
      <c r="J262" s="29"/>
      <c r="K262" s="25">
        <f t="shared" si="56"/>
        <v>0</v>
      </c>
    </row>
    <row r="263" ht="13.5" customHeight="1">
      <c r="A263" s="18" t="s">
        <v>35</v>
      </c>
      <c r="B263" s="30">
        <v>2.0</v>
      </c>
      <c r="C263" s="31" t="s">
        <v>36</v>
      </c>
      <c r="D263" s="21">
        <v>500.0</v>
      </c>
      <c r="E263" s="10">
        <v>60.0</v>
      </c>
      <c r="F263" s="10">
        <v>1000.0</v>
      </c>
      <c r="G263" s="36"/>
      <c r="H263" s="21">
        <v>1320.0</v>
      </c>
      <c r="I263" s="23"/>
      <c r="J263" s="24">
        <v>140.0</v>
      </c>
      <c r="K263" s="25">
        <f t="shared" si="56"/>
        <v>3020</v>
      </c>
    </row>
    <row r="264" ht="13.5" customHeight="1">
      <c r="A264" s="26" t="s">
        <v>37</v>
      </c>
      <c r="B264" s="33"/>
      <c r="C264" s="34"/>
      <c r="D264" s="21"/>
      <c r="E264" s="36"/>
      <c r="F264" s="36"/>
      <c r="G264" s="22"/>
      <c r="H264" s="21"/>
      <c r="I264" s="29"/>
      <c r="J264" s="29"/>
      <c r="K264" s="25">
        <f t="shared" si="56"/>
        <v>0</v>
      </c>
    </row>
    <row r="265" ht="14.25" customHeight="1">
      <c r="A265" s="18" t="s">
        <v>38</v>
      </c>
      <c r="B265" s="19" t="s">
        <v>39</v>
      </c>
      <c r="C265" s="19" t="s">
        <v>40</v>
      </c>
      <c r="D265" s="21">
        <v>280.0</v>
      </c>
      <c r="E265" s="36">
        <v>60.0</v>
      </c>
      <c r="F265" s="36">
        <v>600.0</v>
      </c>
      <c r="G265" s="32"/>
      <c r="H265" s="21">
        <v>4950.0</v>
      </c>
      <c r="I265" s="23"/>
      <c r="J265" s="24">
        <v>170.0</v>
      </c>
      <c r="K265" s="25">
        <v>180.0</v>
      </c>
      <c r="L265" s="47"/>
      <c r="M265" s="12"/>
    </row>
    <row r="266" ht="13.5" customHeight="1">
      <c r="A266" s="35" t="s">
        <v>41</v>
      </c>
      <c r="B266" s="27"/>
      <c r="C266" s="27"/>
      <c r="D266" s="21">
        <v>300.0</v>
      </c>
      <c r="E266" s="21">
        <v>60.0</v>
      </c>
      <c r="F266" s="21">
        <v>500.0</v>
      </c>
      <c r="G266" s="21"/>
      <c r="H266" s="21">
        <v>4960.0</v>
      </c>
      <c r="I266" s="21"/>
      <c r="J266" s="21">
        <v>170.0</v>
      </c>
      <c r="K266" s="25">
        <f t="shared" ref="K266:K267" si="58">SUM(D266:J266)</f>
        <v>5990</v>
      </c>
    </row>
    <row r="267" ht="13.5" customHeight="1">
      <c r="A267" s="40" t="s">
        <v>7</v>
      </c>
      <c r="B267" s="40"/>
      <c r="C267" s="40"/>
      <c r="D267" s="10">
        <f t="shared" ref="D267:J267" si="57">SUM(D261:D266)</f>
        <v>1530</v>
      </c>
      <c r="E267" s="10">
        <f t="shared" si="57"/>
        <v>240</v>
      </c>
      <c r="F267" s="10">
        <f t="shared" si="57"/>
        <v>2600</v>
      </c>
      <c r="G267" s="10">
        <f t="shared" si="57"/>
        <v>0</v>
      </c>
      <c r="H267" s="10">
        <f t="shared" si="57"/>
        <v>11980</v>
      </c>
      <c r="I267" s="10">
        <f t="shared" si="57"/>
        <v>0</v>
      </c>
      <c r="J267" s="10">
        <f t="shared" si="57"/>
        <v>580</v>
      </c>
      <c r="K267" s="25">
        <f t="shared" si="58"/>
        <v>16930</v>
      </c>
    </row>
    <row r="268" ht="13.5" customHeight="1">
      <c r="A268" s="48"/>
    </row>
    <row r="269" ht="13.5" customHeight="1">
      <c r="A269" s="48" t="s">
        <v>194</v>
      </c>
    </row>
    <row r="270" ht="13.5" customHeight="1">
      <c r="A270" s="14" t="s">
        <v>25</v>
      </c>
      <c r="B270" s="14" t="s">
        <v>1</v>
      </c>
      <c r="C270" s="14" t="s">
        <v>27</v>
      </c>
      <c r="D270" s="15" t="s">
        <v>2</v>
      </c>
      <c r="E270" s="16" t="s">
        <v>28</v>
      </c>
      <c r="F270" s="16" t="s">
        <v>3</v>
      </c>
      <c r="G270" s="14" t="s">
        <v>4</v>
      </c>
      <c r="H270" s="15" t="s">
        <v>5</v>
      </c>
      <c r="I270" s="15" t="s">
        <v>29</v>
      </c>
      <c r="J270" s="14" t="s">
        <v>30</v>
      </c>
      <c r="K270" s="17" t="s">
        <v>7</v>
      </c>
    </row>
    <row r="271" ht="13.5" customHeight="1">
      <c r="A271" s="18" t="s">
        <v>31</v>
      </c>
      <c r="B271" s="19" t="s">
        <v>172</v>
      </c>
      <c r="C271" s="20" t="s">
        <v>33</v>
      </c>
      <c r="D271" s="21">
        <v>450.0</v>
      </c>
      <c r="E271" s="36">
        <v>60.0</v>
      </c>
      <c r="F271" s="36">
        <v>720.0</v>
      </c>
      <c r="G271" s="32"/>
      <c r="H271" s="21">
        <v>690.0</v>
      </c>
      <c r="I271" s="21"/>
      <c r="J271" s="24">
        <v>100.0</v>
      </c>
      <c r="K271" s="25">
        <f t="shared" ref="K271:K281" si="59">SUM(D271:J271)</f>
        <v>2020</v>
      </c>
    </row>
    <row r="272" ht="13.5" customHeight="1">
      <c r="A272" s="26" t="s">
        <v>34</v>
      </c>
      <c r="B272" s="27"/>
      <c r="C272" s="28"/>
      <c r="D272" s="21"/>
      <c r="E272" s="36"/>
      <c r="F272" s="36"/>
      <c r="G272" s="22"/>
      <c r="H272" s="21"/>
      <c r="I272" s="21"/>
      <c r="J272" s="29"/>
      <c r="K272" s="25">
        <f t="shared" si="59"/>
        <v>0</v>
      </c>
    </row>
    <row r="273" ht="13.5" customHeight="1">
      <c r="A273" s="18" t="s">
        <v>35</v>
      </c>
      <c r="B273" s="30">
        <v>2.0</v>
      </c>
      <c r="C273" s="31" t="s">
        <v>36</v>
      </c>
      <c r="D273" s="21">
        <v>520.0</v>
      </c>
      <c r="E273" s="36">
        <v>60.0</v>
      </c>
      <c r="F273" s="36">
        <v>1060.0</v>
      </c>
      <c r="G273" s="32"/>
      <c r="H273" s="21">
        <v>1240.0</v>
      </c>
      <c r="I273" s="21"/>
      <c r="J273" s="24">
        <v>160.0</v>
      </c>
      <c r="K273" s="25">
        <f t="shared" si="59"/>
        <v>3040</v>
      </c>
    </row>
    <row r="274" ht="13.5" customHeight="1">
      <c r="A274" s="26" t="s">
        <v>37</v>
      </c>
      <c r="B274" s="33"/>
      <c r="C274" s="34"/>
      <c r="D274" s="21"/>
      <c r="E274" s="36"/>
      <c r="F274" s="36"/>
      <c r="G274" s="22"/>
      <c r="H274" s="21"/>
      <c r="I274" s="21"/>
      <c r="J274" s="29"/>
      <c r="K274" s="25">
        <f t="shared" si="59"/>
        <v>0</v>
      </c>
    </row>
    <row r="275" ht="15.0" customHeight="1">
      <c r="A275" s="18" t="s">
        <v>38</v>
      </c>
      <c r="B275" s="19" t="s">
        <v>39</v>
      </c>
      <c r="C275" s="19" t="s">
        <v>40</v>
      </c>
      <c r="D275" s="21">
        <v>300.0</v>
      </c>
      <c r="E275" s="41">
        <v>60.0</v>
      </c>
      <c r="F275" s="41">
        <v>560.0</v>
      </c>
      <c r="G275" s="32"/>
      <c r="H275" s="21">
        <v>4990.0</v>
      </c>
      <c r="I275" s="21"/>
      <c r="J275" s="24">
        <v>200.0</v>
      </c>
      <c r="K275" s="25">
        <f t="shared" si="59"/>
        <v>6110</v>
      </c>
    </row>
    <row r="276" ht="13.5" customHeight="1">
      <c r="A276" s="35" t="s">
        <v>41</v>
      </c>
      <c r="B276" s="27"/>
      <c r="C276" s="27"/>
      <c r="D276" s="21">
        <v>310.0</v>
      </c>
      <c r="E276" s="36">
        <v>60.0</v>
      </c>
      <c r="F276" s="37">
        <v>570.0</v>
      </c>
      <c r="G276" s="38"/>
      <c r="H276" s="21">
        <v>5040.0</v>
      </c>
      <c r="I276" s="21"/>
      <c r="J276" s="39">
        <v>160.0</v>
      </c>
      <c r="K276" s="25">
        <f t="shared" si="59"/>
        <v>6140</v>
      </c>
    </row>
    <row r="277" ht="13.5" customHeight="1">
      <c r="A277" s="54" t="s">
        <v>100</v>
      </c>
      <c r="B277" s="55"/>
      <c r="C277" s="55"/>
      <c r="D277" s="21"/>
      <c r="E277" s="36"/>
      <c r="F277" s="36"/>
      <c r="G277" s="21"/>
      <c r="H277" s="21"/>
      <c r="I277" s="21"/>
      <c r="J277" s="56"/>
      <c r="K277" s="25">
        <f t="shared" si="59"/>
        <v>0</v>
      </c>
    </row>
    <row r="278" ht="13.5" customHeight="1">
      <c r="A278" s="26" t="s">
        <v>101</v>
      </c>
      <c r="B278" s="7"/>
      <c r="C278" s="7"/>
      <c r="D278" s="21"/>
      <c r="E278" s="36"/>
      <c r="F278" s="37"/>
      <c r="G278" s="22"/>
      <c r="H278" s="21"/>
      <c r="I278" s="29"/>
      <c r="J278" s="29"/>
      <c r="K278" s="25">
        <f t="shared" si="59"/>
        <v>0</v>
      </c>
    </row>
    <row r="279" ht="13.5" customHeight="1">
      <c r="A279" s="18" t="s">
        <v>102</v>
      </c>
      <c r="B279" s="57"/>
      <c r="C279" s="57"/>
      <c r="D279" s="21"/>
      <c r="E279" s="36"/>
      <c r="F279" s="41"/>
      <c r="G279" s="58"/>
      <c r="H279" s="21"/>
      <c r="I279" s="23"/>
      <c r="J279" s="59"/>
      <c r="K279" s="25">
        <f t="shared" si="59"/>
        <v>0</v>
      </c>
    </row>
    <row r="280" ht="13.5" customHeight="1">
      <c r="A280" s="35" t="s">
        <v>103</v>
      </c>
      <c r="B280" s="27"/>
      <c r="C280" s="27"/>
      <c r="D280" s="21"/>
      <c r="E280" s="36"/>
      <c r="F280" s="37"/>
      <c r="G280" s="60"/>
      <c r="H280" s="21"/>
      <c r="I280" s="29"/>
      <c r="J280" s="61"/>
      <c r="K280" s="25">
        <f t="shared" si="59"/>
        <v>0</v>
      </c>
    </row>
    <row r="281" ht="13.5" customHeight="1">
      <c r="A281" s="40" t="s">
        <v>7</v>
      </c>
      <c r="B281" s="40"/>
      <c r="C281" s="40"/>
      <c r="D281" s="10">
        <f t="shared" ref="D281:J281" si="60">SUM(D271:D280)</f>
        <v>1580</v>
      </c>
      <c r="E281" s="10">
        <f t="shared" si="60"/>
        <v>240</v>
      </c>
      <c r="F281" s="10">
        <f t="shared" si="60"/>
        <v>2910</v>
      </c>
      <c r="G281" s="10">
        <f t="shared" si="60"/>
        <v>0</v>
      </c>
      <c r="H281" s="10">
        <f t="shared" si="60"/>
        <v>11960</v>
      </c>
      <c r="I281" s="10">
        <f t="shared" si="60"/>
        <v>0</v>
      </c>
      <c r="J281" s="10">
        <f t="shared" si="60"/>
        <v>620</v>
      </c>
      <c r="K281" s="25">
        <f t="shared" si="59"/>
        <v>17310</v>
      </c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ht="13.5" customHeight="1">
      <c r="A283" s="48" t="s">
        <v>195</v>
      </c>
    </row>
    <row r="284" ht="13.5" customHeight="1">
      <c r="A284" s="14" t="s">
        <v>25</v>
      </c>
      <c r="B284" s="14" t="s">
        <v>1</v>
      </c>
      <c r="C284" s="14" t="s">
        <v>27</v>
      </c>
      <c r="D284" s="15" t="s">
        <v>2</v>
      </c>
      <c r="E284" s="16" t="s">
        <v>28</v>
      </c>
      <c r="F284" s="16" t="s">
        <v>3</v>
      </c>
      <c r="G284" s="14" t="s">
        <v>4</v>
      </c>
      <c r="H284" s="15" t="s">
        <v>5</v>
      </c>
      <c r="I284" s="15" t="s">
        <v>29</v>
      </c>
      <c r="J284" s="14" t="s">
        <v>30</v>
      </c>
      <c r="K284" s="17" t="s">
        <v>7</v>
      </c>
    </row>
    <row r="285" ht="13.5" customHeight="1">
      <c r="A285" s="18" t="s">
        <v>31</v>
      </c>
      <c r="B285" s="19" t="s">
        <v>172</v>
      </c>
      <c r="C285" s="20" t="s">
        <v>33</v>
      </c>
      <c r="D285" s="21">
        <v>470.0</v>
      </c>
      <c r="E285" s="36">
        <v>60.0</v>
      </c>
      <c r="F285" s="36">
        <v>580.0</v>
      </c>
      <c r="G285" s="32"/>
      <c r="H285" s="21">
        <v>930.0</v>
      </c>
      <c r="I285" s="21"/>
      <c r="J285" s="24">
        <v>120.0</v>
      </c>
      <c r="K285" s="25">
        <f t="shared" ref="K285:K295" si="61">SUM(D285:J285)</f>
        <v>2160</v>
      </c>
    </row>
    <row r="286" ht="13.5" customHeight="1">
      <c r="A286" s="26" t="s">
        <v>34</v>
      </c>
      <c r="B286" s="27"/>
      <c r="C286" s="28"/>
      <c r="D286" s="21"/>
      <c r="E286" s="36"/>
      <c r="F286" s="36"/>
      <c r="G286" s="22"/>
      <c r="H286" s="21"/>
      <c r="I286" s="21"/>
      <c r="J286" s="29"/>
      <c r="K286" s="25">
        <f t="shared" si="61"/>
        <v>0</v>
      </c>
    </row>
    <row r="287" ht="13.5" customHeight="1">
      <c r="A287" s="18" t="s">
        <v>35</v>
      </c>
      <c r="B287" s="30">
        <v>2.0</v>
      </c>
      <c r="C287" s="31" t="s">
        <v>36</v>
      </c>
      <c r="D287" s="21">
        <v>520.0</v>
      </c>
      <c r="E287" s="36">
        <v>60.0</v>
      </c>
      <c r="F287" s="36">
        <v>950.0</v>
      </c>
      <c r="G287" s="32"/>
      <c r="H287" s="21">
        <v>1280.0</v>
      </c>
      <c r="I287" s="21"/>
      <c r="J287" s="24">
        <v>150.0</v>
      </c>
      <c r="K287" s="25">
        <f t="shared" si="61"/>
        <v>2960</v>
      </c>
    </row>
    <row r="288" ht="13.5" customHeight="1">
      <c r="A288" s="26" t="s">
        <v>37</v>
      </c>
      <c r="B288" s="33"/>
      <c r="C288" s="34"/>
      <c r="D288" s="21"/>
      <c r="E288" s="36"/>
      <c r="F288" s="36"/>
      <c r="G288" s="22"/>
      <c r="H288" s="21"/>
      <c r="I288" s="21"/>
      <c r="J288" s="29"/>
      <c r="K288" s="25">
        <f t="shared" si="61"/>
        <v>0</v>
      </c>
    </row>
    <row r="289" ht="15.0" customHeight="1">
      <c r="A289" s="18" t="s">
        <v>38</v>
      </c>
      <c r="B289" s="19" t="s">
        <v>39</v>
      </c>
      <c r="C289" s="19" t="s">
        <v>40</v>
      </c>
      <c r="D289" s="21">
        <v>280.0</v>
      </c>
      <c r="E289" s="41">
        <v>60.0</v>
      </c>
      <c r="F289" s="41">
        <v>650.0</v>
      </c>
      <c r="G289" s="32"/>
      <c r="H289" s="21">
        <v>5050.0</v>
      </c>
      <c r="I289" s="21"/>
      <c r="J289" s="24">
        <v>170.0</v>
      </c>
      <c r="K289" s="25">
        <f t="shared" si="61"/>
        <v>6210</v>
      </c>
    </row>
    <row r="290" ht="13.5" customHeight="1">
      <c r="A290" s="35" t="s">
        <v>41</v>
      </c>
      <c r="B290" s="27"/>
      <c r="C290" s="27"/>
      <c r="D290" s="21">
        <v>280.0</v>
      </c>
      <c r="E290" s="36">
        <v>60.0</v>
      </c>
      <c r="F290" s="37">
        <v>560.0</v>
      </c>
      <c r="G290" s="38"/>
      <c r="H290" s="21">
        <v>5230.0</v>
      </c>
      <c r="I290" s="21"/>
      <c r="J290" s="39">
        <v>140.0</v>
      </c>
      <c r="K290" s="25">
        <f t="shared" si="61"/>
        <v>6270</v>
      </c>
    </row>
    <row r="291" ht="13.5" customHeight="1">
      <c r="A291" s="54" t="s">
        <v>100</v>
      </c>
      <c r="B291" s="55"/>
      <c r="C291" s="55"/>
      <c r="D291" s="21"/>
      <c r="E291" s="36"/>
      <c r="F291" s="36"/>
      <c r="G291" s="21"/>
      <c r="H291" s="21"/>
      <c r="I291" s="21"/>
      <c r="J291" s="56"/>
      <c r="K291" s="25">
        <f t="shared" si="61"/>
        <v>0</v>
      </c>
    </row>
    <row r="292" ht="13.5" customHeight="1">
      <c r="A292" s="26" t="s">
        <v>101</v>
      </c>
      <c r="B292" s="7"/>
      <c r="C292" s="7"/>
      <c r="D292" s="21"/>
      <c r="E292" s="36"/>
      <c r="F292" s="37"/>
      <c r="G292" s="22"/>
      <c r="H292" s="21"/>
      <c r="I292" s="29"/>
      <c r="J292" s="29"/>
      <c r="K292" s="25">
        <f t="shared" si="61"/>
        <v>0</v>
      </c>
    </row>
    <row r="293" ht="13.5" customHeight="1">
      <c r="A293" s="18" t="s">
        <v>102</v>
      </c>
      <c r="B293" s="57"/>
      <c r="C293" s="57"/>
      <c r="D293" s="21"/>
      <c r="E293" s="36"/>
      <c r="F293" s="41"/>
      <c r="G293" s="58"/>
      <c r="H293" s="21"/>
      <c r="I293" s="23"/>
      <c r="J293" s="59"/>
      <c r="K293" s="25">
        <f t="shared" si="61"/>
        <v>0</v>
      </c>
    </row>
    <row r="294" ht="13.5" customHeight="1">
      <c r="A294" s="35" t="s">
        <v>103</v>
      </c>
      <c r="B294" s="27"/>
      <c r="C294" s="27"/>
      <c r="D294" s="21"/>
      <c r="E294" s="36"/>
      <c r="F294" s="37"/>
      <c r="G294" s="60"/>
      <c r="H294" s="21"/>
      <c r="I294" s="29"/>
      <c r="J294" s="61"/>
      <c r="K294" s="25">
        <f t="shared" si="61"/>
        <v>0</v>
      </c>
    </row>
    <row r="295" ht="13.5" customHeight="1">
      <c r="A295" s="40" t="s">
        <v>7</v>
      </c>
      <c r="B295" s="40"/>
      <c r="C295" s="40"/>
      <c r="D295" s="10">
        <f t="shared" ref="D295:J295" si="62">SUM(D285:D294)</f>
        <v>1550</v>
      </c>
      <c r="E295" s="10">
        <f t="shared" si="62"/>
        <v>240</v>
      </c>
      <c r="F295" s="10">
        <f t="shared" si="62"/>
        <v>2740</v>
      </c>
      <c r="G295" s="10">
        <f t="shared" si="62"/>
        <v>0</v>
      </c>
      <c r="H295" s="10">
        <f t="shared" si="62"/>
        <v>12490</v>
      </c>
      <c r="I295" s="10">
        <f t="shared" si="62"/>
        <v>0</v>
      </c>
      <c r="J295" s="10">
        <f t="shared" si="62"/>
        <v>580</v>
      </c>
      <c r="K295" s="25">
        <f t="shared" si="61"/>
        <v>17600</v>
      </c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ht="13.5" customHeight="1">
      <c r="A297" s="48" t="s">
        <v>196</v>
      </c>
    </row>
    <row r="298" ht="13.5" customHeight="1">
      <c r="A298" s="14" t="s">
        <v>25</v>
      </c>
      <c r="B298" s="14" t="s">
        <v>1</v>
      </c>
      <c r="C298" s="14" t="s">
        <v>27</v>
      </c>
      <c r="D298" s="15" t="s">
        <v>2</v>
      </c>
      <c r="E298" s="16" t="s">
        <v>28</v>
      </c>
      <c r="F298" s="16" t="s">
        <v>3</v>
      </c>
      <c r="G298" s="14" t="s">
        <v>4</v>
      </c>
      <c r="H298" s="15" t="s">
        <v>5</v>
      </c>
      <c r="I298" s="15" t="s">
        <v>29</v>
      </c>
      <c r="J298" s="14" t="s">
        <v>30</v>
      </c>
      <c r="K298" s="17" t="s">
        <v>7</v>
      </c>
    </row>
    <row r="299" ht="13.5" customHeight="1">
      <c r="A299" s="18" t="s">
        <v>31</v>
      </c>
      <c r="B299" s="19" t="s">
        <v>172</v>
      </c>
      <c r="C299" s="20" t="s">
        <v>33</v>
      </c>
      <c r="D299" s="21">
        <v>490.0</v>
      </c>
      <c r="E299" s="36">
        <v>60.0</v>
      </c>
      <c r="F299" s="36">
        <v>740.0</v>
      </c>
      <c r="G299" s="32"/>
      <c r="H299" s="21">
        <v>620.0</v>
      </c>
      <c r="I299" s="21"/>
      <c r="J299" s="24">
        <v>100.0</v>
      </c>
      <c r="K299" s="25">
        <f t="shared" ref="K299:K309" si="63">SUM(D299:J299)</f>
        <v>2010</v>
      </c>
    </row>
    <row r="300" ht="13.5" customHeight="1">
      <c r="A300" s="26" t="s">
        <v>34</v>
      </c>
      <c r="B300" s="27"/>
      <c r="C300" s="28"/>
      <c r="D300" s="21"/>
      <c r="E300" s="36"/>
      <c r="F300" s="36"/>
      <c r="G300" s="22"/>
      <c r="H300" s="21"/>
      <c r="I300" s="21"/>
      <c r="J300" s="29"/>
      <c r="K300" s="25">
        <f t="shared" si="63"/>
        <v>0</v>
      </c>
    </row>
    <row r="301" ht="13.5" customHeight="1">
      <c r="A301" s="18" t="s">
        <v>35</v>
      </c>
      <c r="B301" s="30">
        <v>2.0</v>
      </c>
      <c r="C301" s="31" t="s">
        <v>36</v>
      </c>
      <c r="D301" s="21">
        <v>540.0</v>
      </c>
      <c r="E301" s="36">
        <v>60.0</v>
      </c>
      <c r="F301" s="36">
        <v>630.0</v>
      </c>
      <c r="G301" s="32"/>
      <c r="H301" s="21">
        <v>1500.0</v>
      </c>
      <c r="I301" s="21"/>
      <c r="J301" s="24">
        <v>180.0</v>
      </c>
      <c r="K301" s="25">
        <f t="shared" si="63"/>
        <v>2910</v>
      </c>
    </row>
    <row r="302" ht="13.5" customHeight="1">
      <c r="A302" s="26" t="s">
        <v>37</v>
      </c>
      <c r="B302" s="33"/>
      <c r="C302" s="34"/>
      <c r="D302" s="21"/>
      <c r="E302" s="36"/>
      <c r="F302" s="36"/>
      <c r="G302" s="22"/>
      <c r="H302" s="21"/>
      <c r="I302" s="21"/>
      <c r="J302" s="29"/>
      <c r="K302" s="25">
        <f t="shared" si="63"/>
        <v>0</v>
      </c>
    </row>
    <row r="303" ht="15.0" customHeight="1">
      <c r="A303" s="18" t="s">
        <v>38</v>
      </c>
      <c r="B303" s="19" t="s">
        <v>39</v>
      </c>
      <c r="C303" s="19" t="s">
        <v>40</v>
      </c>
      <c r="D303" s="21">
        <v>330.0</v>
      </c>
      <c r="E303" s="41">
        <v>60.0</v>
      </c>
      <c r="F303" s="41"/>
      <c r="G303" s="32"/>
      <c r="H303" s="21">
        <v>5290.0</v>
      </c>
      <c r="I303" s="21"/>
      <c r="J303" s="24">
        <v>150.0</v>
      </c>
      <c r="K303" s="25">
        <f t="shared" si="63"/>
        <v>5830</v>
      </c>
    </row>
    <row r="304" ht="13.5" customHeight="1">
      <c r="A304" s="35" t="s">
        <v>41</v>
      </c>
      <c r="B304" s="27"/>
      <c r="C304" s="27"/>
      <c r="D304" s="21">
        <v>280.0</v>
      </c>
      <c r="E304" s="36">
        <v>60.0</v>
      </c>
      <c r="F304" s="37"/>
      <c r="G304" s="38"/>
      <c r="H304" s="21">
        <v>5420.0</v>
      </c>
      <c r="I304" s="21"/>
      <c r="J304" s="39">
        <v>150.0</v>
      </c>
      <c r="K304" s="25">
        <f t="shared" si="63"/>
        <v>5910</v>
      </c>
    </row>
    <row r="305" ht="13.5" customHeight="1">
      <c r="A305" s="54" t="s">
        <v>100</v>
      </c>
      <c r="B305" s="55"/>
      <c r="C305" s="55"/>
      <c r="D305" s="21"/>
      <c r="E305" s="36"/>
      <c r="F305" s="36"/>
      <c r="G305" s="21"/>
      <c r="H305" s="21"/>
      <c r="I305" s="21"/>
      <c r="J305" s="56"/>
      <c r="K305" s="25">
        <f t="shared" si="63"/>
        <v>0</v>
      </c>
    </row>
    <row r="306" ht="13.5" customHeight="1">
      <c r="A306" s="26" t="s">
        <v>101</v>
      </c>
      <c r="B306" s="7"/>
      <c r="C306" s="7"/>
      <c r="D306" s="21"/>
      <c r="E306" s="36"/>
      <c r="F306" s="37"/>
      <c r="G306" s="22"/>
      <c r="H306" s="21"/>
      <c r="I306" s="29"/>
      <c r="J306" s="29"/>
      <c r="K306" s="25">
        <f t="shared" si="63"/>
        <v>0</v>
      </c>
    </row>
    <row r="307" ht="13.5" customHeight="1">
      <c r="A307" s="18" t="s">
        <v>102</v>
      </c>
      <c r="B307" s="57"/>
      <c r="C307" s="57"/>
      <c r="D307" s="21"/>
      <c r="E307" s="36"/>
      <c r="F307" s="41"/>
      <c r="G307" s="58"/>
      <c r="H307" s="21"/>
      <c r="I307" s="23"/>
      <c r="J307" s="59"/>
      <c r="K307" s="25">
        <f t="shared" si="63"/>
        <v>0</v>
      </c>
    </row>
    <row r="308" ht="13.5" customHeight="1">
      <c r="A308" s="35" t="s">
        <v>103</v>
      </c>
      <c r="B308" s="27"/>
      <c r="C308" s="27"/>
      <c r="D308" s="21"/>
      <c r="E308" s="36"/>
      <c r="F308" s="37"/>
      <c r="G308" s="60"/>
      <c r="H308" s="21"/>
      <c r="I308" s="29"/>
      <c r="J308" s="61"/>
      <c r="K308" s="25">
        <f t="shared" si="63"/>
        <v>0</v>
      </c>
    </row>
    <row r="309" ht="13.5" customHeight="1">
      <c r="A309" s="40" t="s">
        <v>7</v>
      </c>
      <c r="B309" s="40"/>
      <c r="C309" s="40"/>
      <c r="D309" s="10">
        <f t="shared" ref="D309:J309" si="64">SUM(D299:D308)</f>
        <v>1640</v>
      </c>
      <c r="E309" s="10">
        <f t="shared" si="64"/>
        <v>240</v>
      </c>
      <c r="F309" s="10">
        <f t="shared" si="64"/>
        <v>1370</v>
      </c>
      <c r="G309" s="10">
        <f t="shared" si="64"/>
        <v>0</v>
      </c>
      <c r="H309" s="10">
        <f t="shared" si="64"/>
        <v>12830</v>
      </c>
      <c r="I309" s="10">
        <f t="shared" si="64"/>
        <v>0</v>
      </c>
      <c r="J309" s="10">
        <f t="shared" si="64"/>
        <v>580</v>
      </c>
      <c r="K309" s="25">
        <f t="shared" si="63"/>
        <v>16660</v>
      </c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ht="13.5" customHeight="1">
      <c r="A312" s="64" t="s">
        <v>197</v>
      </c>
      <c r="B312" s="65"/>
      <c r="C312" s="65"/>
      <c r="D312" s="5"/>
      <c r="E312" s="10"/>
      <c r="F312" s="10"/>
      <c r="G312" s="10"/>
      <c r="H312" s="10"/>
      <c r="I312" s="10"/>
      <c r="J312" s="10"/>
      <c r="K312" s="10"/>
    </row>
    <row r="313" ht="13.5" customHeight="1">
      <c r="A313" s="15" t="s">
        <v>25</v>
      </c>
      <c r="B313" s="15" t="s">
        <v>1</v>
      </c>
      <c r="C313" s="15" t="s">
        <v>27</v>
      </c>
      <c r="D313" s="15" t="s">
        <v>2</v>
      </c>
      <c r="E313" s="10" t="s">
        <v>28</v>
      </c>
      <c r="F313" s="16" t="s">
        <v>3</v>
      </c>
      <c r="G313" s="15" t="s">
        <v>4</v>
      </c>
      <c r="H313" s="15" t="s">
        <v>5</v>
      </c>
      <c r="I313" s="15" t="s">
        <v>29</v>
      </c>
      <c r="J313" s="15" t="s">
        <v>30</v>
      </c>
      <c r="K313" s="10" t="s">
        <v>7</v>
      </c>
    </row>
    <row r="314" ht="13.5" customHeight="1">
      <c r="A314" s="10" t="s">
        <v>31</v>
      </c>
      <c r="B314" s="19" t="s">
        <v>172</v>
      </c>
      <c r="C314" s="10" t="s">
        <v>33</v>
      </c>
      <c r="D314" s="21">
        <f t="shared" ref="D314:J314" si="65">D4+D14+D23+D32+D41+D50+D60+D70+D80+D91+D100+D110+D119+D128+D137+D146+D155+D164+D173+D182+D191+D201+D211+D221+D231+D241+D251+D261+D271+D285+D299</f>
        <v>11500</v>
      </c>
      <c r="E314" s="21">
        <f t="shared" si="65"/>
        <v>1440</v>
      </c>
      <c r="F314" s="21">
        <f t="shared" si="65"/>
        <v>18730</v>
      </c>
      <c r="G314" s="21">
        <f t="shared" si="65"/>
        <v>0</v>
      </c>
      <c r="H314" s="21">
        <f t="shared" si="65"/>
        <v>23360</v>
      </c>
      <c r="I314" s="21">
        <f t="shared" si="65"/>
        <v>130</v>
      </c>
      <c r="J314" s="21">
        <f t="shared" si="65"/>
        <v>2470</v>
      </c>
      <c r="K314" s="10">
        <f t="shared" ref="K314:K319" si="67">SUM(D314:J314)</f>
        <v>57630</v>
      </c>
    </row>
    <row r="315" ht="13.5" customHeight="1">
      <c r="A315" s="10" t="s">
        <v>34</v>
      </c>
      <c r="B315" s="27"/>
      <c r="C315" s="10"/>
      <c r="D315" s="21">
        <f t="shared" ref="D315:J315" si="66">D5+D15+D24+D33+D42+D51+D61+D71+D81+D92+D101+D111+D120+D129+D138+D147+D156+D165+D174+D183+D192+D202+D212+D222+D232+D242+D252+D262+D272+D286+D300</f>
        <v>860</v>
      </c>
      <c r="E315" s="21">
        <f t="shared" si="66"/>
        <v>0</v>
      </c>
      <c r="F315" s="21">
        <f t="shared" si="66"/>
        <v>1110</v>
      </c>
      <c r="G315" s="21">
        <f t="shared" si="66"/>
        <v>0</v>
      </c>
      <c r="H315" s="21">
        <f t="shared" si="66"/>
        <v>920</v>
      </c>
      <c r="I315" s="21">
        <f t="shared" si="66"/>
        <v>0</v>
      </c>
      <c r="J315" s="21">
        <f t="shared" si="66"/>
        <v>50</v>
      </c>
      <c r="K315" s="10">
        <f t="shared" si="67"/>
        <v>2940</v>
      </c>
    </row>
    <row r="316" ht="13.5" customHeight="1">
      <c r="A316" s="10" t="s">
        <v>35</v>
      </c>
      <c r="B316" s="67">
        <v>2.0</v>
      </c>
      <c r="C316" s="15" t="s">
        <v>36</v>
      </c>
      <c r="D316" s="21">
        <f t="shared" ref="D316:J316" si="68">D6+D16+D25+D34+D43+D52+D62+D72+D82+D93+D102+D112+D121+D130+D139+D148+D157+D166+D175+D184+D193+D203+D213+D223+D233+D243+D253+D263+D273+D287+D301</f>
        <v>11650</v>
      </c>
      <c r="E316" s="21">
        <f t="shared" si="68"/>
        <v>1290</v>
      </c>
      <c r="F316" s="21">
        <f t="shared" si="68"/>
        <v>21700</v>
      </c>
      <c r="G316" s="21">
        <f t="shared" si="68"/>
        <v>0</v>
      </c>
      <c r="H316" s="21">
        <f t="shared" si="68"/>
        <v>31850</v>
      </c>
      <c r="I316" s="21">
        <f t="shared" si="68"/>
        <v>0</v>
      </c>
      <c r="J316" s="21">
        <f t="shared" si="68"/>
        <v>2930</v>
      </c>
      <c r="K316" s="10">
        <f t="shared" si="67"/>
        <v>69420</v>
      </c>
    </row>
    <row r="317" ht="13.5" customHeight="1">
      <c r="A317" s="10" t="s">
        <v>37</v>
      </c>
      <c r="B317" s="67"/>
      <c r="C317" s="15"/>
      <c r="D317" s="21">
        <f t="shared" ref="D317:J317" si="69">D7+D17+D26+D35+D44+D53+D63+D73+D83+D94+D103+D113+D122+D131+D140+D149+D158+D167+D176+D185+D194+D204+D214+D224+D234+D244+D254+D264+D274+D288+D302</f>
        <v>0</v>
      </c>
      <c r="E317" s="21">
        <f t="shared" si="69"/>
        <v>0</v>
      </c>
      <c r="F317" s="21">
        <f t="shared" si="69"/>
        <v>0</v>
      </c>
      <c r="G317" s="21">
        <f t="shared" si="69"/>
        <v>0</v>
      </c>
      <c r="H317" s="21">
        <f t="shared" si="69"/>
        <v>0</v>
      </c>
      <c r="I317" s="21">
        <f t="shared" si="69"/>
        <v>0</v>
      </c>
      <c r="J317" s="21">
        <f t="shared" si="69"/>
        <v>0</v>
      </c>
      <c r="K317" s="10">
        <f t="shared" si="67"/>
        <v>0</v>
      </c>
    </row>
    <row r="318" ht="15.0" customHeight="1">
      <c r="A318" s="10" t="s">
        <v>38</v>
      </c>
      <c r="B318" s="66" t="s">
        <v>39</v>
      </c>
      <c r="C318" s="66" t="s">
        <v>40</v>
      </c>
      <c r="D318" s="21">
        <f t="shared" ref="D318:J318" si="70">D8+D18+D27+D36+D45+D54+D64+D74+D84+D95+D104+D114+D123+D132+D141+D150+D159+D168+D177+D186+D195+D205+D215+D225+D235+D245+D255+D265+D275+D289+D303</f>
        <v>10260</v>
      </c>
      <c r="E318" s="21">
        <f t="shared" si="70"/>
        <v>1500</v>
      </c>
      <c r="F318" s="21">
        <f t="shared" si="70"/>
        <v>10770</v>
      </c>
      <c r="G318" s="21">
        <f t="shared" si="70"/>
        <v>5120</v>
      </c>
      <c r="H318" s="21">
        <f t="shared" si="70"/>
        <v>111750</v>
      </c>
      <c r="I318" s="21">
        <f t="shared" si="70"/>
        <v>150</v>
      </c>
      <c r="J318" s="21">
        <f t="shared" si="70"/>
        <v>3990</v>
      </c>
      <c r="K318" s="10">
        <f t="shared" si="67"/>
        <v>143540</v>
      </c>
    </row>
    <row r="319" ht="13.5" customHeight="1">
      <c r="A319" s="10" t="s">
        <v>41</v>
      </c>
      <c r="B319" s="7"/>
      <c r="C319" s="7"/>
      <c r="D319" s="21">
        <f t="shared" ref="D319:J319" si="71">D9+D19+D28+D37+D46+D55+D65+D75+D85+D96+D105+D115+D124+D133+D142+D151+D160+D169+D178+D187+D196+D206+D216+D226+D236+D246+D256+D266+D276+D290+D304</f>
        <v>10130</v>
      </c>
      <c r="E319" s="21">
        <f t="shared" si="71"/>
        <v>420</v>
      </c>
      <c r="F319" s="21">
        <f t="shared" si="71"/>
        <v>11210</v>
      </c>
      <c r="G319" s="21">
        <f t="shared" si="71"/>
        <v>0</v>
      </c>
      <c r="H319" s="21">
        <f t="shared" si="71"/>
        <v>112950</v>
      </c>
      <c r="I319" s="21">
        <f t="shared" si="71"/>
        <v>0</v>
      </c>
      <c r="J319" s="21">
        <f t="shared" si="71"/>
        <v>3800</v>
      </c>
      <c r="K319" s="10">
        <f t="shared" si="67"/>
        <v>138510</v>
      </c>
    </row>
    <row r="320" ht="13.5" customHeight="1">
      <c r="A320" s="10" t="s">
        <v>7</v>
      </c>
      <c r="B320" s="10"/>
      <c r="C320" s="10"/>
      <c r="D320" s="21">
        <f t="shared" ref="D320:K320" si="72">SUM(D314:D319)</f>
        <v>44400</v>
      </c>
      <c r="E320" s="21">
        <f t="shared" si="72"/>
        <v>4650</v>
      </c>
      <c r="F320" s="21">
        <f t="shared" si="72"/>
        <v>63520</v>
      </c>
      <c r="G320" s="21">
        <f t="shared" si="72"/>
        <v>5120</v>
      </c>
      <c r="H320" s="21">
        <f t="shared" si="72"/>
        <v>280830</v>
      </c>
      <c r="I320" s="21">
        <f t="shared" si="72"/>
        <v>280</v>
      </c>
      <c r="J320" s="21">
        <f t="shared" si="72"/>
        <v>13240</v>
      </c>
      <c r="K320" s="21">
        <f t="shared" si="72"/>
        <v>412040</v>
      </c>
    </row>
    <row r="321" ht="13.5" customHeight="1">
      <c r="A321" s="10"/>
      <c r="B321" s="10"/>
      <c r="C321" s="10"/>
      <c r="D321" s="15" t="s">
        <v>2</v>
      </c>
      <c r="E321" s="10" t="s">
        <v>28</v>
      </c>
      <c r="F321" s="16" t="s">
        <v>3</v>
      </c>
      <c r="G321" s="15" t="s">
        <v>4</v>
      </c>
      <c r="H321" s="15" t="s">
        <v>5</v>
      </c>
      <c r="I321" s="15" t="s">
        <v>29</v>
      </c>
      <c r="J321" s="15" t="s">
        <v>30</v>
      </c>
      <c r="K321" s="10" t="s">
        <v>7</v>
      </c>
    </row>
    <row r="322" ht="13.5" customHeight="1">
      <c r="A322" s="10"/>
      <c r="B322" s="66" t="s">
        <v>198</v>
      </c>
      <c r="C322" s="10" t="s">
        <v>33</v>
      </c>
      <c r="D322" s="10">
        <f t="shared" ref="D322:K322" si="73">D314+D315</f>
        <v>12360</v>
      </c>
      <c r="E322" s="10">
        <f t="shared" si="73"/>
        <v>1440</v>
      </c>
      <c r="F322" s="10">
        <f t="shared" si="73"/>
        <v>19840</v>
      </c>
      <c r="G322" s="10">
        <f t="shared" si="73"/>
        <v>0</v>
      </c>
      <c r="H322" s="10">
        <f t="shared" si="73"/>
        <v>24280</v>
      </c>
      <c r="I322" s="10">
        <f t="shared" si="73"/>
        <v>130</v>
      </c>
      <c r="J322" s="10">
        <f t="shared" si="73"/>
        <v>2520</v>
      </c>
      <c r="K322" s="10">
        <f t="shared" si="73"/>
        <v>60570</v>
      </c>
      <c r="L322" s="68"/>
    </row>
    <row r="323" ht="13.5" customHeight="1">
      <c r="A323" s="10" t="s">
        <v>7</v>
      </c>
      <c r="B323" s="7"/>
      <c r="C323" s="10"/>
      <c r="D323" s="10"/>
      <c r="E323" s="10"/>
      <c r="F323" s="10"/>
      <c r="G323" s="10"/>
      <c r="H323" s="10"/>
      <c r="I323" s="10"/>
      <c r="J323" s="10"/>
      <c r="K323" s="10"/>
    </row>
    <row r="324" ht="13.5" customHeight="1">
      <c r="A324" s="10"/>
      <c r="B324" s="67">
        <v>2.0</v>
      </c>
      <c r="C324" s="15" t="s">
        <v>36</v>
      </c>
      <c r="D324" s="10">
        <f t="shared" ref="D324:J324" si="74">D316+D317</f>
        <v>11650</v>
      </c>
      <c r="E324" s="10">
        <f t="shared" si="74"/>
        <v>1290</v>
      </c>
      <c r="F324" s="10">
        <f t="shared" si="74"/>
        <v>21700</v>
      </c>
      <c r="G324" s="10">
        <f t="shared" si="74"/>
        <v>0</v>
      </c>
      <c r="H324" s="10">
        <f t="shared" si="74"/>
        <v>31850</v>
      </c>
      <c r="I324" s="10">
        <f t="shared" si="74"/>
        <v>0</v>
      </c>
      <c r="J324" s="10">
        <f t="shared" si="74"/>
        <v>2930</v>
      </c>
      <c r="K324" s="10">
        <f>SUM(D324:J324)</f>
        <v>69420</v>
      </c>
    </row>
    <row r="325" ht="13.5" customHeight="1">
      <c r="A325" s="10"/>
      <c r="B325" s="67"/>
      <c r="C325" s="15"/>
      <c r="D325" s="10"/>
      <c r="E325" s="10"/>
      <c r="F325" s="10"/>
      <c r="G325" s="10"/>
      <c r="H325" s="10"/>
      <c r="I325" s="10"/>
      <c r="J325" s="10"/>
      <c r="K325" s="10"/>
    </row>
    <row r="326" ht="14.25" customHeight="1">
      <c r="A326" s="10"/>
      <c r="B326" s="66" t="s">
        <v>39</v>
      </c>
      <c r="C326" s="66" t="s">
        <v>40</v>
      </c>
      <c r="D326" s="10">
        <f t="shared" ref="D326:J326" si="75">D318+D319</f>
        <v>20390</v>
      </c>
      <c r="E326" s="10">
        <f t="shared" si="75"/>
        <v>1920</v>
      </c>
      <c r="F326" s="10">
        <f t="shared" si="75"/>
        <v>21980</v>
      </c>
      <c r="G326" s="10">
        <f t="shared" si="75"/>
        <v>5120</v>
      </c>
      <c r="H326" s="10">
        <f t="shared" si="75"/>
        <v>224700</v>
      </c>
      <c r="I326" s="10">
        <f t="shared" si="75"/>
        <v>150</v>
      </c>
      <c r="J326" s="10">
        <f t="shared" si="75"/>
        <v>7790</v>
      </c>
      <c r="K326" s="10">
        <f>SUM(D326:J326)</f>
        <v>282050</v>
      </c>
    </row>
    <row r="327" ht="13.5" customHeight="1">
      <c r="A327" s="10"/>
      <c r="B327" s="7"/>
      <c r="C327" s="7"/>
      <c r="D327" s="10"/>
      <c r="E327" s="10"/>
      <c r="F327" s="10"/>
      <c r="G327" s="10"/>
      <c r="H327" s="10"/>
      <c r="I327" s="10"/>
      <c r="J327" s="10"/>
      <c r="K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f>SUM(K322:K327)</f>
        <v>412040</v>
      </c>
    </row>
    <row r="329" ht="13.5" customHeight="1">
      <c r="E329" s="43" t="s">
        <v>199</v>
      </c>
    </row>
    <row r="330" ht="13.5" customHeight="1">
      <c r="D330" s="69" t="s">
        <v>200</v>
      </c>
      <c r="E330" s="43" t="s">
        <v>201</v>
      </c>
      <c r="F330" s="43">
        <v>5700.0</v>
      </c>
    </row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4">
    <mergeCell ref="B104:B105"/>
    <mergeCell ref="C104:C105"/>
    <mergeCell ref="A108:D108"/>
    <mergeCell ref="B110:B111"/>
    <mergeCell ref="B114:B115"/>
    <mergeCell ref="C114:C115"/>
    <mergeCell ref="A117:D117"/>
    <mergeCell ref="B119:B120"/>
    <mergeCell ref="B123:B124"/>
    <mergeCell ref="C123:C124"/>
    <mergeCell ref="A126:D126"/>
    <mergeCell ref="B128:B129"/>
    <mergeCell ref="C132:C133"/>
    <mergeCell ref="A135:D135"/>
    <mergeCell ref="B132:B133"/>
    <mergeCell ref="B137:B138"/>
    <mergeCell ref="B141:B142"/>
    <mergeCell ref="C141:C142"/>
    <mergeCell ref="A144:D144"/>
    <mergeCell ref="B146:B147"/>
    <mergeCell ref="B150:B151"/>
    <mergeCell ref="C150:C151"/>
    <mergeCell ref="A153:D153"/>
    <mergeCell ref="B155:B156"/>
    <mergeCell ref="B159:B160"/>
    <mergeCell ref="C159:C160"/>
    <mergeCell ref="A162:D162"/>
    <mergeCell ref="B164:B165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9:D89"/>
    <mergeCell ref="B91:B92"/>
    <mergeCell ref="B95:B96"/>
    <mergeCell ref="C95:C96"/>
    <mergeCell ref="A98:D98"/>
    <mergeCell ref="B100:B101"/>
    <mergeCell ref="B168:B169"/>
    <mergeCell ref="C168:C169"/>
    <mergeCell ref="A171:D171"/>
    <mergeCell ref="B173:B174"/>
    <mergeCell ref="B177:B178"/>
    <mergeCell ref="C177:C178"/>
    <mergeCell ref="A180:D180"/>
    <mergeCell ref="B291:B292"/>
    <mergeCell ref="B293:B294"/>
    <mergeCell ref="C293:C294"/>
    <mergeCell ref="B279:B280"/>
    <mergeCell ref="C279:C280"/>
    <mergeCell ref="A283:D283"/>
    <mergeCell ref="B285:B286"/>
    <mergeCell ref="C289:C290"/>
    <mergeCell ref="C291:C292"/>
    <mergeCell ref="A297:D297"/>
    <mergeCell ref="B182:B183"/>
    <mergeCell ref="B186:B187"/>
    <mergeCell ref="C186:C187"/>
    <mergeCell ref="A189:D189"/>
    <mergeCell ref="B191:B192"/>
    <mergeCell ref="C195:C196"/>
    <mergeCell ref="A199:D199"/>
    <mergeCell ref="B195:B196"/>
    <mergeCell ref="B201:B202"/>
    <mergeCell ref="B205:B206"/>
    <mergeCell ref="C205:C206"/>
    <mergeCell ref="A209:D209"/>
    <mergeCell ref="B211:B212"/>
    <mergeCell ref="B215:B216"/>
    <mergeCell ref="C215:C216"/>
    <mergeCell ref="A219:D219"/>
    <mergeCell ref="B221:B222"/>
    <mergeCell ref="B225:B226"/>
    <mergeCell ref="C225:C226"/>
    <mergeCell ref="A229:D229"/>
    <mergeCell ref="B231:B232"/>
    <mergeCell ref="B235:B236"/>
    <mergeCell ref="C235:C236"/>
    <mergeCell ref="A239:D239"/>
    <mergeCell ref="B241:B242"/>
    <mergeCell ref="B245:B246"/>
    <mergeCell ref="C245:C246"/>
    <mergeCell ref="A249:D249"/>
    <mergeCell ref="B251:B252"/>
    <mergeCell ref="B255:B256"/>
    <mergeCell ref="C255:C256"/>
    <mergeCell ref="A259:D259"/>
    <mergeCell ref="B261:B262"/>
    <mergeCell ref="B265:B266"/>
    <mergeCell ref="C265:C266"/>
    <mergeCell ref="A268:D268"/>
    <mergeCell ref="A269:D269"/>
    <mergeCell ref="B271:B272"/>
    <mergeCell ref="B275:B276"/>
    <mergeCell ref="C275:C276"/>
    <mergeCell ref="B277:B278"/>
    <mergeCell ref="C277:C278"/>
    <mergeCell ref="C307:C308"/>
    <mergeCell ref="A312:D312"/>
    <mergeCell ref="B314:B315"/>
    <mergeCell ref="B318:B319"/>
    <mergeCell ref="C318:C319"/>
    <mergeCell ref="B322:B323"/>
    <mergeCell ref="B326:B327"/>
    <mergeCell ref="C326:C327"/>
    <mergeCell ref="B289:B290"/>
    <mergeCell ref="B299:B300"/>
    <mergeCell ref="B303:B304"/>
    <mergeCell ref="C303:C304"/>
    <mergeCell ref="B305:B306"/>
    <mergeCell ref="C305:C306"/>
    <mergeCell ref="B307:B308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202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28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 t="s">
        <v>172</v>
      </c>
      <c r="C4" s="20" t="s">
        <v>33</v>
      </c>
      <c r="D4" s="21">
        <v>460.0</v>
      </c>
      <c r="E4" s="10">
        <v>60.0</v>
      </c>
      <c r="F4" s="10">
        <v>780.0</v>
      </c>
      <c r="G4" s="22"/>
      <c r="H4" s="21">
        <v>620.0</v>
      </c>
      <c r="I4" s="23"/>
      <c r="J4" s="24">
        <v>100.0</v>
      </c>
      <c r="K4" s="25">
        <f t="shared" ref="K4:K10" si="1">SUM(D4:J4)</f>
        <v>2020</v>
      </c>
    </row>
    <row r="5" ht="15.0" customHeight="1">
      <c r="A5" s="26" t="s">
        <v>34</v>
      </c>
      <c r="B5" s="27"/>
      <c r="C5" s="28">
        <v>99.0</v>
      </c>
      <c r="D5" s="21"/>
      <c r="E5" s="10"/>
      <c r="F5" s="10"/>
      <c r="G5" s="22"/>
      <c r="H5" s="21"/>
      <c r="I5" s="29"/>
      <c r="J5" s="29"/>
      <c r="K5" s="25">
        <f t="shared" si="1"/>
        <v>0</v>
      </c>
    </row>
    <row r="6" ht="13.5" customHeight="1">
      <c r="A6" s="18" t="s">
        <v>35</v>
      </c>
      <c r="B6" s="30">
        <v>2.0</v>
      </c>
      <c r="C6" s="31" t="s">
        <v>36</v>
      </c>
      <c r="D6" s="21">
        <v>500.0</v>
      </c>
      <c r="E6" s="10">
        <v>60.0</v>
      </c>
      <c r="F6" s="10">
        <v>850.0</v>
      </c>
      <c r="G6" s="32"/>
      <c r="H6" s="21">
        <v>1370.0</v>
      </c>
      <c r="I6" s="22"/>
      <c r="J6" s="22">
        <v>140.0</v>
      </c>
      <c r="K6" s="25">
        <f t="shared" si="1"/>
        <v>2920</v>
      </c>
    </row>
    <row r="7" ht="13.5" customHeight="1">
      <c r="A7" s="26" t="s">
        <v>37</v>
      </c>
      <c r="B7" s="33"/>
      <c r="C7" s="34">
        <v>106.0</v>
      </c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280.0</v>
      </c>
      <c r="E8" s="10">
        <v>60.0</v>
      </c>
      <c r="F8" s="10">
        <v>610.0</v>
      </c>
      <c r="G8" s="32"/>
      <c r="H8" s="21">
        <v>4910.0</v>
      </c>
      <c r="I8" s="22"/>
      <c r="J8" s="22">
        <v>230.0</v>
      </c>
      <c r="K8" s="25">
        <f t="shared" si="1"/>
        <v>6090</v>
      </c>
    </row>
    <row r="9" ht="15.0" customHeight="1">
      <c r="A9" s="35" t="s">
        <v>41</v>
      </c>
      <c r="B9" s="27"/>
      <c r="C9" s="27"/>
      <c r="D9" s="21">
        <v>360.0</v>
      </c>
      <c r="E9" s="36">
        <v>60.0</v>
      </c>
      <c r="F9" s="37">
        <v>550.0</v>
      </c>
      <c r="G9" s="38"/>
      <c r="H9" s="21">
        <v>5070.0</v>
      </c>
      <c r="I9" s="29"/>
      <c r="J9" s="39">
        <v>100.0</v>
      </c>
      <c r="K9" s="25">
        <f t="shared" si="1"/>
        <v>6140</v>
      </c>
    </row>
    <row r="10" ht="13.5" customHeight="1">
      <c r="A10" s="40" t="s">
        <v>7</v>
      </c>
      <c r="B10" s="40"/>
      <c r="C10" s="40">
        <v>547.0</v>
      </c>
      <c r="D10" s="10">
        <f t="shared" ref="D10:J10" si="2">SUM(D4:D9)</f>
        <v>1600</v>
      </c>
      <c r="E10" s="10">
        <f t="shared" si="2"/>
        <v>240</v>
      </c>
      <c r="F10" s="10">
        <f t="shared" si="2"/>
        <v>2790</v>
      </c>
      <c r="G10" s="10">
        <f t="shared" si="2"/>
        <v>0</v>
      </c>
      <c r="H10" s="10">
        <f t="shared" si="2"/>
        <v>11970</v>
      </c>
      <c r="I10" s="10">
        <f t="shared" si="2"/>
        <v>0</v>
      </c>
      <c r="J10" s="10">
        <f t="shared" si="2"/>
        <v>570</v>
      </c>
      <c r="K10" s="25">
        <f t="shared" si="1"/>
        <v>17170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203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 t="s">
        <v>172</v>
      </c>
      <c r="C14" s="20" t="s">
        <v>33</v>
      </c>
      <c r="D14" s="21">
        <v>420.0</v>
      </c>
      <c r="E14" s="10">
        <v>60.0</v>
      </c>
      <c r="F14" s="36">
        <v>520.0</v>
      </c>
      <c r="G14" s="32"/>
      <c r="H14" s="21">
        <v>770.0</v>
      </c>
      <c r="I14" s="23"/>
      <c r="J14" s="24">
        <v>60.0</v>
      </c>
      <c r="K14" s="25">
        <f t="shared" ref="K14:K20" si="3">SUM(D14:J14)</f>
        <v>1830</v>
      </c>
    </row>
    <row r="15" ht="13.5" customHeight="1">
      <c r="A15" s="26" t="s">
        <v>34</v>
      </c>
      <c r="B15" s="27"/>
      <c r="C15" s="28">
        <v>99.0</v>
      </c>
      <c r="D15" s="21"/>
      <c r="E15" s="10"/>
      <c r="F15" s="36"/>
      <c r="G15" s="22"/>
      <c r="H15" s="21"/>
      <c r="I15" s="29"/>
      <c r="J15" s="29"/>
      <c r="K15" s="25">
        <f t="shared" si="3"/>
        <v>0</v>
      </c>
    </row>
    <row r="16" ht="13.5" customHeight="1">
      <c r="A16" s="18" t="s">
        <v>35</v>
      </c>
      <c r="B16" s="30">
        <v>2.0</v>
      </c>
      <c r="C16" s="31" t="s">
        <v>36</v>
      </c>
      <c r="D16" s="21">
        <v>520.0</v>
      </c>
      <c r="E16" s="10">
        <v>60.0</v>
      </c>
      <c r="F16" s="36">
        <v>890.0</v>
      </c>
      <c r="G16" s="32"/>
      <c r="H16" s="21">
        <v>1380.0</v>
      </c>
      <c r="I16" s="23"/>
      <c r="J16" s="24">
        <v>160.0</v>
      </c>
      <c r="K16" s="25">
        <f t="shared" si="3"/>
        <v>3010</v>
      </c>
    </row>
    <row r="17" ht="13.5" customHeight="1">
      <c r="A17" s="26" t="s">
        <v>37</v>
      </c>
      <c r="B17" s="33"/>
      <c r="C17" s="34">
        <v>106.0</v>
      </c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290.0</v>
      </c>
      <c r="E18" s="10">
        <v>60.0</v>
      </c>
      <c r="F18" s="41">
        <v>580.0</v>
      </c>
      <c r="G18" s="32"/>
      <c r="H18" s="21">
        <v>5170.0</v>
      </c>
      <c r="I18" s="23"/>
      <c r="J18" s="24">
        <v>130.0</v>
      </c>
      <c r="K18" s="25">
        <f t="shared" si="3"/>
        <v>6230</v>
      </c>
    </row>
    <row r="19" ht="13.5" customHeight="1">
      <c r="A19" s="35" t="s">
        <v>41</v>
      </c>
      <c r="B19" s="27"/>
      <c r="C19" s="27"/>
      <c r="D19" s="21">
        <v>280.0</v>
      </c>
      <c r="E19" s="36">
        <v>60.0</v>
      </c>
      <c r="F19" s="37">
        <v>670.0</v>
      </c>
      <c r="G19" s="38"/>
      <c r="H19" s="21">
        <v>5450.0</v>
      </c>
      <c r="I19" s="29"/>
      <c r="J19" s="39">
        <v>160.0</v>
      </c>
      <c r="K19" s="25">
        <f t="shared" si="3"/>
        <v>6620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1510</v>
      </c>
      <c r="E20" s="10">
        <f t="shared" si="4"/>
        <v>240</v>
      </c>
      <c r="F20" s="10">
        <f t="shared" si="4"/>
        <v>2660</v>
      </c>
      <c r="G20" s="10">
        <f t="shared" si="4"/>
        <v>0</v>
      </c>
      <c r="H20" s="10">
        <f t="shared" si="4"/>
        <v>12770</v>
      </c>
      <c r="I20" s="10">
        <f t="shared" si="4"/>
        <v>0</v>
      </c>
      <c r="J20" s="10">
        <f t="shared" si="4"/>
        <v>510</v>
      </c>
      <c r="K20" s="25">
        <f t="shared" si="3"/>
        <v>17690</v>
      </c>
    </row>
    <row r="21" ht="13.5" customHeight="1">
      <c r="A21" s="13" t="s">
        <v>204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 t="s">
        <v>172</v>
      </c>
      <c r="C23" s="20" t="s">
        <v>33</v>
      </c>
      <c r="D23" s="21">
        <v>470.0</v>
      </c>
      <c r="E23" s="10">
        <v>60.0</v>
      </c>
      <c r="F23" s="36">
        <v>780.0</v>
      </c>
      <c r="G23" s="32"/>
      <c r="H23" s="21">
        <v>910.0</v>
      </c>
      <c r="I23" s="23"/>
      <c r="J23" s="24">
        <v>90.0</v>
      </c>
      <c r="K23" s="25">
        <f t="shared" ref="K23:K29" si="5">SUM(D23:J23)</f>
        <v>2310</v>
      </c>
    </row>
    <row r="24" ht="13.5" customHeight="1">
      <c r="A24" s="26" t="s">
        <v>34</v>
      </c>
      <c r="B24" s="27"/>
      <c r="C24" s="28">
        <v>99.0</v>
      </c>
      <c r="D24" s="21"/>
      <c r="E24" s="10"/>
      <c r="F24" s="36"/>
      <c r="G24" s="22"/>
      <c r="H24" s="21"/>
      <c r="I24" s="29"/>
      <c r="J24" s="29"/>
      <c r="K24" s="25">
        <f t="shared" si="5"/>
        <v>0</v>
      </c>
    </row>
    <row r="25" ht="13.5" customHeight="1">
      <c r="A25" s="18" t="s">
        <v>35</v>
      </c>
      <c r="B25" s="30">
        <v>2.0</v>
      </c>
      <c r="C25" s="31" t="s">
        <v>36</v>
      </c>
      <c r="D25" s="21">
        <v>520.0</v>
      </c>
      <c r="E25" s="10">
        <v>60.0</v>
      </c>
      <c r="F25" s="41">
        <v>1050.0</v>
      </c>
      <c r="G25" s="32"/>
      <c r="H25" s="21">
        <v>1450.0</v>
      </c>
      <c r="I25" s="23"/>
      <c r="J25" s="24">
        <v>140.0</v>
      </c>
      <c r="K25" s="25">
        <f t="shared" si="5"/>
        <v>3220</v>
      </c>
    </row>
    <row r="26" ht="13.5" customHeight="1">
      <c r="A26" s="26" t="s">
        <v>37</v>
      </c>
      <c r="B26" s="33"/>
      <c r="C26" s="34">
        <v>106.0</v>
      </c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300.0</v>
      </c>
      <c r="E27" s="10">
        <v>60.0</v>
      </c>
      <c r="F27" s="41">
        <v>560.0</v>
      </c>
      <c r="G27" s="32"/>
      <c r="H27" s="21">
        <v>5270.0</v>
      </c>
      <c r="I27" s="23"/>
      <c r="J27" s="24">
        <v>150.0</v>
      </c>
      <c r="K27" s="25">
        <f t="shared" si="5"/>
        <v>6340</v>
      </c>
    </row>
    <row r="28" ht="13.5" customHeight="1">
      <c r="A28" s="35" t="s">
        <v>41</v>
      </c>
      <c r="B28" s="27"/>
      <c r="C28" s="27"/>
      <c r="D28" s="21">
        <v>280.0</v>
      </c>
      <c r="E28" s="36">
        <v>60.0</v>
      </c>
      <c r="F28" s="37">
        <v>490.0</v>
      </c>
      <c r="G28" s="22"/>
      <c r="H28" s="21">
        <v>5270.0</v>
      </c>
      <c r="I28" s="29"/>
      <c r="J28" s="29">
        <v>160.0</v>
      </c>
      <c r="K28" s="25">
        <f t="shared" si="5"/>
        <v>6260</v>
      </c>
    </row>
    <row r="29" ht="13.5" customHeight="1">
      <c r="A29" s="40" t="s">
        <v>7</v>
      </c>
      <c r="B29" s="40"/>
      <c r="C29" s="40">
        <v>547.0</v>
      </c>
      <c r="D29" s="10">
        <f t="shared" ref="D29:J29" si="6">SUM(D23:D28)</f>
        <v>1570</v>
      </c>
      <c r="E29" s="10">
        <f t="shared" si="6"/>
        <v>240</v>
      </c>
      <c r="F29" s="10">
        <f t="shared" si="6"/>
        <v>2880</v>
      </c>
      <c r="G29" s="10">
        <f t="shared" si="6"/>
        <v>0</v>
      </c>
      <c r="H29" s="10">
        <f t="shared" si="6"/>
        <v>12900</v>
      </c>
      <c r="I29" s="10">
        <f t="shared" si="6"/>
        <v>0</v>
      </c>
      <c r="J29" s="10">
        <f t="shared" si="6"/>
        <v>540</v>
      </c>
      <c r="K29" s="25">
        <f t="shared" si="5"/>
        <v>18130</v>
      </c>
    </row>
    <row r="30" ht="13.5" customHeight="1">
      <c r="A30" s="13" t="s">
        <v>205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 t="s">
        <v>176</v>
      </c>
      <c r="C32" s="20" t="s">
        <v>33</v>
      </c>
      <c r="D32" s="21">
        <v>450.0</v>
      </c>
      <c r="E32" s="10">
        <v>60.0</v>
      </c>
      <c r="F32" s="36">
        <v>550.0</v>
      </c>
      <c r="G32" s="32"/>
      <c r="H32" s="21">
        <v>950.0</v>
      </c>
      <c r="I32" s="23"/>
      <c r="J32" s="24">
        <v>150.0</v>
      </c>
      <c r="K32" s="25">
        <f t="shared" ref="K32:K37" si="7">SUM(D32:J32)</f>
        <v>2160</v>
      </c>
    </row>
    <row r="33" ht="13.5" customHeight="1">
      <c r="A33" s="26" t="s">
        <v>34</v>
      </c>
      <c r="B33" s="27"/>
      <c r="C33" s="28">
        <v>206.0</v>
      </c>
      <c r="D33" s="21"/>
      <c r="E33" s="10"/>
      <c r="F33" s="36"/>
      <c r="G33" s="22"/>
      <c r="H33" s="21"/>
      <c r="I33" s="21"/>
      <c r="J33" s="29"/>
      <c r="K33" s="25">
        <f t="shared" si="7"/>
        <v>0</v>
      </c>
    </row>
    <row r="34" ht="13.5" customHeight="1">
      <c r="A34" s="18" t="s">
        <v>35</v>
      </c>
      <c r="B34" s="30">
        <v>2.0</v>
      </c>
      <c r="C34" s="31" t="s">
        <v>36</v>
      </c>
      <c r="D34" s="21">
        <v>520.0</v>
      </c>
      <c r="E34" s="10">
        <v>60.0</v>
      </c>
      <c r="F34" s="36">
        <v>1030.0</v>
      </c>
      <c r="G34" s="32"/>
      <c r="H34" s="21">
        <v>1450.0</v>
      </c>
      <c r="I34" s="21"/>
      <c r="J34" s="24">
        <v>100.0</v>
      </c>
      <c r="K34" s="25">
        <f t="shared" si="7"/>
        <v>3160</v>
      </c>
    </row>
    <row r="35" ht="13.5" customHeight="1">
      <c r="A35" s="26" t="s">
        <v>37</v>
      </c>
      <c r="B35" s="33"/>
      <c r="C35" s="34">
        <v>106.0</v>
      </c>
      <c r="D35" s="21"/>
      <c r="E35" s="10"/>
      <c r="F35" s="36"/>
      <c r="G35" s="38"/>
      <c r="H35" s="21"/>
      <c r="I35" s="21"/>
      <c r="J35" s="29"/>
      <c r="K35" s="25">
        <f t="shared" si="7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260.0</v>
      </c>
      <c r="E36" s="10">
        <v>60.0</v>
      </c>
      <c r="F36" s="41">
        <v>500.0</v>
      </c>
      <c r="G36" s="32"/>
      <c r="H36" s="21">
        <v>5240.0</v>
      </c>
      <c r="I36" s="21"/>
      <c r="J36" s="24">
        <v>150.0</v>
      </c>
      <c r="K36" s="25">
        <f t="shared" si="7"/>
        <v>6210</v>
      </c>
    </row>
    <row r="37" ht="13.5" customHeight="1">
      <c r="A37" s="35" t="s">
        <v>41</v>
      </c>
      <c r="B37" s="27"/>
      <c r="C37" s="27"/>
      <c r="D37" s="21">
        <v>300.0</v>
      </c>
      <c r="E37" s="36">
        <v>60.0</v>
      </c>
      <c r="F37" s="37">
        <v>650.0</v>
      </c>
      <c r="G37" s="22"/>
      <c r="H37" s="21">
        <v>5190.0</v>
      </c>
      <c r="I37" s="29"/>
      <c r="J37" s="39">
        <v>140.0</v>
      </c>
      <c r="K37" s="25">
        <f t="shared" si="7"/>
        <v>6340</v>
      </c>
    </row>
    <row r="38" ht="13.5" customHeight="1">
      <c r="A38" s="40" t="s">
        <v>7</v>
      </c>
      <c r="B38" s="40"/>
      <c r="C38" s="40">
        <v>547.0</v>
      </c>
      <c r="D38" s="10">
        <f t="shared" ref="D38:K38" si="8">SUM(D32:D37)</f>
        <v>1530</v>
      </c>
      <c r="E38" s="10">
        <f t="shared" si="8"/>
        <v>240</v>
      </c>
      <c r="F38" s="10">
        <f t="shared" si="8"/>
        <v>2730</v>
      </c>
      <c r="G38" s="10">
        <f t="shared" si="8"/>
        <v>0</v>
      </c>
      <c r="H38" s="10">
        <f t="shared" si="8"/>
        <v>12830</v>
      </c>
      <c r="I38" s="10">
        <f t="shared" si="8"/>
        <v>0</v>
      </c>
      <c r="J38" s="10">
        <f t="shared" si="8"/>
        <v>540</v>
      </c>
      <c r="K38" s="10">
        <f t="shared" si="8"/>
        <v>17870</v>
      </c>
    </row>
    <row r="39" ht="13.5" customHeight="1">
      <c r="A39" s="42" t="s">
        <v>206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1.13</v>
      </c>
      <c r="C41" s="20" t="s">
        <v>33</v>
      </c>
      <c r="D41" s="21">
        <v>440.0</v>
      </c>
      <c r="E41" s="10">
        <v>60.0</v>
      </c>
      <c r="F41" s="36">
        <v>400.0</v>
      </c>
      <c r="G41" s="32"/>
      <c r="H41" s="21">
        <v>1170.0</v>
      </c>
      <c r="I41" s="21"/>
      <c r="J41" s="24">
        <v>90.0</v>
      </c>
      <c r="K41" s="25">
        <f t="shared" ref="K41:K47" si="9">SUM(D41:J41)</f>
        <v>2160</v>
      </c>
    </row>
    <row r="42" ht="13.5" customHeight="1">
      <c r="A42" s="26" t="s">
        <v>34</v>
      </c>
      <c r="B42" s="27"/>
      <c r="C42" s="28"/>
      <c r="D42" s="21"/>
      <c r="E42" s="10"/>
      <c r="F42" s="36"/>
      <c r="G42" s="22"/>
      <c r="H42" s="21"/>
      <c r="I42" s="21"/>
      <c r="J42" s="29"/>
      <c r="K42" s="25">
        <f t="shared" si="9"/>
        <v>0</v>
      </c>
    </row>
    <row r="43" ht="13.5" customHeight="1">
      <c r="A43" s="18" t="s">
        <v>35</v>
      </c>
      <c r="B43" s="30">
        <v>2.0</v>
      </c>
      <c r="C43" s="31" t="s">
        <v>36</v>
      </c>
      <c r="D43" s="21">
        <v>520.0</v>
      </c>
      <c r="E43" s="10">
        <v>60.0</v>
      </c>
      <c r="F43" s="36">
        <v>850.0</v>
      </c>
      <c r="G43" s="32"/>
      <c r="H43" s="21">
        <v>1440.0</v>
      </c>
      <c r="I43" s="21"/>
      <c r="J43" s="24">
        <v>130.0</v>
      </c>
      <c r="K43" s="25">
        <f t="shared" si="9"/>
        <v>3000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9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280.0</v>
      </c>
      <c r="E45" s="10">
        <v>60.0</v>
      </c>
      <c r="F45" s="41"/>
      <c r="G45" s="32"/>
      <c r="H45" s="21">
        <v>5490.0</v>
      </c>
      <c r="I45" s="21"/>
      <c r="J45" s="24">
        <v>140.0</v>
      </c>
      <c r="K45" s="25">
        <f t="shared" si="9"/>
        <v>5970</v>
      </c>
    </row>
    <row r="46" ht="13.5" customHeight="1">
      <c r="A46" s="35" t="s">
        <v>41</v>
      </c>
      <c r="B46" s="27"/>
      <c r="C46" s="27"/>
      <c r="D46" s="21">
        <v>280.0</v>
      </c>
      <c r="E46" s="36">
        <v>60.0</v>
      </c>
      <c r="F46" s="37"/>
      <c r="G46" s="38"/>
      <c r="H46" s="21">
        <v>5270.0</v>
      </c>
      <c r="I46" s="21"/>
      <c r="J46" s="39">
        <v>180.0</v>
      </c>
      <c r="K46" s="25">
        <f t="shared" si="9"/>
        <v>5790</v>
      </c>
    </row>
    <row r="47" ht="13.5" customHeight="1">
      <c r="A47" s="40" t="s">
        <v>7</v>
      </c>
      <c r="B47" s="40"/>
      <c r="C47" s="40">
        <v>547.0</v>
      </c>
      <c r="D47" s="10">
        <f t="shared" ref="D47:J47" si="10">SUM(D41:D46)</f>
        <v>1520</v>
      </c>
      <c r="E47" s="10">
        <f t="shared" si="10"/>
        <v>240</v>
      </c>
      <c r="F47" s="10">
        <f t="shared" si="10"/>
        <v>1250</v>
      </c>
      <c r="G47" s="10">
        <f t="shared" si="10"/>
        <v>0</v>
      </c>
      <c r="H47" s="10">
        <f t="shared" si="10"/>
        <v>13370</v>
      </c>
      <c r="I47" s="10">
        <f t="shared" si="10"/>
        <v>0</v>
      </c>
      <c r="J47" s="10">
        <f t="shared" si="10"/>
        <v>540</v>
      </c>
      <c r="K47" s="25">
        <f t="shared" si="9"/>
        <v>16920</v>
      </c>
    </row>
    <row r="48" ht="13.5" customHeight="1">
      <c r="A48" s="13" t="s">
        <v>207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1.13</v>
      </c>
      <c r="C50" s="20" t="s">
        <v>33</v>
      </c>
      <c r="D50" s="21">
        <v>460.0</v>
      </c>
      <c r="E50" s="10">
        <v>60.0</v>
      </c>
      <c r="F50" s="36"/>
      <c r="G50" s="32"/>
      <c r="H50" s="21">
        <v>990.0</v>
      </c>
      <c r="I50" s="21"/>
      <c r="J50" s="24">
        <v>160.0</v>
      </c>
      <c r="K50" s="25">
        <f t="shared" ref="K50:K56" si="11">SUM(D50:J50)</f>
        <v>1670</v>
      </c>
    </row>
    <row r="51" ht="13.5" customHeight="1">
      <c r="A51" s="26" t="s">
        <v>34</v>
      </c>
      <c r="B51" s="27"/>
      <c r="C51" s="28">
        <v>206.0</v>
      </c>
      <c r="D51" s="21"/>
      <c r="E51" s="10"/>
      <c r="F51" s="36"/>
      <c r="G51" s="22"/>
      <c r="H51" s="21"/>
      <c r="I51" s="21"/>
      <c r="J51" s="29"/>
      <c r="K51" s="25">
        <f t="shared" si="11"/>
        <v>0</v>
      </c>
    </row>
    <row r="52" ht="13.5" customHeight="1">
      <c r="A52" s="18" t="s">
        <v>35</v>
      </c>
      <c r="B52" s="30">
        <v>2.0</v>
      </c>
      <c r="C52" s="31" t="s">
        <v>36</v>
      </c>
      <c r="D52" s="21">
        <v>520.0</v>
      </c>
      <c r="E52" s="10">
        <v>60.0</v>
      </c>
      <c r="F52" s="36"/>
      <c r="G52" s="38"/>
      <c r="H52" s="21">
        <v>1490.0</v>
      </c>
      <c r="I52" s="21"/>
      <c r="J52" s="29">
        <v>140.0</v>
      </c>
      <c r="K52" s="25">
        <f t="shared" si="11"/>
        <v>2210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1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280.0</v>
      </c>
      <c r="E54" s="10">
        <v>60.0</v>
      </c>
      <c r="F54" s="41"/>
      <c r="G54" s="32"/>
      <c r="H54" s="21">
        <v>5400.0</v>
      </c>
      <c r="I54" s="21"/>
      <c r="J54" s="24">
        <v>160.0</v>
      </c>
      <c r="K54" s="25">
        <f t="shared" si="11"/>
        <v>5900</v>
      </c>
    </row>
    <row r="55" ht="13.5" customHeight="1">
      <c r="A55" s="35" t="s">
        <v>41</v>
      </c>
      <c r="B55" s="27"/>
      <c r="C55" s="27"/>
      <c r="D55" s="21">
        <v>310.0</v>
      </c>
      <c r="E55" s="36">
        <v>60.0</v>
      </c>
      <c r="F55" s="37"/>
      <c r="G55" s="38"/>
      <c r="H55" s="21">
        <v>5400.0</v>
      </c>
      <c r="I55" s="21"/>
      <c r="J55" s="39">
        <v>140.0</v>
      </c>
      <c r="K55" s="25">
        <f t="shared" si="11"/>
        <v>5910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2">SUM(D50:D55)</f>
        <v>1570</v>
      </c>
      <c r="E56" s="10">
        <f t="shared" si="12"/>
        <v>240</v>
      </c>
      <c r="F56" s="10">
        <f t="shared" si="12"/>
        <v>0</v>
      </c>
      <c r="G56" s="10">
        <f t="shared" si="12"/>
        <v>0</v>
      </c>
      <c r="H56" s="10">
        <f t="shared" si="12"/>
        <v>13280</v>
      </c>
      <c r="I56" s="10">
        <f t="shared" si="12"/>
        <v>0</v>
      </c>
      <c r="J56" s="10">
        <f t="shared" si="12"/>
        <v>600</v>
      </c>
      <c r="K56" s="25">
        <f t="shared" si="11"/>
        <v>15690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208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>
        <v>1.13</v>
      </c>
      <c r="C60" s="20" t="s">
        <v>33</v>
      </c>
      <c r="D60" s="21">
        <v>410.0</v>
      </c>
      <c r="E60" s="10">
        <v>60.0</v>
      </c>
      <c r="F60" s="36">
        <v>510.0</v>
      </c>
      <c r="G60" s="21"/>
      <c r="H60" s="10">
        <v>690.0</v>
      </c>
      <c r="I60" s="10"/>
      <c r="J60" s="24">
        <v>70.0</v>
      </c>
      <c r="K60" s="25">
        <f t="shared" ref="K60:K66" si="13">SUM(D60:J60)</f>
        <v>1740</v>
      </c>
    </row>
    <row r="61" ht="13.5" customHeight="1">
      <c r="A61" s="26" t="s">
        <v>34</v>
      </c>
      <c r="B61" s="27"/>
      <c r="C61" s="28">
        <v>99.0</v>
      </c>
      <c r="D61" s="21"/>
      <c r="E61" s="10"/>
      <c r="F61" s="36"/>
      <c r="G61" s="21"/>
      <c r="H61" s="10"/>
      <c r="I61" s="10"/>
      <c r="J61" s="29"/>
      <c r="K61" s="25">
        <f t="shared" si="13"/>
        <v>0</v>
      </c>
    </row>
    <row r="62" ht="13.5" customHeight="1">
      <c r="A62" s="18" t="s">
        <v>35</v>
      </c>
      <c r="B62" s="30">
        <v>2.0</v>
      </c>
      <c r="C62" s="31" t="s">
        <v>36</v>
      </c>
      <c r="D62" s="21">
        <v>520.0</v>
      </c>
      <c r="E62" s="10"/>
      <c r="F62" s="36">
        <v>1030.0</v>
      </c>
      <c r="G62" s="21"/>
      <c r="H62" s="10">
        <v>1400.0</v>
      </c>
      <c r="I62" s="10"/>
      <c r="J62" s="24">
        <v>130.0</v>
      </c>
      <c r="K62" s="25">
        <f t="shared" si="13"/>
        <v>3080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3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290.0</v>
      </c>
      <c r="E64" s="10"/>
      <c r="F64" s="43">
        <v>600.0</v>
      </c>
      <c r="G64" s="21"/>
      <c r="H64" s="10">
        <v>5010.0</v>
      </c>
      <c r="I64" s="10"/>
      <c r="J64" s="24">
        <v>150.0</v>
      </c>
      <c r="K64" s="25">
        <f t="shared" si="13"/>
        <v>6050</v>
      </c>
    </row>
    <row r="65" ht="13.5" customHeight="1">
      <c r="A65" s="35" t="s">
        <v>41</v>
      </c>
      <c r="B65" s="27"/>
      <c r="C65" s="27"/>
      <c r="D65" s="21">
        <v>310.0</v>
      </c>
      <c r="E65" s="36"/>
      <c r="F65" s="36">
        <v>600.0</v>
      </c>
      <c r="G65" s="21"/>
      <c r="H65" s="10">
        <v>4960.0</v>
      </c>
      <c r="I65" s="10"/>
      <c r="J65" s="39">
        <v>130.0</v>
      </c>
      <c r="K65" s="25">
        <f t="shared" si="13"/>
        <v>6000</v>
      </c>
    </row>
    <row r="66" ht="13.5" customHeight="1">
      <c r="A66" s="40" t="s">
        <v>7</v>
      </c>
      <c r="B66" s="40"/>
      <c r="C66" s="40">
        <v>547.0</v>
      </c>
      <c r="D66" s="10">
        <f t="shared" ref="D66:J66" si="14">SUM(D60:D65)</f>
        <v>1530</v>
      </c>
      <c r="E66" s="10">
        <f t="shared" si="14"/>
        <v>60</v>
      </c>
      <c r="F66" s="10">
        <f t="shared" si="14"/>
        <v>2740</v>
      </c>
      <c r="G66" s="10">
        <f t="shared" si="14"/>
        <v>0</v>
      </c>
      <c r="H66" s="10">
        <f t="shared" si="14"/>
        <v>12060</v>
      </c>
      <c r="I66" s="10">
        <f t="shared" si="14"/>
        <v>0</v>
      </c>
      <c r="J66" s="10">
        <f t="shared" si="14"/>
        <v>480</v>
      </c>
      <c r="K66" s="25">
        <f t="shared" si="13"/>
        <v>16870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209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>
        <v>1.13</v>
      </c>
      <c r="C70" s="20" t="s">
        <v>33</v>
      </c>
      <c r="D70" s="21">
        <v>410.0</v>
      </c>
      <c r="E70" s="10"/>
      <c r="F70" s="36">
        <v>600.0</v>
      </c>
      <c r="G70" s="21"/>
      <c r="H70" s="10">
        <v>540.0</v>
      </c>
      <c r="I70" s="10"/>
      <c r="J70" s="24">
        <v>40.0</v>
      </c>
      <c r="K70" s="25">
        <f t="shared" ref="K70:K76" si="15">SUM(D70:J70)</f>
        <v>1590</v>
      </c>
    </row>
    <row r="71" ht="13.5" customHeight="1">
      <c r="A71" s="26" t="s">
        <v>34</v>
      </c>
      <c r="B71" s="27"/>
      <c r="C71" s="28">
        <v>99.0</v>
      </c>
      <c r="D71" s="21"/>
      <c r="E71" s="10"/>
      <c r="F71" s="36"/>
      <c r="G71" s="21"/>
      <c r="H71" s="10"/>
      <c r="I71" s="10"/>
      <c r="J71" s="29"/>
      <c r="K71" s="25">
        <f t="shared" si="15"/>
        <v>0</v>
      </c>
    </row>
    <row r="72" ht="13.5" customHeight="1">
      <c r="A72" s="18" t="s">
        <v>35</v>
      </c>
      <c r="B72" s="30">
        <v>2.0</v>
      </c>
      <c r="C72" s="31" t="s">
        <v>36</v>
      </c>
      <c r="D72" s="21">
        <v>520.0</v>
      </c>
      <c r="E72" s="10"/>
      <c r="F72" s="36">
        <v>1000.0</v>
      </c>
      <c r="G72" s="21"/>
      <c r="H72" s="10">
        <v>1520.0</v>
      </c>
      <c r="I72" s="10"/>
      <c r="J72" s="24">
        <v>100.0</v>
      </c>
      <c r="K72" s="25">
        <f t="shared" si="15"/>
        <v>3140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5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300.0</v>
      </c>
      <c r="E74" s="10"/>
      <c r="F74" s="10">
        <v>560.0</v>
      </c>
      <c r="G74" s="21"/>
      <c r="H74" s="10">
        <v>5190.0</v>
      </c>
      <c r="I74" s="10"/>
      <c r="J74" s="24">
        <v>150.0</v>
      </c>
      <c r="K74" s="25">
        <f t="shared" si="15"/>
        <v>6200</v>
      </c>
    </row>
    <row r="75" ht="13.5" customHeight="1">
      <c r="A75" s="35" t="s">
        <v>41</v>
      </c>
      <c r="B75" s="27"/>
      <c r="C75" s="27"/>
      <c r="D75" s="21">
        <v>300.0</v>
      </c>
      <c r="E75" s="36"/>
      <c r="F75" s="36">
        <v>630.0</v>
      </c>
      <c r="G75" s="21"/>
      <c r="H75" s="10">
        <v>5090.0</v>
      </c>
      <c r="I75" s="10"/>
      <c r="J75" s="39">
        <v>160.0</v>
      </c>
      <c r="K75" s="25">
        <f t="shared" si="15"/>
        <v>6180</v>
      </c>
    </row>
    <row r="76" ht="13.5" customHeight="1">
      <c r="A76" s="40" t="s">
        <v>7</v>
      </c>
      <c r="B76" s="40"/>
      <c r="C76" s="40">
        <v>547.0</v>
      </c>
      <c r="D76" s="40">
        <f t="shared" ref="D76:J76" si="16">SUM(D70:D75)</f>
        <v>1530</v>
      </c>
      <c r="E76" s="40">
        <f t="shared" si="16"/>
        <v>0</v>
      </c>
      <c r="F76" s="40">
        <f t="shared" si="16"/>
        <v>2790</v>
      </c>
      <c r="G76" s="40">
        <f t="shared" si="16"/>
        <v>0</v>
      </c>
      <c r="H76" s="40">
        <f t="shared" si="16"/>
        <v>12340</v>
      </c>
      <c r="I76" s="40">
        <f t="shared" si="16"/>
        <v>0</v>
      </c>
      <c r="J76" s="40">
        <f t="shared" si="16"/>
        <v>450</v>
      </c>
      <c r="K76" s="25">
        <f t="shared" si="15"/>
        <v>17110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210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>
        <v>1.13</v>
      </c>
      <c r="C80" s="20" t="s">
        <v>33</v>
      </c>
      <c r="D80" s="21">
        <v>440.0</v>
      </c>
      <c r="E80" s="36"/>
      <c r="F80" s="36">
        <v>640.0</v>
      </c>
      <c r="G80" s="22"/>
      <c r="H80" s="21">
        <v>430.0</v>
      </c>
      <c r="I80" s="21"/>
      <c r="J80" s="29">
        <v>90.0</v>
      </c>
      <c r="K80" s="25">
        <f t="shared" ref="K80:K86" si="17">SUM(D80:J80)</f>
        <v>1600</v>
      </c>
    </row>
    <row r="81" ht="13.5" customHeight="1">
      <c r="A81" s="26" t="s">
        <v>34</v>
      </c>
      <c r="B81" s="27"/>
      <c r="C81" s="28">
        <v>99.0</v>
      </c>
      <c r="D81" s="21"/>
      <c r="E81" s="36"/>
      <c r="F81" s="36"/>
      <c r="G81" s="22"/>
      <c r="H81" s="21"/>
      <c r="I81" s="21"/>
      <c r="J81" s="29"/>
      <c r="K81" s="25">
        <f t="shared" si="17"/>
        <v>0</v>
      </c>
    </row>
    <row r="82" ht="13.5" customHeight="1">
      <c r="A82" s="18" t="s">
        <v>35</v>
      </c>
      <c r="B82" s="30">
        <v>2.0</v>
      </c>
      <c r="C82" s="31" t="s">
        <v>36</v>
      </c>
      <c r="D82" s="21">
        <v>530.0</v>
      </c>
      <c r="E82" s="36"/>
      <c r="F82" s="36">
        <v>800.0</v>
      </c>
      <c r="G82" s="32"/>
      <c r="H82" s="21">
        <v>1670.0</v>
      </c>
      <c r="I82" s="21"/>
      <c r="J82" s="24">
        <v>120.0</v>
      </c>
      <c r="K82" s="25">
        <f t="shared" si="17"/>
        <v>3120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7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290.0</v>
      </c>
      <c r="E84" s="41"/>
      <c r="F84" s="41">
        <v>580.0</v>
      </c>
      <c r="G84" s="32"/>
      <c r="H84" s="21">
        <v>5140.0</v>
      </c>
      <c r="I84" s="21"/>
      <c r="J84" s="24">
        <v>140.0</v>
      </c>
      <c r="K84" s="25">
        <f t="shared" si="17"/>
        <v>6150</v>
      </c>
    </row>
    <row r="85" ht="13.5" customHeight="1">
      <c r="A85" s="35" t="s">
        <v>41</v>
      </c>
      <c r="B85" s="27"/>
      <c r="C85" s="27"/>
      <c r="D85" s="21">
        <v>390.0</v>
      </c>
      <c r="E85" s="36"/>
      <c r="F85" s="37">
        <v>1070.0</v>
      </c>
      <c r="G85" s="38"/>
      <c r="H85" s="21">
        <v>5770.0</v>
      </c>
      <c r="I85" s="29"/>
      <c r="J85" s="39">
        <v>130.0</v>
      </c>
      <c r="K85" s="25">
        <f t="shared" si="17"/>
        <v>7360</v>
      </c>
    </row>
    <row r="86" ht="13.5" customHeight="1">
      <c r="A86" s="40" t="s">
        <v>7</v>
      </c>
      <c r="B86" s="40"/>
      <c r="C86" s="40">
        <v>547.0</v>
      </c>
      <c r="D86" s="10">
        <f t="shared" ref="D86:J86" si="18">SUM(D80:D85)</f>
        <v>1650</v>
      </c>
      <c r="E86" s="10">
        <f t="shared" si="18"/>
        <v>0</v>
      </c>
      <c r="F86" s="10">
        <f t="shared" si="18"/>
        <v>3090</v>
      </c>
      <c r="G86" s="10">
        <f t="shared" si="18"/>
        <v>0</v>
      </c>
      <c r="H86" s="10">
        <f t="shared" si="18"/>
        <v>13010</v>
      </c>
      <c r="I86" s="10">
        <f t="shared" si="18"/>
        <v>0</v>
      </c>
      <c r="J86" s="10">
        <f t="shared" si="18"/>
        <v>480</v>
      </c>
      <c r="K86" s="25">
        <f t="shared" si="17"/>
        <v>18230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ht="13.5" customHeight="1">
      <c r="A89" s="13" t="s">
        <v>211</v>
      </c>
    </row>
    <row r="90" ht="13.5" customHeight="1">
      <c r="A90" s="14" t="s">
        <v>25</v>
      </c>
      <c r="B90" s="14" t="s">
        <v>1</v>
      </c>
      <c r="C90" s="14" t="s">
        <v>27</v>
      </c>
      <c r="D90" s="15" t="s">
        <v>2</v>
      </c>
      <c r="E90" s="10" t="s">
        <v>28</v>
      </c>
      <c r="F90" s="16" t="s">
        <v>3</v>
      </c>
      <c r="G90" s="15" t="s">
        <v>4</v>
      </c>
      <c r="H90" s="15" t="s">
        <v>5</v>
      </c>
      <c r="I90" s="15" t="s">
        <v>29</v>
      </c>
      <c r="J90" s="14" t="s">
        <v>30</v>
      </c>
      <c r="K90" s="17" t="s">
        <v>7</v>
      </c>
    </row>
    <row r="91" ht="14.25" customHeight="1">
      <c r="A91" s="18" t="s">
        <v>31</v>
      </c>
      <c r="B91" s="19" t="s">
        <v>212</v>
      </c>
      <c r="C91" s="20" t="s">
        <v>33</v>
      </c>
      <c r="D91" s="21">
        <v>1020.0</v>
      </c>
      <c r="E91" s="10"/>
      <c r="F91" s="36">
        <v>1600.0</v>
      </c>
      <c r="G91" s="32"/>
      <c r="H91" s="21">
        <v>1640.0</v>
      </c>
      <c r="I91" s="21"/>
      <c r="J91" s="24">
        <v>240.0</v>
      </c>
      <c r="K91" s="25">
        <f t="shared" ref="K91:K97" si="19">SUM(D91:J91)</f>
        <v>4500</v>
      </c>
    </row>
    <row r="92" ht="13.5" customHeight="1">
      <c r="A92" s="26" t="s">
        <v>34</v>
      </c>
      <c r="B92" s="27"/>
      <c r="C92" s="28">
        <v>136.0</v>
      </c>
      <c r="D92" s="21"/>
      <c r="E92" s="10"/>
      <c r="F92" s="36"/>
      <c r="G92" s="32"/>
      <c r="H92" s="21"/>
      <c r="I92" s="21"/>
      <c r="J92" s="29"/>
      <c r="K92" s="25">
        <f t="shared" si="19"/>
        <v>0</v>
      </c>
    </row>
    <row r="93" ht="13.5" customHeight="1">
      <c r="A93" s="18" t="s">
        <v>35</v>
      </c>
      <c r="B93" s="30">
        <v>2.0</v>
      </c>
      <c r="C93" s="31" t="s">
        <v>36</v>
      </c>
      <c r="D93" s="21"/>
      <c r="E93" s="10"/>
      <c r="F93" s="36"/>
      <c r="G93" s="32"/>
      <c r="H93" s="21"/>
      <c r="I93" s="21"/>
      <c r="J93" s="24"/>
      <c r="K93" s="25">
        <f t="shared" si="19"/>
        <v>0</v>
      </c>
    </row>
    <row r="94" ht="13.5" customHeight="1">
      <c r="A94" s="26" t="s">
        <v>37</v>
      </c>
      <c r="B94" s="33"/>
      <c r="C94" s="34">
        <v>91.0</v>
      </c>
      <c r="D94" s="21"/>
      <c r="E94" s="10"/>
      <c r="F94" s="36"/>
      <c r="G94" s="32"/>
      <c r="H94" s="21"/>
      <c r="I94" s="21"/>
      <c r="J94" s="29"/>
      <c r="K94" s="25">
        <f t="shared" si="19"/>
        <v>0</v>
      </c>
    </row>
    <row r="95" ht="15.0" customHeight="1">
      <c r="A95" s="18" t="s">
        <v>38</v>
      </c>
      <c r="B95" s="19" t="s">
        <v>39</v>
      </c>
      <c r="C95" s="19" t="s">
        <v>40</v>
      </c>
      <c r="D95" s="21">
        <v>300.0</v>
      </c>
      <c r="E95" s="36"/>
      <c r="F95" s="41">
        <v>600.0</v>
      </c>
      <c r="G95" s="32"/>
      <c r="H95" s="21">
        <v>5260.0</v>
      </c>
      <c r="I95" s="21"/>
      <c r="J95" s="24">
        <v>140.0</v>
      </c>
      <c r="K95" s="25">
        <f t="shared" si="19"/>
        <v>6300</v>
      </c>
    </row>
    <row r="96" ht="13.5" customHeight="1">
      <c r="A96" s="35" t="s">
        <v>41</v>
      </c>
      <c r="B96" s="27"/>
      <c r="C96" s="27"/>
      <c r="D96" s="21">
        <v>270.0</v>
      </c>
      <c r="E96" s="36"/>
      <c r="F96" s="37">
        <v>600.0</v>
      </c>
      <c r="G96" s="38"/>
      <c r="H96" s="21">
        <v>5000.0</v>
      </c>
      <c r="I96" s="21"/>
      <c r="J96" s="39">
        <v>160.0</v>
      </c>
      <c r="K96" s="25">
        <f t="shared" si="19"/>
        <v>6030</v>
      </c>
    </row>
    <row r="97" ht="13.5" customHeight="1">
      <c r="A97" s="40" t="s">
        <v>7</v>
      </c>
      <c r="B97" s="40"/>
      <c r="C97" s="40">
        <v>563.0</v>
      </c>
      <c r="D97" s="10">
        <f t="shared" ref="D97:J97" si="20">SUM(D91:D96)</f>
        <v>1590</v>
      </c>
      <c r="E97" s="10">
        <f t="shared" si="20"/>
        <v>0</v>
      </c>
      <c r="F97" s="10">
        <f t="shared" si="20"/>
        <v>2800</v>
      </c>
      <c r="G97" s="10">
        <f t="shared" si="20"/>
        <v>0</v>
      </c>
      <c r="H97" s="10">
        <f t="shared" si="20"/>
        <v>11900</v>
      </c>
      <c r="I97" s="10">
        <f t="shared" si="20"/>
        <v>0</v>
      </c>
      <c r="J97" s="10">
        <f t="shared" si="20"/>
        <v>540</v>
      </c>
      <c r="K97" s="25">
        <f t="shared" si="19"/>
        <v>16830</v>
      </c>
    </row>
    <row r="98" ht="13.5" customHeight="1">
      <c r="A98" s="13" t="s">
        <v>213</v>
      </c>
    </row>
    <row r="99" ht="13.5" customHeight="1">
      <c r="A99" s="14" t="s">
        <v>25</v>
      </c>
      <c r="B99" s="14" t="s">
        <v>1</v>
      </c>
      <c r="C99" s="14" t="s">
        <v>27</v>
      </c>
      <c r="D99" s="15" t="s">
        <v>2</v>
      </c>
      <c r="E99" s="10" t="s">
        <v>28</v>
      </c>
      <c r="F99" s="16" t="s">
        <v>3</v>
      </c>
      <c r="G99" s="15" t="s">
        <v>4</v>
      </c>
      <c r="H99" s="15" t="s">
        <v>5</v>
      </c>
      <c r="I99" s="15" t="s">
        <v>29</v>
      </c>
      <c r="J99" s="14" t="s">
        <v>30</v>
      </c>
      <c r="K99" s="10" t="s">
        <v>7</v>
      </c>
    </row>
    <row r="100" ht="14.25" customHeight="1">
      <c r="A100" s="18" t="s">
        <v>31</v>
      </c>
      <c r="B100" s="19" t="s">
        <v>212</v>
      </c>
      <c r="C100" s="20" t="s">
        <v>33</v>
      </c>
      <c r="D100" s="21">
        <v>1080.0</v>
      </c>
      <c r="E100" s="10"/>
      <c r="F100" s="36">
        <v>1500.0</v>
      </c>
      <c r="G100" s="32"/>
      <c r="H100" s="21">
        <v>1760.0</v>
      </c>
      <c r="I100" s="21"/>
      <c r="J100" s="21">
        <v>250.0</v>
      </c>
      <c r="K100" s="10">
        <f t="shared" ref="K100:K106" si="21">SUM(D100:J100)</f>
        <v>4590</v>
      </c>
    </row>
    <row r="101" ht="13.5" customHeight="1">
      <c r="A101" s="26" t="s">
        <v>34</v>
      </c>
      <c r="B101" s="27"/>
      <c r="C101" s="28">
        <v>136.0</v>
      </c>
      <c r="D101" s="21">
        <v>550.0</v>
      </c>
      <c r="E101" s="10"/>
      <c r="F101" s="36">
        <v>550.0</v>
      </c>
      <c r="G101" s="32"/>
      <c r="H101" s="21">
        <v>350.0</v>
      </c>
      <c r="I101" s="21"/>
      <c r="J101" s="21">
        <v>60.0</v>
      </c>
      <c r="K101" s="10">
        <f t="shared" si="21"/>
        <v>1510</v>
      </c>
    </row>
    <row r="102" ht="13.5" customHeight="1">
      <c r="A102" s="18" t="s">
        <v>35</v>
      </c>
      <c r="B102" s="30">
        <v>2.0</v>
      </c>
      <c r="C102" s="31" t="s">
        <v>36</v>
      </c>
      <c r="D102" s="21"/>
      <c r="E102" s="10"/>
      <c r="F102" s="36"/>
      <c r="G102" s="32"/>
      <c r="H102" s="21"/>
      <c r="I102" s="21"/>
      <c r="J102" s="21"/>
      <c r="K102" s="10">
        <f t="shared" si="21"/>
        <v>0</v>
      </c>
    </row>
    <row r="103" ht="13.5" customHeight="1">
      <c r="A103" s="26" t="s">
        <v>37</v>
      </c>
      <c r="B103" s="33"/>
      <c r="C103" s="34">
        <v>91.0</v>
      </c>
      <c r="D103" s="21"/>
      <c r="E103" s="10"/>
      <c r="F103" s="36"/>
      <c r="G103" s="32"/>
      <c r="H103" s="21"/>
      <c r="I103" s="21"/>
      <c r="J103" s="21"/>
      <c r="K103" s="10">
        <f t="shared" si="21"/>
        <v>0</v>
      </c>
    </row>
    <row r="104" ht="14.25" customHeight="1">
      <c r="A104" s="18" t="s">
        <v>38</v>
      </c>
      <c r="B104" s="19" t="s">
        <v>39</v>
      </c>
      <c r="C104" s="19" t="s">
        <v>40</v>
      </c>
      <c r="D104" s="21">
        <v>280.0</v>
      </c>
      <c r="E104" s="36"/>
      <c r="F104" s="41"/>
      <c r="G104" s="32"/>
      <c r="H104" s="21">
        <v>5910.0</v>
      </c>
      <c r="I104" s="21"/>
      <c r="J104" s="21">
        <v>100.0</v>
      </c>
      <c r="K104" s="10">
        <f t="shared" si="21"/>
        <v>6290</v>
      </c>
    </row>
    <row r="105" ht="13.5" customHeight="1">
      <c r="A105" s="35" t="s">
        <v>41</v>
      </c>
      <c r="B105" s="27"/>
      <c r="C105" s="27"/>
      <c r="D105" s="21">
        <v>290.0</v>
      </c>
      <c r="E105" s="36"/>
      <c r="F105" s="37">
        <v>560.0</v>
      </c>
      <c r="G105" s="38"/>
      <c r="H105" s="21">
        <v>5140.0</v>
      </c>
      <c r="I105" s="21"/>
      <c r="J105" s="21">
        <v>150.0</v>
      </c>
      <c r="K105" s="10">
        <f t="shared" si="21"/>
        <v>6140</v>
      </c>
    </row>
    <row r="106" ht="13.5" customHeight="1">
      <c r="A106" s="40" t="s">
        <v>7</v>
      </c>
      <c r="B106" s="40"/>
      <c r="C106" s="40">
        <v>563.0</v>
      </c>
      <c r="D106" s="10">
        <f t="shared" ref="D106:J106" si="22">SUM(D100:D105)</f>
        <v>2200</v>
      </c>
      <c r="E106" s="10">
        <f t="shared" si="22"/>
        <v>0</v>
      </c>
      <c r="F106" s="10">
        <f t="shared" si="22"/>
        <v>2610</v>
      </c>
      <c r="G106" s="10">
        <f t="shared" si="22"/>
        <v>0</v>
      </c>
      <c r="H106" s="10">
        <f t="shared" si="22"/>
        <v>13160</v>
      </c>
      <c r="I106" s="10">
        <f t="shared" si="22"/>
        <v>0</v>
      </c>
      <c r="J106" s="10">
        <f t="shared" si="22"/>
        <v>560</v>
      </c>
      <c r="K106" s="10">
        <f t="shared" si="21"/>
        <v>18530</v>
      </c>
    </row>
    <row r="107" ht="13.5" customHeight="1">
      <c r="A107" s="14"/>
      <c r="B107" s="14"/>
      <c r="C107" s="14"/>
      <c r="D107" s="14"/>
      <c r="E107" s="14"/>
      <c r="F107" s="14"/>
      <c r="G107" s="15"/>
      <c r="H107" s="15"/>
      <c r="I107" s="15"/>
      <c r="J107" s="10"/>
      <c r="K107" s="10"/>
    </row>
    <row r="108" ht="13.5" customHeight="1">
      <c r="A108" s="45" t="s">
        <v>214</v>
      </c>
    </row>
    <row r="109" ht="13.5" customHeight="1">
      <c r="A109" s="14" t="s">
        <v>25</v>
      </c>
      <c r="B109" s="14" t="s">
        <v>1</v>
      </c>
      <c r="C109" s="14" t="s">
        <v>27</v>
      </c>
      <c r="D109" s="15" t="s">
        <v>2</v>
      </c>
      <c r="E109" s="10" t="s">
        <v>28</v>
      </c>
      <c r="F109" s="16" t="s">
        <v>3</v>
      </c>
      <c r="G109" s="15" t="s">
        <v>4</v>
      </c>
      <c r="H109" s="15" t="s">
        <v>5</v>
      </c>
      <c r="I109" s="15" t="s">
        <v>29</v>
      </c>
      <c r="J109" s="14" t="s">
        <v>30</v>
      </c>
      <c r="K109" s="17" t="s">
        <v>7</v>
      </c>
    </row>
    <row r="110" ht="14.25" customHeight="1">
      <c r="A110" s="18" t="s">
        <v>31</v>
      </c>
      <c r="B110" s="19" t="s">
        <v>212</v>
      </c>
      <c r="C110" s="20" t="s">
        <v>33</v>
      </c>
      <c r="D110" s="21">
        <v>650.0</v>
      </c>
      <c r="E110" s="10"/>
      <c r="F110" s="10">
        <v>1200.0</v>
      </c>
      <c r="G110" s="32"/>
      <c r="H110" s="21">
        <v>1150.0</v>
      </c>
      <c r="I110" s="21"/>
      <c r="J110" s="21">
        <v>150.0</v>
      </c>
      <c r="K110" s="25">
        <f t="shared" ref="K110:K116" si="23">SUM(D110:J110)</f>
        <v>3150</v>
      </c>
    </row>
    <row r="111" ht="13.5" customHeight="1">
      <c r="A111" s="26" t="s">
        <v>34</v>
      </c>
      <c r="B111" s="27"/>
      <c r="C111" s="28">
        <v>136.0</v>
      </c>
      <c r="D111" s="21">
        <v>370.0</v>
      </c>
      <c r="E111" s="10"/>
      <c r="F111" s="10">
        <v>500.0</v>
      </c>
      <c r="G111" s="32"/>
      <c r="H111" s="21">
        <v>420.0</v>
      </c>
      <c r="I111" s="21"/>
      <c r="J111" s="21">
        <v>30.0</v>
      </c>
      <c r="K111" s="25">
        <f t="shared" si="23"/>
        <v>1320</v>
      </c>
    </row>
    <row r="112" ht="13.5" customHeight="1">
      <c r="A112" s="18" t="s">
        <v>35</v>
      </c>
      <c r="B112" s="30"/>
      <c r="C112" s="31" t="s">
        <v>36</v>
      </c>
      <c r="D112" s="21"/>
      <c r="E112" s="10"/>
      <c r="F112" s="10"/>
      <c r="G112" s="32"/>
      <c r="H112" s="21"/>
      <c r="I112" s="21"/>
      <c r="J112" s="21"/>
      <c r="K112" s="25">
        <f t="shared" si="23"/>
        <v>0</v>
      </c>
    </row>
    <row r="113" ht="13.5" customHeight="1">
      <c r="A113" s="26" t="s">
        <v>37</v>
      </c>
      <c r="B113" s="33"/>
      <c r="C113" s="34">
        <v>91.0</v>
      </c>
      <c r="D113" s="21"/>
      <c r="E113" s="10"/>
      <c r="F113" s="36"/>
      <c r="G113" s="32"/>
      <c r="H113" s="21"/>
      <c r="I113" s="21"/>
      <c r="J113" s="21"/>
      <c r="K113" s="25">
        <f t="shared" si="23"/>
        <v>0</v>
      </c>
    </row>
    <row r="114" ht="15.0" customHeight="1">
      <c r="A114" s="18" t="s">
        <v>38</v>
      </c>
      <c r="B114" s="19" t="s">
        <v>39</v>
      </c>
      <c r="C114" s="19" t="s">
        <v>40</v>
      </c>
      <c r="D114" s="21">
        <v>280.0</v>
      </c>
      <c r="E114" s="36"/>
      <c r="F114" s="41">
        <v>850.0</v>
      </c>
      <c r="G114" s="32"/>
      <c r="H114" s="21">
        <v>4720.0</v>
      </c>
      <c r="I114" s="21"/>
      <c r="J114" s="21">
        <v>150.0</v>
      </c>
      <c r="K114" s="25">
        <f t="shared" si="23"/>
        <v>6000</v>
      </c>
    </row>
    <row r="115" ht="13.5" customHeight="1">
      <c r="A115" s="35" t="s">
        <v>41</v>
      </c>
      <c r="B115" s="27"/>
      <c r="C115" s="27"/>
      <c r="D115" s="21">
        <v>290.0</v>
      </c>
      <c r="E115" s="36"/>
      <c r="F115" s="41">
        <v>500.0</v>
      </c>
      <c r="G115" s="32"/>
      <c r="H115" s="21">
        <v>5150.0</v>
      </c>
      <c r="I115" s="21"/>
      <c r="J115" s="21">
        <v>130.0</v>
      </c>
      <c r="K115" s="25">
        <f t="shared" si="23"/>
        <v>6070</v>
      </c>
    </row>
    <row r="116" ht="13.5" customHeight="1">
      <c r="A116" s="40" t="s">
        <v>7</v>
      </c>
      <c r="B116" s="40"/>
      <c r="C116" s="40">
        <v>563.0</v>
      </c>
      <c r="D116" s="10">
        <f t="shared" ref="D116:J116" si="24">SUM(D110:D115)</f>
        <v>1590</v>
      </c>
      <c r="E116" s="10">
        <f t="shared" si="24"/>
        <v>0</v>
      </c>
      <c r="F116" s="10">
        <f t="shared" si="24"/>
        <v>3050</v>
      </c>
      <c r="G116" s="10">
        <f t="shared" si="24"/>
        <v>0</v>
      </c>
      <c r="H116" s="10">
        <f t="shared" si="24"/>
        <v>11440</v>
      </c>
      <c r="I116" s="10">
        <f t="shared" si="24"/>
        <v>0</v>
      </c>
      <c r="J116" s="10">
        <f t="shared" si="24"/>
        <v>460</v>
      </c>
      <c r="K116" s="25">
        <f t="shared" si="23"/>
        <v>16540</v>
      </c>
    </row>
    <row r="117" ht="13.5" customHeight="1">
      <c r="A117" s="13" t="s">
        <v>215</v>
      </c>
    </row>
    <row r="118" ht="13.5" customHeight="1">
      <c r="A118" s="14" t="s">
        <v>25</v>
      </c>
      <c r="B118" s="14" t="s">
        <v>1</v>
      </c>
      <c r="C118" s="14" t="s">
        <v>27</v>
      </c>
      <c r="D118" s="15" t="s">
        <v>2</v>
      </c>
      <c r="E118" s="10" t="s">
        <v>28</v>
      </c>
      <c r="F118" s="16" t="s">
        <v>3</v>
      </c>
      <c r="G118" s="15" t="s">
        <v>4</v>
      </c>
      <c r="H118" s="15" t="s">
        <v>5</v>
      </c>
      <c r="I118" s="15" t="s">
        <v>29</v>
      </c>
      <c r="J118" s="14" t="s">
        <v>30</v>
      </c>
      <c r="K118" s="17" t="s">
        <v>7</v>
      </c>
    </row>
    <row r="119" ht="14.25" customHeight="1">
      <c r="A119" s="18" t="s">
        <v>31</v>
      </c>
      <c r="B119" s="19" t="s">
        <v>212</v>
      </c>
      <c r="C119" s="20" t="s">
        <v>33</v>
      </c>
      <c r="D119" s="21">
        <v>710.0</v>
      </c>
      <c r="E119" s="10"/>
      <c r="F119" s="36">
        <v>1140.0</v>
      </c>
      <c r="G119" s="32"/>
      <c r="H119" s="21">
        <v>1150.0</v>
      </c>
      <c r="I119" s="21"/>
      <c r="J119" s="21">
        <v>150.0</v>
      </c>
      <c r="K119" s="25">
        <f t="shared" ref="K119:K125" si="25">SUM(D119:J119)</f>
        <v>3150</v>
      </c>
    </row>
    <row r="120" ht="13.5" customHeight="1">
      <c r="A120" s="26" t="s">
        <v>34</v>
      </c>
      <c r="B120" s="27"/>
      <c r="C120" s="28">
        <v>130.0</v>
      </c>
      <c r="D120" s="21">
        <v>300.0</v>
      </c>
      <c r="E120" s="10"/>
      <c r="F120" s="36">
        <v>370.0</v>
      </c>
      <c r="G120" s="32"/>
      <c r="H120" s="21">
        <v>800.0</v>
      </c>
      <c r="I120" s="21"/>
      <c r="J120" s="21">
        <v>50.0</v>
      </c>
      <c r="K120" s="25">
        <f t="shared" si="25"/>
        <v>1520</v>
      </c>
    </row>
    <row r="121" ht="13.5" customHeight="1">
      <c r="A121" s="18" t="s">
        <v>35</v>
      </c>
      <c r="B121" s="30">
        <v>2.0</v>
      </c>
      <c r="C121" s="31" t="s">
        <v>36</v>
      </c>
      <c r="D121" s="21"/>
      <c r="E121" s="10"/>
      <c r="F121" s="36"/>
      <c r="G121" s="32"/>
      <c r="H121" s="21"/>
      <c r="I121" s="21"/>
      <c r="J121" s="21"/>
      <c r="K121" s="25">
        <f t="shared" si="25"/>
        <v>0</v>
      </c>
    </row>
    <row r="122" ht="13.5" customHeight="1">
      <c r="A122" s="26" t="s">
        <v>37</v>
      </c>
      <c r="B122" s="33"/>
      <c r="C122" s="34">
        <v>91.0</v>
      </c>
      <c r="D122" s="21"/>
      <c r="E122" s="10"/>
      <c r="F122" s="36"/>
      <c r="G122" s="32"/>
      <c r="H122" s="21"/>
      <c r="I122" s="21"/>
      <c r="J122" s="21"/>
      <c r="K122" s="25">
        <f t="shared" si="25"/>
        <v>0</v>
      </c>
    </row>
    <row r="123" ht="15.0" customHeight="1">
      <c r="A123" s="18" t="s">
        <v>38</v>
      </c>
      <c r="B123" s="19" t="s">
        <v>39</v>
      </c>
      <c r="C123" s="19" t="s">
        <v>40</v>
      </c>
      <c r="D123" s="21">
        <v>290.0</v>
      </c>
      <c r="E123" s="36"/>
      <c r="F123" s="41">
        <v>640.0</v>
      </c>
      <c r="G123" s="44"/>
      <c r="H123" s="44">
        <v>5110.0</v>
      </c>
      <c r="I123" s="23"/>
      <c r="J123" s="23">
        <v>110.0</v>
      </c>
      <c r="K123" s="25">
        <f t="shared" si="25"/>
        <v>6150</v>
      </c>
    </row>
    <row r="124" ht="13.5" customHeight="1">
      <c r="A124" s="35" t="s">
        <v>41</v>
      </c>
      <c r="B124" s="27"/>
      <c r="C124" s="27"/>
      <c r="D124" s="21">
        <v>300.0</v>
      </c>
      <c r="E124" s="36"/>
      <c r="F124" s="37">
        <v>500.0</v>
      </c>
      <c r="G124" s="38"/>
      <c r="H124" s="21">
        <v>5060.0</v>
      </c>
      <c r="I124" s="29"/>
      <c r="J124" s="39">
        <v>190.0</v>
      </c>
      <c r="K124" s="25">
        <f t="shared" si="25"/>
        <v>6050</v>
      </c>
    </row>
    <row r="125" ht="13.5" customHeight="1">
      <c r="A125" s="40" t="s">
        <v>7</v>
      </c>
      <c r="B125" s="40"/>
      <c r="C125" s="40">
        <v>563.0</v>
      </c>
      <c r="D125" s="10">
        <f t="shared" ref="D125:J125" si="26">SUM(D119:D124)</f>
        <v>1600</v>
      </c>
      <c r="E125" s="10">
        <f t="shared" si="26"/>
        <v>0</v>
      </c>
      <c r="F125" s="10">
        <f t="shared" si="26"/>
        <v>2650</v>
      </c>
      <c r="G125" s="10">
        <f t="shared" si="26"/>
        <v>0</v>
      </c>
      <c r="H125" s="10">
        <f t="shared" si="26"/>
        <v>12120</v>
      </c>
      <c r="I125" s="10">
        <f t="shared" si="26"/>
        <v>0</v>
      </c>
      <c r="J125" s="10">
        <f t="shared" si="26"/>
        <v>500</v>
      </c>
      <c r="K125" s="25">
        <f t="shared" si="25"/>
        <v>16870</v>
      </c>
    </row>
    <row r="126" ht="13.5" customHeight="1">
      <c r="A126" s="13" t="s">
        <v>216</v>
      </c>
    </row>
    <row r="127" ht="13.5" customHeight="1">
      <c r="A127" s="14" t="s">
        <v>25</v>
      </c>
      <c r="B127" s="14" t="s">
        <v>1</v>
      </c>
      <c r="C127" s="14" t="s">
        <v>27</v>
      </c>
      <c r="D127" s="15" t="s">
        <v>2</v>
      </c>
      <c r="E127" s="10" t="s">
        <v>28</v>
      </c>
      <c r="F127" s="16" t="s">
        <v>3</v>
      </c>
      <c r="G127" s="15" t="s">
        <v>4</v>
      </c>
      <c r="H127" s="15" t="s">
        <v>5</v>
      </c>
      <c r="I127" s="15" t="s">
        <v>29</v>
      </c>
      <c r="J127" s="14" t="s">
        <v>30</v>
      </c>
      <c r="K127" s="17" t="s">
        <v>7</v>
      </c>
    </row>
    <row r="128" ht="13.5" customHeight="1">
      <c r="A128" s="18" t="s">
        <v>31</v>
      </c>
      <c r="B128" s="19" t="s">
        <v>212</v>
      </c>
      <c r="C128" s="20" t="s">
        <v>33</v>
      </c>
      <c r="D128" s="21">
        <v>710.0</v>
      </c>
      <c r="E128" s="36"/>
      <c r="F128" s="36">
        <v>1200.0</v>
      </c>
      <c r="G128" s="32"/>
      <c r="H128" s="21">
        <v>880.0</v>
      </c>
      <c r="I128" s="21"/>
      <c r="J128" s="21">
        <v>130.0</v>
      </c>
      <c r="K128" s="25">
        <f t="shared" ref="K128:K134" si="27">SUM(D128:J128)</f>
        <v>2920</v>
      </c>
    </row>
    <row r="129" ht="13.5" customHeight="1">
      <c r="A129" s="26" t="s">
        <v>34</v>
      </c>
      <c r="B129" s="27"/>
      <c r="C129" s="28">
        <v>130.0</v>
      </c>
      <c r="D129" s="21">
        <v>310.0</v>
      </c>
      <c r="E129" s="36"/>
      <c r="F129" s="36">
        <v>550.0</v>
      </c>
      <c r="G129" s="32"/>
      <c r="H129" s="21">
        <v>700.0</v>
      </c>
      <c r="I129" s="21"/>
      <c r="J129" s="21">
        <v>100.0</v>
      </c>
      <c r="K129" s="25">
        <f t="shared" si="27"/>
        <v>1660</v>
      </c>
    </row>
    <row r="130" ht="13.5" customHeight="1">
      <c r="A130" s="18" t="s">
        <v>35</v>
      </c>
      <c r="B130" s="30">
        <v>2.0</v>
      </c>
      <c r="C130" s="31" t="s">
        <v>36</v>
      </c>
      <c r="D130" s="21"/>
      <c r="E130" s="36"/>
      <c r="F130" s="36"/>
      <c r="G130" s="32"/>
      <c r="H130" s="21"/>
      <c r="I130" s="21"/>
      <c r="J130" s="21"/>
      <c r="K130" s="25">
        <f t="shared" si="27"/>
        <v>0</v>
      </c>
    </row>
    <row r="131" ht="13.5" customHeight="1">
      <c r="A131" s="26" t="s">
        <v>37</v>
      </c>
      <c r="B131" s="33"/>
      <c r="C131" s="34">
        <v>91.0</v>
      </c>
      <c r="D131" s="21"/>
      <c r="E131" s="36"/>
      <c r="F131" s="36"/>
      <c r="G131" s="32"/>
      <c r="H131" s="21"/>
      <c r="I131" s="21"/>
      <c r="J131" s="21"/>
      <c r="K131" s="25">
        <f t="shared" si="27"/>
        <v>0</v>
      </c>
    </row>
    <row r="132" ht="15.0" customHeight="1">
      <c r="A132" s="18" t="s">
        <v>38</v>
      </c>
      <c r="B132" s="19" t="s">
        <v>39</v>
      </c>
      <c r="C132" s="19" t="s">
        <v>40</v>
      </c>
      <c r="D132" s="21">
        <v>280.0</v>
      </c>
      <c r="E132" s="36"/>
      <c r="F132" s="36">
        <v>560.0</v>
      </c>
      <c r="G132" s="21"/>
      <c r="H132" s="21">
        <v>5350.0</v>
      </c>
      <c r="I132" s="21"/>
      <c r="J132" s="21">
        <v>140.0</v>
      </c>
      <c r="K132" s="25">
        <f t="shared" si="27"/>
        <v>6330</v>
      </c>
    </row>
    <row r="133" ht="13.5" customHeight="1">
      <c r="A133" s="35" t="s">
        <v>41</v>
      </c>
      <c r="B133" s="27"/>
      <c r="C133" s="27"/>
      <c r="D133" s="21">
        <v>270.0</v>
      </c>
      <c r="E133" s="36"/>
      <c r="F133" s="36">
        <v>660.0</v>
      </c>
      <c r="G133" s="21"/>
      <c r="H133" s="21">
        <v>5040.0</v>
      </c>
      <c r="I133" s="21"/>
      <c r="J133" s="21">
        <v>130.0</v>
      </c>
      <c r="K133" s="25">
        <f t="shared" si="27"/>
        <v>6100</v>
      </c>
    </row>
    <row r="134" ht="13.5" customHeight="1">
      <c r="A134" s="40" t="s">
        <v>7</v>
      </c>
      <c r="B134" s="40"/>
      <c r="C134" s="40">
        <v>563.0</v>
      </c>
      <c r="D134" s="10">
        <f t="shared" ref="D134:J134" si="28">SUM(D128:D133)</f>
        <v>1570</v>
      </c>
      <c r="E134" s="10">
        <f t="shared" si="28"/>
        <v>0</v>
      </c>
      <c r="F134" s="10">
        <f t="shared" si="28"/>
        <v>2970</v>
      </c>
      <c r="G134" s="10">
        <f t="shared" si="28"/>
        <v>0</v>
      </c>
      <c r="H134" s="10">
        <f t="shared" si="28"/>
        <v>11970</v>
      </c>
      <c r="I134" s="10">
        <f t="shared" si="28"/>
        <v>0</v>
      </c>
      <c r="J134" s="10">
        <f t="shared" si="28"/>
        <v>500</v>
      </c>
      <c r="K134" s="25">
        <f t="shared" si="27"/>
        <v>17010</v>
      </c>
    </row>
    <row r="135" ht="13.5" customHeight="1">
      <c r="A135" s="46" t="s">
        <v>217</v>
      </c>
    </row>
    <row r="136" ht="13.5" customHeight="1">
      <c r="A136" s="14" t="s">
        <v>25</v>
      </c>
      <c r="B136" s="14" t="s">
        <v>1</v>
      </c>
      <c r="C136" s="14" t="s">
        <v>27</v>
      </c>
      <c r="D136" s="15" t="s">
        <v>2</v>
      </c>
      <c r="E136" s="10" t="s">
        <v>28</v>
      </c>
      <c r="F136" s="16" t="s">
        <v>3</v>
      </c>
      <c r="G136" s="15" t="s">
        <v>4</v>
      </c>
      <c r="H136" s="15" t="s">
        <v>5</v>
      </c>
      <c r="I136" s="15" t="s">
        <v>29</v>
      </c>
      <c r="J136" s="14" t="s">
        <v>30</v>
      </c>
      <c r="K136" s="17" t="s">
        <v>7</v>
      </c>
    </row>
    <row r="137" ht="13.5" customHeight="1">
      <c r="A137" s="18" t="s">
        <v>31</v>
      </c>
      <c r="B137" s="19" t="s">
        <v>212</v>
      </c>
      <c r="C137" s="20" t="s">
        <v>33</v>
      </c>
      <c r="D137" s="21">
        <v>760.0</v>
      </c>
      <c r="E137" s="36"/>
      <c r="F137" s="36">
        <v>1220.0</v>
      </c>
      <c r="G137" s="32"/>
      <c r="H137" s="21">
        <v>740.0</v>
      </c>
      <c r="I137" s="21"/>
      <c r="J137" s="21">
        <v>160.0</v>
      </c>
      <c r="K137" s="25">
        <f t="shared" ref="K137:K143" si="29">SUM(D137:J137)</f>
        <v>2880</v>
      </c>
    </row>
    <row r="138" ht="13.5" customHeight="1">
      <c r="A138" s="26" t="s">
        <v>34</v>
      </c>
      <c r="B138" s="27"/>
      <c r="C138" s="28">
        <v>130.0</v>
      </c>
      <c r="D138" s="21">
        <v>340.0</v>
      </c>
      <c r="E138" s="36"/>
      <c r="F138" s="36">
        <v>500.0</v>
      </c>
      <c r="G138" s="32"/>
      <c r="H138" s="21">
        <v>1030.0</v>
      </c>
      <c r="I138" s="21"/>
      <c r="J138" s="21">
        <v>150.0</v>
      </c>
      <c r="K138" s="25">
        <f t="shared" si="29"/>
        <v>2020</v>
      </c>
    </row>
    <row r="139" ht="13.5" customHeight="1">
      <c r="A139" s="18" t="s">
        <v>35</v>
      </c>
      <c r="B139" s="30">
        <v>2.0</v>
      </c>
      <c r="C139" s="31" t="s">
        <v>36</v>
      </c>
      <c r="D139" s="21"/>
      <c r="E139" s="36"/>
      <c r="F139" s="36"/>
      <c r="G139" s="32"/>
      <c r="H139" s="21"/>
      <c r="I139" s="21"/>
      <c r="J139" s="21"/>
      <c r="K139" s="25">
        <f t="shared" si="29"/>
        <v>0</v>
      </c>
    </row>
    <row r="140" ht="13.5" customHeight="1">
      <c r="A140" s="26" t="s">
        <v>37</v>
      </c>
      <c r="B140" s="33"/>
      <c r="C140" s="34">
        <v>91.0</v>
      </c>
      <c r="D140" s="21"/>
      <c r="E140" s="36"/>
      <c r="F140" s="36"/>
      <c r="G140" s="32"/>
      <c r="H140" s="21"/>
      <c r="I140" s="21"/>
      <c r="J140" s="21"/>
      <c r="K140" s="25">
        <f t="shared" si="29"/>
        <v>0</v>
      </c>
    </row>
    <row r="141" ht="15.0" customHeight="1">
      <c r="A141" s="18" t="s">
        <v>38</v>
      </c>
      <c r="B141" s="19" t="s">
        <v>39</v>
      </c>
      <c r="C141" s="19" t="s">
        <v>40</v>
      </c>
      <c r="D141" s="44">
        <v>300.0</v>
      </c>
      <c r="E141" s="41"/>
      <c r="F141" s="41">
        <v>620.0</v>
      </c>
      <c r="G141" s="44"/>
      <c r="H141" s="44">
        <v>5000.0</v>
      </c>
      <c r="I141" s="23"/>
      <c r="J141" s="24">
        <v>140.0</v>
      </c>
      <c r="K141" s="25">
        <f t="shared" si="29"/>
        <v>6060</v>
      </c>
      <c r="L141" s="47"/>
      <c r="M141" s="12"/>
    </row>
    <row r="142" ht="13.5" customHeight="1">
      <c r="A142" s="35" t="s">
        <v>41</v>
      </c>
      <c r="B142" s="27"/>
      <c r="C142" s="27"/>
      <c r="D142" s="21">
        <v>280.0</v>
      </c>
      <c r="E142" s="36"/>
      <c r="F142" s="36"/>
      <c r="G142" s="21"/>
      <c r="H142" s="21">
        <v>5320.0</v>
      </c>
      <c r="I142" s="29"/>
      <c r="J142" s="39">
        <v>200.0</v>
      </c>
      <c r="K142" s="25">
        <f t="shared" si="29"/>
        <v>5800</v>
      </c>
    </row>
    <row r="143" ht="13.5" customHeight="1">
      <c r="A143" s="40" t="s">
        <v>7</v>
      </c>
      <c r="B143" s="40"/>
      <c r="C143" s="40">
        <v>563.0</v>
      </c>
      <c r="D143" s="10">
        <f t="shared" ref="D143:J143" si="30">SUM(D137:D142)</f>
        <v>1680</v>
      </c>
      <c r="E143" s="10">
        <f t="shared" si="30"/>
        <v>0</v>
      </c>
      <c r="F143" s="10">
        <f t="shared" si="30"/>
        <v>2340</v>
      </c>
      <c r="G143" s="10">
        <f t="shared" si="30"/>
        <v>0</v>
      </c>
      <c r="H143" s="10">
        <f t="shared" si="30"/>
        <v>12090</v>
      </c>
      <c r="I143" s="10">
        <f t="shared" si="30"/>
        <v>0</v>
      </c>
      <c r="J143" s="10">
        <f t="shared" si="30"/>
        <v>650</v>
      </c>
      <c r="K143" s="25">
        <f t="shared" si="29"/>
        <v>16760</v>
      </c>
    </row>
    <row r="144" ht="13.5" customHeight="1">
      <c r="A144" s="48" t="s">
        <v>218</v>
      </c>
    </row>
    <row r="145" ht="13.5" customHeight="1">
      <c r="A145" s="14" t="s">
        <v>25</v>
      </c>
      <c r="B145" s="14" t="s">
        <v>1</v>
      </c>
      <c r="C145" s="14" t="s">
        <v>27</v>
      </c>
      <c r="D145" s="15" t="s">
        <v>2</v>
      </c>
      <c r="E145" s="10" t="s">
        <v>28</v>
      </c>
      <c r="F145" s="16" t="s">
        <v>3</v>
      </c>
      <c r="G145" s="15" t="s">
        <v>4</v>
      </c>
      <c r="H145" s="15" t="s">
        <v>5</v>
      </c>
      <c r="I145" s="15" t="s">
        <v>29</v>
      </c>
      <c r="J145" s="14" t="s">
        <v>30</v>
      </c>
      <c r="K145" s="17" t="s">
        <v>7</v>
      </c>
    </row>
    <row r="146" ht="15.0" customHeight="1">
      <c r="A146" s="18" t="s">
        <v>31</v>
      </c>
      <c r="B146" s="19" t="s">
        <v>212</v>
      </c>
      <c r="C146" s="20" t="s">
        <v>33</v>
      </c>
      <c r="D146" s="21">
        <v>730.0</v>
      </c>
      <c r="E146" s="36"/>
      <c r="F146" s="36"/>
      <c r="G146" s="32"/>
      <c r="H146" s="21">
        <v>1870.0</v>
      </c>
      <c r="I146" s="23"/>
      <c r="J146" s="24">
        <v>250.0</v>
      </c>
      <c r="K146" s="25">
        <f t="shared" ref="K146:K152" si="31">SUM(D146:J146)</f>
        <v>2850</v>
      </c>
    </row>
    <row r="147" ht="13.5" customHeight="1">
      <c r="A147" s="26" t="s">
        <v>34</v>
      </c>
      <c r="B147" s="27"/>
      <c r="C147" s="28">
        <v>130.0</v>
      </c>
      <c r="D147" s="21">
        <v>320.0</v>
      </c>
      <c r="E147" s="36"/>
      <c r="F147" s="36">
        <v>720.0</v>
      </c>
      <c r="G147" s="32"/>
      <c r="H147" s="21">
        <v>740.0</v>
      </c>
      <c r="I147" s="21"/>
      <c r="J147" s="29">
        <v>80.0</v>
      </c>
      <c r="K147" s="25">
        <f t="shared" si="31"/>
        <v>1860</v>
      </c>
    </row>
    <row r="148" ht="13.5" customHeight="1">
      <c r="A148" s="18" t="s">
        <v>35</v>
      </c>
      <c r="B148" s="30">
        <v>2.0</v>
      </c>
      <c r="C148" s="31" t="s">
        <v>36</v>
      </c>
      <c r="D148" s="21"/>
      <c r="E148" s="36"/>
      <c r="F148" s="41"/>
      <c r="G148" s="32"/>
      <c r="H148" s="21"/>
      <c r="I148" s="21"/>
      <c r="J148" s="24"/>
      <c r="K148" s="25">
        <f t="shared" si="31"/>
        <v>0</v>
      </c>
    </row>
    <row r="149" ht="13.5" customHeight="1">
      <c r="A149" s="26" t="s">
        <v>37</v>
      </c>
      <c r="B149" s="33"/>
      <c r="C149" s="34">
        <v>91.0</v>
      </c>
      <c r="D149" s="21"/>
      <c r="E149" s="21"/>
      <c r="F149" s="21"/>
      <c r="G149" s="21"/>
      <c r="H149" s="21"/>
      <c r="I149" s="21"/>
      <c r="J149" s="21"/>
      <c r="K149" s="25">
        <f t="shared" si="31"/>
        <v>0</v>
      </c>
    </row>
    <row r="150" ht="14.25" customHeight="1">
      <c r="A150" s="18" t="s">
        <v>38</v>
      </c>
      <c r="B150" s="19" t="s">
        <v>39</v>
      </c>
      <c r="C150" s="19" t="s">
        <v>40</v>
      </c>
      <c r="D150" s="21">
        <v>320.0</v>
      </c>
      <c r="E150" s="36"/>
      <c r="F150" s="41"/>
      <c r="G150" s="32"/>
      <c r="H150" s="21">
        <v>5590.0</v>
      </c>
      <c r="I150" s="21"/>
      <c r="J150" s="24">
        <v>150.0</v>
      </c>
      <c r="K150" s="25">
        <f t="shared" si="31"/>
        <v>6060</v>
      </c>
      <c r="L150" s="47"/>
      <c r="M150" s="12"/>
    </row>
    <row r="151" ht="13.5" customHeight="1">
      <c r="A151" s="35" t="s">
        <v>41</v>
      </c>
      <c r="B151" s="27"/>
      <c r="C151" s="27"/>
      <c r="D151" s="21">
        <v>290.0</v>
      </c>
      <c r="E151" s="21"/>
      <c r="F151" s="21">
        <v>580.0</v>
      </c>
      <c r="G151" s="21"/>
      <c r="H151" s="21">
        <v>4970.0</v>
      </c>
      <c r="I151" s="21"/>
      <c r="J151" s="21">
        <v>180.0</v>
      </c>
      <c r="K151" s="25">
        <f t="shared" si="31"/>
        <v>6020</v>
      </c>
    </row>
    <row r="152" ht="13.5" customHeight="1">
      <c r="A152" s="40" t="s">
        <v>7</v>
      </c>
      <c r="B152" s="40"/>
      <c r="C152" s="40">
        <v>563.0</v>
      </c>
      <c r="D152" s="10">
        <f t="shared" ref="D152:J152" si="32">SUM(D146:D151)</f>
        <v>1660</v>
      </c>
      <c r="E152" s="10">
        <f t="shared" si="32"/>
        <v>0</v>
      </c>
      <c r="F152" s="10">
        <f t="shared" si="32"/>
        <v>1300</v>
      </c>
      <c r="G152" s="10">
        <f t="shared" si="32"/>
        <v>0</v>
      </c>
      <c r="H152" s="10">
        <f t="shared" si="32"/>
        <v>13170</v>
      </c>
      <c r="I152" s="10">
        <f t="shared" si="32"/>
        <v>0</v>
      </c>
      <c r="J152" s="10">
        <f t="shared" si="32"/>
        <v>660</v>
      </c>
      <c r="K152" s="25">
        <f t="shared" si="31"/>
        <v>16790</v>
      </c>
    </row>
    <row r="153" ht="13.5" customHeight="1">
      <c r="A153" s="48" t="s">
        <v>219</v>
      </c>
    </row>
    <row r="154" ht="13.5" customHeight="1">
      <c r="A154" s="14" t="s">
        <v>25</v>
      </c>
      <c r="B154" s="14" t="s">
        <v>1</v>
      </c>
      <c r="C154" s="14" t="s">
        <v>27</v>
      </c>
      <c r="D154" s="15" t="s">
        <v>2</v>
      </c>
      <c r="E154" s="10" t="s">
        <v>28</v>
      </c>
      <c r="F154" s="16" t="s">
        <v>3</v>
      </c>
      <c r="G154" s="15" t="s">
        <v>4</v>
      </c>
      <c r="H154" s="15" t="s">
        <v>5</v>
      </c>
      <c r="I154" s="15" t="s">
        <v>29</v>
      </c>
      <c r="J154" s="14" t="s">
        <v>30</v>
      </c>
      <c r="K154" s="17" t="s">
        <v>7</v>
      </c>
      <c r="L154" s="49"/>
    </row>
    <row r="155" ht="13.5" customHeight="1">
      <c r="A155" s="18" t="s">
        <v>31</v>
      </c>
      <c r="B155" s="19" t="s">
        <v>212</v>
      </c>
      <c r="C155" s="20" t="s">
        <v>33</v>
      </c>
      <c r="D155" s="21">
        <v>580.0</v>
      </c>
      <c r="E155" s="36"/>
      <c r="F155" s="36">
        <v>800.0</v>
      </c>
      <c r="G155" s="32"/>
      <c r="H155" s="21">
        <v>1250.0</v>
      </c>
      <c r="I155" s="21"/>
      <c r="J155" s="21">
        <v>100.0</v>
      </c>
      <c r="K155" s="25">
        <f t="shared" ref="K155:K161" si="33">SUM(D155:J155)</f>
        <v>2730</v>
      </c>
    </row>
    <row r="156" ht="13.5" customHeight="1">
      <c r="A156" s="26" t="s">
        <v>34</v>
      </c>
      <c r="B156" s="27"/>
      <c r="C156" s="28"/>
      <c r="D156" s="21">
        <v>420.0</v>
      </c>
      <c r="E156" s="36"/>
      <c r="F156" s="36">
        <v>800.0</v>
      </c>
      <c r="G156" s="32"/>
      <c r="H156" s="21">
        <v>670.0</v>
      </c>
      <c r="I156" s="21"/>
      <c r="J156" s="21">
        <v>80.0</v>
      </c>
      <c r="K156" s="25">
        <f t="shared" si="33"/>
        <v>1970</v>
      </c>
    </row>
    <row r="157" ht="13.5" customHeight="1">
      <c r="A157" s="18" t="s">
        <v>35</v>
      </c>
      <c r="B157" s="30">
        <v>2.0</v>
      </c>
      <c r="C157" s="31" t="s">
        <v>36</v>
      </c>
      <c r="D157" s="21"/>
      <c r="E157" s="36"/>
      <c r="F157" s="36"/>
      <c r="G157" s="32"/>
      <c r="H157" s="21"/>
      <c r="I157" s="21"/>
      <c r="J157" s="21"/>
      <c r="K157" s="25">
        <f t="shared" si="33"/>
        <v>0</v>
      </c>
    </row>
    <row r="158" ht="13.5" customHeight="1">
      <c r="A158" s="26" t="s">
        <v>37</v>
      </c>
      <c r="B158" s="33"/>
      <c r="C158" s="34"/>
      <c r="D158" s="21"/>
      <c r="E158" s="36"/>
      <c r="F158" s="36"/>
      <c r="G158" s="32"/>
      <c r="H158" s="21"/>
      <c r="I158" s="21"/>
      <c r="J158" s="21"/>
      <c r="K158" s="25">
        <f t="shared" si="33"/>
        <v>0</v>
      </c>
    </row>
    <row r="159" ht="14.25" customHeight="1">
      <c r="A159" s="18" t="s">
        <v>38</v>
      </c>
      <c r="B159" s="19" t="s">
        <v>39</v>
      </c>
      <c r="C159" s="19" t="s">
        <v>40</v>
      </c>
      <c r="D159" s="21">
        <v>290.0</v>
      </c>
      <c r="E159" s="36"/>
      <c r="F159" s="36">
        <v>600.0</v>
      </c>
      <c r="G159" s="21"/>
      <c r="H159" s="21">
        <v>5100.0</v>
      </c>
      <c r="I159" s="21"/>
      <c r="J159" s="21">
        <v>150.0</v>
      </c>
      <c r="K159" s="25">
        <f t="shared" si="33"/>
        <v>6140</v>
      </c>
      <c r="L159" s="47"/>
      <c r="M159" s="12"/>
    </row>
    <row r="160" ht="13.5" customHeight="1">
      <c r="A160" s="35" t="s">
        <v>41</v>
      </c>
      <c r="B160" s="27"/>
      <c r="C160" s="27"/>
      <c r="D160" s="21">
        <v>280.0</v>
      </c>
      <c r="E160" s="21"/>
      <c r="F160" s="21">
        <v>500.0</v>
      </c>
      <c r="G160" s="21"/>
      <c r="H160" s="21">
        <v>5110.0</v>
      </c>
      <c r="I160" s="21"/>
      <c r="J160" s="21">
        <v>150.0</v>
      </c>
      <c r="K160" s="25">
        <f t="shared" si="33"/>
        <v>6040</v>
      </c>
    </row>
    <row r="161" ht="13.5" customHeight="1">
      <c r="A161" s="40" t="s">
        <v>7</v>
      </c>
      <c r="B161" s="40"/>
      <c r="C161" s="40"/>
      <c r="D161" s="10">
        <f t="shared" ref="D161:J161" si="34">SUM(D155:D160)</f>
        <v>1570</v>
      </c>
      <c r="E161" s="10">
        <f t="shared" si="34"/>
        <v>0</v>
      </c>
      <c r="F161" s="10">
        <f t="shared" si="34"/>
        <v>2700</v>
      </c>
      <c r="G161" s="10">
        <f t="shared" si="34"/>
        <v>0</v>
      </c>
      <c r="H161" s="10">
        <f t="shared" si="34"/>
        <v>12130</v>
      </c>
      <c r="I161" s="10">
        <f t="shared" si="34"/>
        <v>0</v>
      </c>
      <c r="J161" s="10">
        <f t="shared" si="34"/>
        <v>480</v>
      </c>
      <c r="K161" s="25">
        <f t="shared" si="33"/>
        <v>16880</v>
      </c>
    </row>
    <row r="162" ht="13.5" customHeight="1">
      <c r="A162" s="48" t="s">
        <v>220</v>
      </c>
    </row>
    <row r="163" ht="13.5" customHeight="1">
      <c r="A163" s="14" t="s">
        <v>25</v>
      </c>
      <c r="B163" s="14" t="s">
        <v>1</v>
      </c>
      <c r="C163" s="14" t="s">
        <v>27</v>
      </c>
      <c r="D163" s="15" t="s">
        <v>2</v>
      </c>
      <c r="E163" s="10" t="s">
        <v>28</v>
      </c>
      <c r="F163" s="16" t="s">
        <v>3</v>
      </c>
      <c r="G163" s="15" t="s">
        <v>4</v>
      </c>
      <c r="H163" s="15" t="s">
        <v>5</v>
      </c>
      <c r="I163" s="15" t="s">
        <v>29</v>
      </c>
      <c r="J163" s="14" t="s">
        <v>30</v>
      </c>
      <c r="K163" s="17" t="s">
        <v>7</v>
      </c>
    </row>
    <row r="164" ht="13.5" customHeight="1">
      <c r="A164" s="18" t="s">
        <v>31</v>
      </c>
      <c r="B164" s="19" t="s">
        <v>212</v>
      </c>
      <c r="C164" s="20" t="s">
        <v>33</v>
      </c>
      <c r="D164" s="21">
        <v>830.0</v>
      </c>
      <c r="E164" s="36"/>
      <c r="F164" s="36">
        <v>1050.0</v>
      </c>
      <c r="G164" s="32"/>
      <c r="H164" s="21">
        <v>1060.0</v>
      </c>
      <c r="I164" s="21"/>
      <c r="J164" s="24">
        <v>130.0</v>
      </c>
      <c r="K164" s="25">
        <f t="shared" ref="K164:K170" si="35">SUM(D164:J164)</f>
        <v>3070</v>
      </c>
    </row>
    <row r="165" ht="13.5" customHeight="1">
      <c r="A165" s="26" t="s">
        <v>34</v>
      </c>
      <c r="B165" s="27"/>
      <c r="C165" s="28"/>
      <c r="D165" s="21">
        <v>300.0</v>
      </c>
      <c r="E165" s="36"/>
      <c r="F165" s="36">
        <v>710.0</v>
      </c>
      <c r="G165" s="32"/>
      <c r="H165" s="21">
        <v>960.0</v>
      </c>
      <c r="I165" s="21"/>
      <c r="J165" s="29">
        <v>130.0</v>
      </c>
      <c r="K165" s="25">
        <f t="shared" si="35"/>
        <v>2100</v>
      </c>
    </row>
    <row r="166" ht="13.5" customHeight="1">
      <c r="A166" s="18" t="s">
        <v>35</v>
      </c>
      <c r="B166" s="30">
        <v>2.0</v>
      </c>
      <c r="C166" s="31" t="s">
        <v>36</v>
      </c>
      <c r="D166" s="21"/>
      <c r="E166" s="36"/>
      <c r="F166" s="36"/>
      <c r="G166" s="32"/>
      <c r="H166" s="21"/>
      <c r="I166" s="21"/>
      <c r="J166" s="24"/>
      <c r="K166" s="25">
        <f t="shared" si="35"/>
        <v>0</v>
      </c>
    </row>
    <row r="167" ht="13.5" customHeight="1">
      <c r="A167" s="26" t="s">
        <v>37</v>
      </c>
      <c r="B167" s="33"/>
      <c r="C167" s="34"/>
      <c r="D167" s="21"/>
      <c r="E167" s="36"/>
      <c r="F167" s="36"/>
      <c r="G167" s="21"/>
      <c r="H167" s="21"/>
      <c r="I167" s="21"/>
      <c r="J167" s="29"/>
      <c r="K167" s="25">
        <f t="shared" si="35"/>
        <v>0</v>
      </c>
    </row>
    <row r="168" ht="14.25" customHeight="1">
      <c r="A168" s="18" t="s">
        <v>38</v>
      </c>
      <c r="B168" s="19" t="s">
        <v>39</v>
      </c>
      <c r="C168" s="19" t="s">
        <v>40</v>
      </c>
      <c r="D168" s="21">
        <v>290.0</v>
      </c>
      <c r="E168" s="36"/>
      <c r="F168" s="36">
        <v>500.0</v>
      </c>
      <c r="G168" s="21"/>
      <c r="H168" s="21">
        <v>2110.0</v>
      </c>
      <c r="I168" s="21"/>
      <c r="J168" s="21">
        <v>140.0</v>
      </c>
      <c r="K168" s="25">
        <f t="shared" si="35"/>
        <v>3040</v>
      </c>
      <c r="L168" s="47"/>
      <c r="M168" s="12"/>
    </row>
    <row r="169" ht="13.5" customHeight="1">
      <c r="A169" s="35" t="s">
        <v>41</v>
      </c>
      <c r="B169" s="27"/>
      <c r="C169" s="27"/>
      <c r="D169" s="21">
        <v>300.0</v>
      </c>
      <c r="E169" s="21"/>
      <c r="F169" s="21">
        <v>740.0</v>
      </c>
      <c r="G169" s="21"/>
      <c r="H169" s="21">
        <v>4940.0</v>
      </c>
      <c r="I169" s="21"/>
      <c r="J169" s="21">
        <v>140.0</v>
      </c>
      <c r="K169" s="25">
        <f t="shared" si="35"/>
        <v>6120</v>
      </c>
    </row>
    <row r="170" ht="13.5" customHeight="1">
      <c r="A170" s="40" t="s">
        <v>7</v>
      </c>
      <c r="B170" s="40"/>
      <c r="C170" s="40"/>
      <c r="D170" s="10">
        <f t="shared" ref="D170:J170" si="36">SUM(D164:D169)</f>
        <v>1720</v>
      </c>
      <c r="E170" s="10">
        <f t="shared" si="36"/>
        <v>0</v>
      </c>
      <c r="F170" s="10">
        <f t="shared" si="36"/>
        <v>3000</v>
      </c>
      <c r="G170" s="10">
        <f t="shared" si="36"/>
        <v>0</v>
      </c>
      <c r="H170" s="10">
        <f t="shared" si="36"/>
        <v>9070</v>
      </c>
      <c r="I170" s="10">
        <f t="shared" si="36"/>
        <v>0</v>
      </c>
      <c r="J170" s="10">
        <f t="shared" si="36"/>
        <v>540</v>
      </c>
      <c r="K170" s="25">
        <f t="shared" si="35"/>
        <v>14330</v>
      </c>
    </row>
    <row r="171" ht="13.5" customHeight="1">
      <c r="A171" s="48" t="s">
        <v>221</v>
      </c>
    </row>
    <row r="172" ht="13.5" customHeight="1">
      <c r="A172" s="14"/>
      <c r="B172" s="14" t="s">
        <v>1</v>
      </c>
      <c r="C172" s="14" t="s">
        <v>27</v>
      </c>
      <c r="D172" s="15" t="s">
        <v>2</v>
      </c>
      <c r="E172" s="10" t="s">
        <v>28</v>
      </c>
      <c r="F172" s="16" t="s">
        <v>3</v>
      </c>
      <c r="G172" s="15" t="s">
        <v>4</v>
      </c>
      <c r="H172" s="15" t="s">
        <v>5</v>
      </c>
      <c r="I172" s="15" t="s">
        <v>77</v>
      </c>
      <c r="J172" s="14" t="s">
        <v>30</v>
      </c>
      <c r="K172" s="17" t="s">
        <v>7</v>
      </c>
    </row>
    <row r="173" ht="13.5" customHeight="1">
      <c r="A173" s="18" t="s">
        <v>31</v>
      </c>
      <c r="B173" s="19" t="s">
        <v>212</v>
      </c>
      <c r="C173" s="20" t="s">
        <v>33</v>
      </c>
      <c r="D173" s="21">
        <v>780.0</v>
      </c>
      <c r="E173" s="36"/>
      <c r="F173" s="36">
        <v>1130.0</v>
      </c>
      <c r="G173" s="32"/>
      <c r="H173" s="21">
        <v>960.0</v>
      </c>
      <c r="I173" s="21"/>
      <c r="J173" s="24">
        <v>160.0</v>
      </c>
      <c r="K173" s="25">
        <f t="shared" ref="K173:K179" si="37">SUM(D173:J173)</f>
        <v>3030</v>
      </c>
    </row>
    <row r="174" ht="13.5" customHeight="1">
      <c r="A174" s="26" t="s">
        <v>34</v>
      </c>
      <c r="B174" s="27"/>
      <c r="C174" s="28"/>
      <c r="D174" s="21">
        <v>400.0</v>
      </c>
      <c r="E174" s="36"/>
      <c r="F174" s="36">
        <v>600.0</v>
      </c>
      <c r="G174" s="32"/>
      <c r="H174" s="21">
        <v>950.0</v>
      </c>
      <c r="I174" s="21"/>
      <c r="J174" s="24">
        <v>100.0</v>
      </c>
      <c r="K174" s="25">
        <f t="shared" si="37"/>
        <v>2050</v>
      </c>
    </row>
    <row r="175" ht="13.5" customHeight="1">
      <c r="A175" s="18" t="s">
        <v>35</v>
      </c>
      <c r="B175" s="30">
        <v>2.0</v>
      </c>
      <c r="C175" s="31" t="s">
        <v>36</v>
      </c>
      <c r="D175" s="21"/>
      <c r="E175" s="36"/>
      <c r="F175" s="41"/>
      <c r="G175" s="32"/>
      <c r="H175" s="21"/>
      <c r="I175" s="21"/>
      <c r="J175" s="24"/>
      <c r="K175" s="25">
        <f t="shared" si="37"/>
        <v>0</v>
      </c>
    </row>
    <row r="176" ht="13.5" customHeight="1">
      <c r="A176" s="26" t="s">
        <v>37</v>
      </c>
      <c r="B176" s="33"/>
      <c r="C176" s="34"/>
      <c r="D176" s="21"/>
      <c r="E176" s="36"/>
      <c r="F176" s="41"/>
      <c r="G176" s="32"/>
      <c r="H176" s="21"/>
      <c r="I176" s="21"/>
      <c r="J176" s="29"/>
      <c r="K176" s="25">
        <f t="shared" si="37"/>
        <v>0</v>
      </c>
    </row>
    <row r="177" ht="14.25" customHeight="1">
      <c r="A177" s="18" t="s">
        <v>38</v>
      </c>
      <c r="B177" s="19" t="s">
        <v>39</v>
      </c>
      <c r="C177" s="19" t="s">
        <v>40</v>
      </c>
      <c r="D177" s="21">
        <v>310.0</v>
      </c>
      <c r="E177" s="36"/>
      <c r="F177" s="36">
        <v>600.0</v>
      </c>
      <c r="G177" s="21"/>
      <c r="H177" s="21">
        <v>5170.0</v>
      </c>
      <c r="I177" s="21"/>
      <c r="J177" s="21">
        <v>120.0</v>
      </c>
      <c r="K177" s="25">
        <f t="shared" si="37"/>
        <v>6200</v>
      </c>
      <c r="L177" s="47"/>
      <c r="M177" s="12"/>
    </row>
    <row r="178" ht="13.5" customHeight="1">
      <c r="A178" s="35" t="s">
        <v>41</v>
      </c>
      <c r="B178" s="27"/>
      <c r="C178" s="27"/>
      <c r="D178" s="21">
        <v>290.0</v>
      </c>
      <c r="E178" s="36"/>
      <c r="F178" s="36">
        <v>760.0</v>
      </c>
      <c r="G178" s="21"/>
      <c r="H178" s="21">
        <v>4960.0</v>
      </c>
      <c r="I178" s="21"/>
      <c r="J178" s="21">
        <v>150.0</v>
      </c>
      <c r="K178" s="25">
        <f t="shared" si="37"/>
        <v>6160</v>
      </c>
    </row>
    <row r="179" ht="13.5" customHeight="1">
      <c r="A179" s="40" t="s">
        <v>7</v>
      </c>
      <c r="B179" s="40"/>
      <c r="C179" s="40"/>
      <c r="D179" s="10">
        <f t="shared" ref="D179:J179" si="38">SUM(D173:D178)</f>
        <v>1780</v>
      </c>
      <c r="E179" s="10">
        <f t="shared" si="38"/>
        <v>0</v>
      </c>
      <c r="F179" s="10">
        <f t="shared" si="38"/>
        <v>3090</v>
      </c>
      <c r="G179" s="10">
        <f t="shared" si="38"/>
        <v>0</v>
      </c>
      <c r="H179" s="10">
        <f t="shared" si="38"/>
        <v>12040</v>
      </c>
      <c r="I179" s="10">
        <f t="shared" si="38"/>
        <v>0</v>
      </c>
      <c r="J179" s="10">
        <f t="shared" si="38"/>
        <v>530</v>
      </c>
      <c r="K179" s="25">
        <f t="shared" si="37"/>
        <v>17440</v>
      </c>
    </row>
    <row r="180" ht="13.5" customHeight="1">
      <c r="A180" s="48" t="s">
        <v>222</v>
      </c>
    </row>
    <row r="181" ht="13.5" customHeight="1">
      <c r="A181" s="14" t="s">
        <v>25</v>
      </c>
      <c r="B181" s="14" t="s">
        <v>1</v>
      </c>
      <c r="C181" s="14" t="s">
        <v>27</v>
      </c>
      <c r="D181" s="15" t="s">
        <v>2</v>
      </c>
      <c r="E181" s="10" t="s">
        <v>28</v>
      </c>
      <c r="F181" s="16" t="s">
        <v>3</v>
      </c>
      <c r="G181" s="15" t="s">
        <v>4</v>
      </c>
      <c r="H181" s="15" t="s">
        <v>5</v>
      </c>
      <c r="I181" s="15" t="s">
        <v>77</v>
      </c>
      <c r="J181" s="14" t="s">
        <v>30</v>
      </c>
      <c r="K181" s="17" t="s">
        <v>7</v>
      </c>
    </row>
    <row r="182" ht="13.5" customHeight="1">
      <c r="A182" s="18" t="s">
        <v>31</v>
      </c>
      <c r="C182" s="20" t="s">
        <v>33</v>
      </c>
      <c r="D182" s="21">
        <v>530.0</v>
      </c>
      <c r="E182" s="36"/>
      <c r="F182" s="41">
        <v>930.0</v>
      </c>
      <c r="G182" s="32"/>
      <c r="H182" s="21">
        <v>700.0</v>
      </c>
      <c r="I182" s="21"/>
      <c r="J182" s="24">
        <v>140.0</v>
      </c>
      <c r="K182" s="25">
        <f t="shared" ref="K182:K188" si="39">SUM(D182:J182)</f>
        <v>2300</v>
      </c>
    </row>
    <row r="183" ht="13.5" customHeight="1">
      <c r="A183" s="26" t="s">
        <v>34</v>
      </c>
      <c r="C183" s="28"/>
      <c r="D183" s="21">
        <v>430.0</v>
      </c>
      <c r="E183" s="36"/>
      <c r="F183" s="41">
        <v>830.0</v>
      </c>
      <c r="G183" s="32"/>
      <c r="H183" s="21">
        <v>620.0</v>
      </c>
      <c r="I183" s="21"/>
      <c r="J183" s="29">
        <v>120.0</v>
      </c>
      <c r="K183" s="25">
        <f t="shared" si="39"/>
        <v>2000</v>
      </c>
    </row>
    <row r="184" ht="13.5" customHeight="1">
      <c r="A184" s="18" t="s">
        <v>35</v>
      </c>
      <c r="B184" s="30">
        <v>2.0</v>
      </c>
      <c r="C184" s="31" t="s">
        <v>36</v>
      </c>
      <c r="D184" s="21"/>
      <c r="E184" s="36"/>
      <c r="F184" s="41"/>
      <c r="G184" s="32"/>
      <c r="H184" s="21"/>
      <c r="I184" s="21"/>
      <c r="J184" s="24"/>
      <c r="K184" s="25">
        <f t="shared" si="39"/>
        <v>0</v>
      </c>
    </row>
    <row r="185" ht="13.5" customHeight="1">
      <c r="A185" s="26" t="s">
        <v>37</v>
      </c>
      <c r="B185" s="33"/>
      <c r="C185" s="34"/>
      <c r="D185" s="21"/>
      <c r="E185" s="36"/>
      <c r="F185" s="41"/>
      <c r="G185" s="32"/>
      <c r="H185" s="21"/>
      <c r="I185" s="21"/>
      <c r="J185" s="29"/>
      <c r="K185" s="25">
        <f t="shared" si="39"/>
        <v>0</v>
      </c>
    </row>
    <row r="186" ht="14.25" customHeight="1">
      <c r="A186" s="18" t="s">
        <v>38</v>
      </c>
      <c r="B186" s="19" t="s">
        <v>39</v>
      </c>
      <c r="C186" s="19" t="s">
        <v>40</v>
      </c>
      <c r="D186" s="21">
        <v>280.0</v>
      </c>
      <c r="E186" s="36"/>
      <c r="F186" s="36">
        <v>780.0</v>
      </c>
      <c r="G186" s="21"/>
      <c r="H186" s="21">
        <v>4790.0</v>
      </c>
      <c r="I186" s="21"/>
      <c r="J186" s="21">
        <v>150.0</v>
      </c>
      <c r="K186" s="25">
        <f t="shared" si="39"/>
        <v>6000</v>
      </c>
      <c r="L186" s="47"/>
      <c r="M186" s="12"/>
    </row>
    <row r="187" ht="13.5" customHeight="1">
      <c r="A187" s="35" t="s">
        <v>41</v>
      </c>
      <c r="B187" s="27"/>
      <c r="C187" s="27"/>
      <c r="D187" s="21">
        <v>280.0</v>
      </c>
      <c r="E187" s="21"/>
      <c r="F187" s="21">
        <v>670.0</v>
      </c>
      <c r="G187" s="21"/>
      <c r="H187" s="21">
        <v>5030.0</v>
      </c>
      <c r="I187" s="21"/>
      <c r="J187" s="21">
        <v>140.0</v>
      </c>
      <c r="K187" s="25">
        <f t="shared" si="39"/>
        <v>6120</v>
      </c>
    </row>
    <row r="188" ht="13.5" customHeight="1">
      <c r="A188" s="40" t="s">
        <v>7</v>
      </c>
      <c r="B188" s="40"/>
      <c r="C188" s="40"/>
      <c r="D188" s="10">
        <f t="shared" ref="D188:J188" si="40">SUM(D182:D187)</f>
        <v>1520</v>
      </c>
      <c r="E188" s="10">
        <f t="shared" si="40"/>
        <v>0</v>
      </c>
      <c r="F188" s="10">
        <f t="shared" si="40"/>
        <v>3210</v>
      </c>
      <c r="G188" s="10">
        <f t="shared" si="40"/>
        <v>0</v>
      </c>
      <c r="H188" s="10">
        <f t="shared" si="40"/>
        <v>11140</v>
      </c>
      <c r="I188" s="10">
        <f t="shared" si="40"/>
        <v>0</v>
      </c>
      <c r="J188" s="10">
        <f t="shared" si="40"/>
        <v>550</v>
      </c>
      <c r="K188" s="25">
        <f t="shared" si="39"/>
        <v>16420</v>
      </c>
    </row>
    <row r="189" ht="13.5" customHeight="1">
      <c r="A189" s="48" t="s">
        <v>223</v>
      </c>
    </row>
    <row r="190" ht="13.5" customHeight="1">
      <c r="A190" s="14" t="s">
        <v>25</v>
      </c>
      <c r="B190" s="14" t="s">
        <v>1</v>
      </c>
      <c r="C190" s="14" t="s">
        <v>27</v>
      </c>
      <c r="D190" s="15" t="s">
        <v>2</v>
      </c>
      <c r="E190" s="10" t="s">
        <v>28</v>
      </c>
      <c r="F190" s="16" t="s">
        <v>3</v>
      </c>
      <c r="G190" s="15" t="s">
        <v>4</v>
      </c>
      <c r="H190" s="15" t="s">
        <v>5</v>
      </c>
      <c r="I190" s="15" t="s">
        <v>82</v>
      </c>
      <c r="J190" s="14" t="s">
        <v>30</v>
      </c>
      <c r="K190" s="17" t="s">
        <v>7</v>
      </c>
    </row>
    <row r="191" ht="13.5" customHeight="1">
      <c r="A191" s="18" t="s">
        <v>31</v>
      </c>
      <c r="B191" s="19" t="s">
        <v>212</v>
      </c>
      <c r="C191" s="20" t="s">
        <v>33</v>
      </c>
      <c r="D191" s="21">
        <v>650.0</v>
      </c>
      <c r="E191" s="36"/>
      <c r="F191" s="36">
        <v>1070.0</v>
      </c>
      <c r="G191" s="32"/>
      <c r="H191" s="21">
        <v>760.0</v>
      </c>
      <c r="I191" s="21"/>
      <c r="J191" s="50">
        <v>170.0</v>
      </c>
      <c r="K191" s="25">
        <f t="shared" ref="K191:K197" si="41">SUM(D191:J191)</f>
        <v>2650</v>
      </c>
    </row>
    <row r="192" ht="13.5" customHeight="1">
      <c r="A192" s="26" t="s">
        <v>34</v>
      </c>
      <c r="B192" s="27"/>
      <c r="C192" s="28"/>
      <c r="D192" s="21">
        <v>350.0</v>
      </c>
      <c r="E192" s="36"/>
      <c r="F192" s="36">
        <v>710.0</v>
      </c>
      <c r="G192" s="32"/>
      <c r="H192" s="21">
        <v>880.0</v>
      </c>
      <c r="I192" s="21"/>
      <c r="J192" s="51">
        <v>120.0</v>
      </c>
      <c r="K192" s="25">
        <f t="shared" si="41"/>
        <v>2060</v>
      </c>
    </row>
    <row r="193" ht="13.5" customHeight="1">
      <c r="A193" s="18" t="s">
        <v>35</v>
      </c>
      <c r="B193" s="30">
        <v>2.0</v>
      </c>
      <c r="C193" s="31" t="s">
        <v>36</v>
      </c>
      <c r="D193" s="21"/>
      <c r="E193" s="36"/>
      <c r="F193" s="36"/>
      <c r="G193" s="32"/>
      <c r="H193" s="21"/>
      <c r="I193" s="21"/>
      <c r="J193" s="50"/>
      <c r="K193" s="25">
        <f t="shared" si="41"/>
        <v>0</v>
      </c>
    </row>
    <row r="194" ht="13.5" customHeight="1">
      <c r="A194" s="26" t="s">
        <v>37</v>
      </c>
      <c r="B194" s="33"/>
      <c r="C194" s="34"/>
      <c r="D194" s="10"/>
      <c r="E194" s="10"/>
      <c r="F194" s="10"/>
      <c r="G194" s="32"/>
      <c r="H194" s="10"/>
      <c r="I194" s="10"/>
      <c r="J194" s="52"/>
      <c r="K194" s="25">
        <f t="shared" si="41"/>
        <v>0</v>
      </c>
    </row>
    <row r="195" ht="14.25" customHeight="1">
      <c r="A195" s="18" t="s">
        <v>38</v>
      </c>
      <c r="B195" s="19" t="s">
        <v>39</v>
      </c>
      <c r="C195" s="19" t="s">
        <v>40</v>
      </c>
      <c r="D195" s="21">
        <v>290.0</v>
      </c>
      <c r="E195" s="36"/>
      <c r="F195" s="36">
        <v>620.0</v>
      </c>
      <c r="G195" s="21"/>
      <c r="H195" s="21">
        <v>5140.0</v>
      </c>
      <c r="I195" s="21"/>
      <c r="J195" s="21">
        <v>170.0</v>
      </c>
      <c r="K195" s="25">
        <f t="shared" si="41"/>
        <v>6220</v>
      </c>
      <c r="L195" s="47"/>
      <c r="M195" s="12"/>
    </row>
    <row r="196" ht="13.5" customHeight="1">
      <c r="A196" s="35" t="s">
        <v>41</v>
      </c>
      <c r="B196" s="27"/>
      <c r="C196" s="27"/>
      <c r="D196" s="21">
        <v>290.0</v>
      </c>
      <c r="E196" s="21"/>
      <c r="F196" s="21">
        <v>630.0</v>
      </c>
      <c r="G196" s="21"/>
      <c r="H196" s="21">
        <v>4900.0</v>
      </c>
      <c r="I196" s="21"/>
      <c r="J196" s="21">
        <v>130.0</v>
      </c>
      <c r="K196" s="25">
        <f t="shared" si="41"/>
        <v>5950</v>
      </c>
    </row>
    <row r="197" ht="13.5" customHeight="1">
      <c r="A197" s="40" t="s">
        <v>7</v>
      </c>
      <c r="B197" s="40"/>
      <c r="C197" s="40"/>
      <c r="D197" s="10">
        <f t="shared" ref="D197:J197" si="42">SUM(D191:D196)</f>
        <v>1580</v>
      </c>
      <c r="E197" s="10">
        <f t="shared" si="42"/>
        <v>0</v>
      </c>
      <c r="F197" s="10">
        <f t="shared" si="42"/>
        <v>3030</v>
      </c>
      <c r="G197" s="10">
        <f t="shared" si="42"/>
        <v>0</v>
      </c>
      <c r="H197" s="10">
        <f t="shared" si="42"/>
        <v>11680</v>
      </c>
      <c r="I197" s="10">
        <f t="shared" si="42"/>
        <v>0</v>
      </c>
      <c r="J197" s="10">
        <f t="shared" si="42"/>
        <v>590</v>
      </c>
      <c r="K197" s="25">
        <f t="shared" si="41"/>
        <v>16880</v>
      </c>
    </row>
    <row r="198" ht="13.5" customHeight="1"/>
    <row r="199" ht="13.5" customHeight="1">
      <c r="A199" s="48" t="s">
        <v>224</v>
      </c>
    </row>
    <row r="200" ht="13.5" customHeight="1">
      <c r="A200" s="14" t="s">
        <v>25</v>
      </c>
      <c r="B200" s="14" t="s">
        <v>1</v>
      </c>
      <c r="C200" s="14" t="s">
        <v>27</v>
      </c>
      <c r="D200" s="15" t="s">
        <v>2</v>
      </c>
      <c r="E200" s="10" t="s">
        <v>28</v>
      </c>
      <c r="F200" s="16" t="s">
        <v>3</v>
      </c>
      <c r="G200" s="15" t="s">
        <v>4</v>
      </c>
      <c r="H200" s="15" t="s">
        <v>5</v>
      </c>
      <c r="I200" s="15" t="s">
        <v>29</v>
      </c>
      <c r="J200" s="14" t="s">
        <v>30</v>
      </c>
      <c r="K200" s="17" t="s">
        <v>7</v>
      </c>
    </row>
    <row r="201" ht="13.5" customHeight="1">
      <c r="A201" s="18" t="s">
        <v>31</v>
      </c>
      <c r="B201" s="19" t="s">
        <v>212</v>
      </c>
      <c r="C201" s="20" t="s">
        <v>33</v>
      </c>
      <c r="D201" s="21">
        <v>640.0</v>
      </c>
      <c r="E201" s="36"/>
      <c r="F201" s="41">
        <v>1200.0</v>
      </c>
      <c r="G201" s="32"/>
      <c r="H201" s="21">
        <v>700.0</v>
      </c>
      <c r="I201" s="21"/>
      <c r="J201" s="24">
        <v>150.0</v>
      </c>
      <c r="K201" s="25">
        <f t="shared" ref="K201:K207" si="43">SUM(D201:J201)</f>
        <v>2690</v>
      </c>
    </row>
    <row r="202" ht="13.5" customHeight="1">
      <c r="A202" s="26" t="s">
        <v>34</v>
      </c>
      <c r="B202" s="27"/>
      <c r="C202" s="28"/>
      <c r="D202" s="21">
        <v>420.0</v>
      </c>
      <c r="E202" s="36"/>
      <c r="F202" s="41">
        <v>480.0</v>
      </c>
      <c r="G202" s="32"/>
      <c r="H202" s="21">
        <v>980.0</v>
      </c>
      <c r="I202" s="21"/>
      <c r="J202" s="29">
        <v>150.0</v>
      </c>
      <c r="K202" s="25">
        <f t="shared" si="43"/>
        <v>2030</v>
      </c>
    </row>
    <row r="203" ht="13.5" customHeight="1">
      <c r="A203" s="18" t="s">
        <v>35</v>
      </c>
      <c r="B203" s="30">
        <v>2.0</v>
      </c>
      <c r="C203" s="31" t="s">
        <v>36</v>
      </c>
      <c r="D203" s="21"/>
      <c r="E203" s="41"/>
      <c r="F203" s="10"/>
      <c r="G203" s="32"/>
      <c r="H203" s="21"/>
      <c r="I203" s="24"/>
      <c r="J203" s="24"/>
      <c r="K203" s="25">
        <f t="shared" si="43"/>
        <v>0</v>
      </c>
    </row>
    <row r="204" ht="13.5" customHeight="1">
      <c r="A204" s="26" t="s">
        <v>37</v>
      </c>
      <c r="B204" s="33"/>
      <c r="C204" s="34"/>
      <c r="D204" s="21"/>
      <c r="E204" s="36"/>
      <c r="F204" s="36"/>
      <c r="G204" s="32"/>
      <c r="H204" s="21"/>
      <c r="I204" s="29"/>
      <c r="J204" s="29"/>
      <c r="K204" s="25">
        <f t="shared" si="43"/>
        <v>0</v>
      </c>
    </row>
    <row r="205" ht="14.25" customHeight="1">
      <c r="A205" s="18" t="s">
        <v>38</v>
      </c>
      <c r="B205" s="19" t="s">
        <v>39</v>
      </c>
      <c r="C205" s="19" t="s">
        <v>40</v>
      </c>
      <c r="D205" s="21">
        <v>320.0</v>
      </c>
      <c r="E205" s="36"/>
      <c r="F205" s="36">
        <v>530.0</v>
      </c>
      <c r="G205" s="21"/>
      <c r="H205" s="21">
        <v>4730.0</v>
      </c>
      <c r="I205" s="21"/>
      <c r="J205" s="24">
        <v>220.0</v>
      </c>
      <c r="K205" s="25">
        <f t="shared" si="43"/>
        <v>5800</v>
      </c>
      <c r="L205" s="47"/>
      <c r="M205" s="12"/>
    </row>
    <row r="206" ht="13.5" customHeight="1">
      <c r="A206" s="35" t="s">
        <v>41</v>
      </c>
      <c r="B206" s="27"/>
      <c r="C206" s="27"/>
      <c r="D206" s="21">
        <v>300.0</v>
      </c>
      <c r="E206" s="36"/>
      <c r="F206" s="36">
        <v>670.0</v>
      </c>
      <c r="G206" s="21"/>
      <c r="H206" s="21">
        <v>4760.0</v>
      </c>
      <c r="I206" s="21"/>
      <c r="J206" s="39">
        <v>170.0</v>
      </c>
      <c r="K206" s="25">
        <f t="shared" si="43"/>
        <v>5900</v>
      </c>
    </row>
    <row r="207" ht="13.5" customHeight="1">
      <c r="A207" s="40" t="s">
        <v>7</v>
      </c>
      <c r="B207" s="40"/>
      <c r="C207" s="40"/>
      <c r="D207" s="10">
        <f t="shared" ref="D207:J207" si="44">SUM(D201:D206)</f>
        <v>1680</v>
      </c>
      <c r="E207" s="10">
        <f t="shared" si="44"/>
        <v>0</v>
      </c>
      <c r="F207" s="10">
        <f t="shared" si="44"/>
        <v>2880</v>
      </c>
      <c r="G207" s="10">
        <f t="shared" si="44"/>
        <v>0</v>
      </c>
      <c r="H207" s="10">
        <f t="shared" si="44"/>
        <v>11170</v>
      </c>
      <c r="I207" s="10">
        <f t="shared" si="44"/>
        <v>0</v>
      </c>
      <c r="J207" s="10">
        <f t="shared" si="44"/>
        <v>690</v>
      </c>
      <c r="K207" s="25">
        <f t="shared" si="43"/>
        <v>16420</v>
      </c>
    </row>
    <row r="208" ht="13.5" customHeight="1"/>
    <row r="209" ht="13.5" customHeight="1">
      <c r="A209" s="48" t="s">
        <v>225</v>
      </c>
    </row>
    <row r="210" ht="13.5" customHeight="1">
      <c r="A210" s="14"/>
      <c r="B210" s="14" t="s">
        <v>1</v>
      </c>
      <c r="C210" s="14" t="s">
        <v>27</v>
      </c>
      <c r="D210" s="15" t="s">
        <v>2</v>
      </c>
      <c r="E210" s="10" t="s">
        <v>28</v>
      </c>
      <c r="F210" s="16" t="s">
        <v>3</v>
      </c>
      <c r="G210" s="15" t="s">
        <v>4</v>
      </c>
      <c r="H210" s="15" t="s">
        <v>5</v>
      </c>
      <c r="I210" s="15" t="s">
        <v>29</v>
      </c>
      <c r="J210" s="14" t="s">
        <v>30</v>
      </c>
      <c r="K210" s="17" t="s">
        <v>7</v>
      </c>
    </row>
    <row r="211" ht="13.5" customHeight="1">
      <c r="A211" s="18" t="s">
        <v>31</v>
      </c>
      <c r="B211" s="19" t="s">
        <v>212</v>
      </c>
      <c r="C211" s="20" t="s">
        <v>33</v>
      </c>
      <c r="D211" s="21">
        <v>620.0</v>
      </c>
      <c r="E211" s="36"/>
      <c r="F211" s="36">
        <v>1030.0</v>
      </c>
      <c r="G211" s="32"/>
      <c r="H211" s="21">
        <v>830.0</v>
      </c>
      <c r="I211" s="23"/>
      <c r="J211" s="24">
        <v>200.0</v>
      </c>
      <c r="K211" s="25">
        <f t="shared" ref="K211:K217" si="45">SUM(D211:J211)</f>
        <v>2680</v>
      </c>
    </row>
    <row r="212" ht="13.5" customHeight="1">
      <c r="A212" s="26" t="s">
        <v>34</v>
      </c>
      <c r="B212" s="27"/>
      <c r="C212" s="28"/>
      <c r="D212" s="21">
        <v>430.0</v>
      </c>
      <c r="E212" s="36"/>
      <c r="F212" s="37">
        <v>640.0</v>
      </c>
      <c r="G212" s="53"/>
      <c r="H212" s="22">
        <v>720.0</v>
      </c>
      <c r="I212" s="29"/>
      <c r="J212" s="29">
        <v>150.0</v>
      </c>
      <c r="K212" s="25">
        <f t="shared" si="45"/>
        <v>1940</v>
      </c>
    </row>
    <row r="213" ht="13.5" customHeight="1">
      <c r="A213" s="18" t="s">
        <v>35</v>
      </c>
      <c r="B213" s="30">
        <v>2.0</v>
      </c>
      <c r="C213" s="31" t="s">
        <v>36</v>
      </c>
      <c r="D213" s="21"/>
      <c r="E213" s="36"/>
      <c r="F213" s="36"/>
      <c r="G213" s="21"/>
      <c r="H213" s="21"/>
      <c r="I213" s="21"/>
      <c r="J213" s="24"/>
      <c r="K213" s="25">
        <f t="shared" si="45"/>
        <v>0</v>
      </c>
    </row>
    <row r="214" ht="13.5" customHeight="1">
      <c r="A214" s="26" t="s">
        <v>37</v>
      </c>
      <c r="B214" s="33"/>
      <c r="C214" s="34"/>
      <c r="D214" s="21"/>
      <c r="E214" s="36"/>
      <c r="F214" s="36"/>
      <c r="G214" s="21"/>
      <c r="H214" s="21"/>
      <c r="I214" s="21"/>
      <c r="J214" s="29"/>
      <c r="K214" s="25">
        <f t="shared" si="45"/>
        <v>0</v>
      </c>
    </row>
    <row r="215" ht="14.25" customHeight="1">
      <c r="A215" s="18" t="s">
        <v>38</v>
      </c>
      <c r="B215" s="19" t="s">
        <v>39</v>
      </c>
      <c r="C215" s="19" t="s">
        <v>40</v>
      </c>
      <c r="D215" s="21">
        <v>280.0</v>
      </c>
      <c r="E215" s="36"/>
      <c r="F215" s="36">
        <v>600.0</v>
      </c>
      <c r="G215" s="21"/>
      <c r="H215" s="21">
        <v>5100.0</v>
      </c>
      <c r="I215" s="21"/>
      <c r="J215" s="24">
        <v>150.0</v>
      </c>
      <c r="K215" s="25">
        <f t="shared" si="45"/>
        <v>6130</v>
      </c>
      <c r="L215" s="47"/>
      <c r="M215" s="12"/>
    </row>
    <row r="216" ht="13.5" customHeight="1">
      <c r="A216" s="35" t="s">
        <v>41</v>
      </c>
      <c r="B216" s="27"/>
      <c r="C216" s="27"/>
      <c r="D216" s="21">
        <v>300.0</v>
      </c>
      <c r="E216" s="21"/>
      <c r="F216" s="21">
        <v>740.0</v>
      </c>
      <c r="G216" s="21"/>
      <c r="H216" s="21">
        <v>4510.0</v>
      </c>
      <c r="I216" s="21"/>
      <c r="J216" s="21">
        <v>160.0</v>
      </c>
      <c r="K216" s="25">
        <f t="shared" si="45"/>
        <v>5710</v>
      </c>
    </row>
    <row r="217" ht="13.5" customHeight="1">
      <c r="A217" s="40" t="s">
        <v>7</v>
      </c>
      <c r="B217" s="40"/>
      <c r="C217" s="40"/>
      <c r="D217" s="10">
        <f t="shared" ref="D217:J217" si="46">SUM(D211:D216)</f>
        <v>1630</v>
      </c>
      <c r="E217" s="10">
        <f t="shared" si="46"/>
        <v>0</v>
      </c>
      <c r="F217" s="10">
        <f t="shared" si="46"/>
        <v>3010</v>
      </c>
      <c r="G217" s="10">
        <f t="shared" si="46"/>
        <v>0</v>
      </c>
      <c r="H217" s="10">
        <f t="shared" si="46"/>
        <v>11160</v>
      </c>
      <c r="I217" s="10">
        <f t="shared" si="46"/>
        <v>0</v>
      </c>
      <c r="J217" s="10">
        <f t="shared" si="46"/>
        <v>660</v>
      </c>
      <c r="K217" s="25">
        <f t="shared" si="45"/>
        <v>16460</v>
      </c>
    </row>
    <row r="218" ht="13.5" customHeight="1"/>
    <row r="219" ht="13.5" customHeight="1">
      <c r="A219" s="48" t="s">
        <v>226</v>
      </c>
    </row>
    <row r="220" ht="13.5" customHeight="1">
      <c r="A220" s="14" t="s">
        <v>25</v>
      </c>
      <c r="B220" s="14" t="s">
        <v>1</v>
      </c>
      <c r="C220" s="14" t="s">
        <v>27</v>
      </c>
      <c r="D220" s="15" t="s">
        <v>2</v>
      </c>
      <c r="E220" s="10" t="s">
        <v>28</v>
      </c>
      <c r="F220" s="16" t="s">
        <v>3</v>
      </c>
      <c r="G220" s="15" t="s">
        <v>4</v>
      </c>
      <c r="H220" s="15" t="s">
        <v>5</v>
      </c>
      <c r="I220" s="15" t="s">
        <v>29</v>
      </c>
      <c r="J220" s="14" t="s">
        <v>30</v>
      </c>
      <c r="K220" s="17" t="s">
        <v>7</v>
      </c>
    </row>
    <row r="221" ht="13.5" customHeight="1">
      <c r="A221" s="18" t="s">
        <v>31</v>
      </c>
      <c r="B221" s="19" t="s">
        <v>212</v>
      </c>
      <c r="C221" s="20" t="s">
        <v>33</v>
      </c>
      <c r="D221" s="21">
        <v>500.0</v>
      </c>
      <c r="E221" s="36"/>
      <c r="F221" s="36">
        <v>820.0</v>
      </c>
      <c r="G221" s="32"/>
      <c r="H221" s="21">
        <v>1320.0</v>
      </c>
      <c r="I221" s="23"/>
      <c r="J221" s="24">
        <v>110.0</v>
      </c>
      <c r="K221" s="25">
        <f t="shared" ref="K221:K227" si="47">SUM(D221:J221)</f>
        <v>2750</v>
      </c>
    </row>
    <row r="222" ht="13.5" customHeight="1">
      <c r="A222" s="26" t="s">
        <v>34</v>
      </c>
      <c r="B222" s="27"/>
      <c r="C222" s="28"/>
      <c r="D222" s="21">
        <v>430.0</v>
      </c>
      <c r="E222" s="36"/>
      <c r="F222" s="37">
        <v>800.0</v>
      </c>
      <c r="G222" s="53"/>
      <c r="H222" s="22">
        <v>480.0</v>
      </c>
      <c r="I222" s="29"/>
      <c r="J222" s="29">
        <v>90.0</v>
      </c>
      <c r="K222" s="25">
        <f t="shared" si="47"/>
        <v>1800</v>
      </c>
    </row>
    <row r="223" ht="13.5" customHeight="1">
      <c r="A223" s="18" t="s">
        <v>35</v>
      </c>
      <c r="B223" s="30">
        <v>2.0</v>
      </c>
      <c r="C223" s="31" t="s">
        <v>36</v>
      </c>
      <c r="D223" s="21"/>
      <c r="E223" s="36"/>
      <c r="F223" s="36"/>
      <c r="G223" s="21"/>
      <c r="H223" s="21"/>
      <c r="I223" s="21"/>
      <c r="J223" s="24"/>
      <c r="K223" s="25">
        <f t="shared" si="47"/>
        <v>0</v>
      </c>
    </row>
    <row r="224" ht="13.5" customHeight="1">
      <c r="A224" s="26" t="s">
        <v>37</v>
      </c>
      <c r="B224" s="33"/>
      <c r="C224" s="34"/>
      <c r="D224" s="21"/>
      <c r="E224" s="36"/>
      <c r="F224" s="36"/>
      <c r="G224" s="21"/>
      <c r="H224" s="21"/>
      <c r="I224" s="21"/>
      <c r="J224" s="29"/>
      <c r="K224" s="25">
        <f t="shared" si="47"/>
        <v>0</v>
      </c>
    </row>
    <row r="225" ht="14.25" customHeight="1">
      <c r="A225" s="18" t="s">
        <v>38</v>
      </c>
      <c r="B225" s="19" t="s">
        <v>39</v>
      </c>
      <c r="C225" s="19" t="s">
        <v>40</v>
      </c>
      <c r="D225" s="21">
        <v>290.0</v>
      </c>
      <c r="E225" s="36"/>
      <c r="F225" s="36">
        <v>560.0</v>
      </c>
      <c r="G225" s="21"/>
      <c r="H225" s="21">
        <v>5250.0</v>
      </c>
      <c r="I225" s="21"/>
      <c r="J225" s="24">
        <v>160.0</v>
      </c>
      <c r="K225" s="25">
        <f t="shared" si="47"/>
        <v>6260</v>
      </c>
      <c r="L225" s="47"/>
      <c r="M225" s="12"/>
    </row>
    <row r="226" ht="13.5" customHeight="1">
      <c r="A226" s="35" t="s">
        <v>41</v>
      </c>
      <c r="B226" s="27"/>
      <c r="C226" s="27"/>
      <c r="D226" s="21">
        <v>310.0</v>
      </c>
      <c r="E226" s="21"/>
      <c r="F226" s="21">
        <v>600.0</v>
      </c>
      <c r="G226" s="21"/>
      <c r="H226" s="21">
        <v>5020.0</v>
      </c>
      <c r="I226" s="21"/>
      <c r="J226" s="21">
        <v>130.0</v>
      </c>
      <c r="K226" s="25">
        <f t="shared" si="47"/>
        <v>6060</v>
      </c>
    </row>
    <row r="227" ht="13.5" customHeight="1">
      <c r="A227" s="40" t="s">
        <v>7</v>
      </c>
      <c r="B227" s="40"/>
      <c r="C227" s="40"/>
      <c r="D227" s="10">
        <f t="shared" ref="D227:J227" si="48">SUM(D221:D226)</f>
        <v>1530</v>
      </c>
      <c r="E227" s="10">
        <f t="shared" si="48"/>
        <v>0</v>
      </c>
      <c r="F227" s="10">
        <f t="shared" si="48"/>
        <v>2780</v>
      </c>
      <c r="G227" s="10">
        <f t="shared" si="48"/>
        <v>0</v>
      </c>
      <c r="H227" s="10">
        <f t="shared" si="48"/>
        <v>12070</v>
      </c>
      <c r="I227" s="10">
        <f t="shared" si="48"/>
        <v>0</v>
      </c>
      <c r="J227" s="10">
        <f t="shared" si="48"/>
        <v>490</v>
      </c>
      <c r="K227" s="25">
        <f t="shared" si="47"/>
        <v>16870</v>
      </c>
    </row>
    <row r="228" ht="13.5" customHeight="1"/>
    <row r="229" ht="13.5" customHeight="1">
      <c r="A229" s="48" t="s">
        <v>227</v>
      </c>
    </row>
    <row r="230" ht="13.5" customHeight="1">
      <c r="A230" s="14" t="s">
        <v>25</v>
      </c>
      <c r="B230" s="14" t="s">
        <v>1</v>
      </c>
      <c r="C230" s="14" t="s">
        <v>27</v>
      </c>
      <c r="D230" s="15" t="s">
        <v>2</v>
      </c>
      <c r="E230" s="10" t="s">
        <v>28</v>
      </c>
      <c r="F230" s="16" t="s">
        <v>3</v>
      </c>
      <c r="G230" s="15" t="s">
        <v>4</v>
      </c>
      <c r="H230" s="14" t="s">
        <v>5</v>
      </c>
      <c r="I230" s="15" t="s">
        <v>29</v>
      </c>
      <c r="J230" s="14" t="s">
        <v>30</v>
      </c>
      <c r="K230" s="17" t="s">
        <v>7</v>
      </c>
    </row>
    <row r="231" ht="13.5" customHeight="1">
      <c r="A231" s="18" t="s">
        <v>31</v>
      </c>
      <c r="B231" s="19" t="s">
        <v>212</v>
      </c>
      <c r="C231" s="20" t="s">
        <v>33</v>
      </c>
      <c r="D231" s="21">
        <v>570.0</v>
      </c>
      <c r="E231" s="36"/>
      <c r="F231" s="36">
        <v>820.0</v>
      </c>
      <c r="G231" s="32"/>
      <c r="H231" s="21">
        <v>1000.0</v>
      </c>
      <c r="I231" s="21"/>
      <c r="J231" s="21">
        <v>180.0</v>
      </c>
      <c r="K231" s="25">
        <f t="shared" ref="K231:K237" si="49">SUM(D231:J231)</f>
        <v>2570</v>
      </c>
    </row>
    <row r="232" ht="13.5" customHeight="1">
      <c r="A232" s="26" t="s">
        <v>34</v>
      </c>
      <c r="B232" s="27"/>
      <c r="C232" s="28"/>
      <c r="D232" s="21">
        <v>450.0</v>
      </c>
      <c r="E232" s="36"/>
      <c r="F232" s="36">
        <v>800.0</v>
      </c>
      <c r="G232" s="32"/>
      <c r="H232" s="21">
        <v>540.0</v>
      </c>
      <c r="I232" s="21"/>
      <c r="J232" s="21">
        <v>110.0</v>
      </c>
      <c r="K232" s="25">
        <f t="shared" si="49"/>
        <v>1900</v>
      </c>
    </row>
    <row r="233" ht="13.5" customHeight="1">
      <c r="A233" s="18" t="s">
        <v>35</v>
      </c>
      <c r="B233" s="30">
        <v>2.0</v>
      </c>
      <c r="C233" s="31" t="s">
        <v>36</v>
      </c>
      <c r="D233" s="21"/>
      <c r="E233" s="36"/>
      <c r="F233" s="36"/>
      <c r="G233" s="32"/>
      <c r="H233" s="21"/>
      <c r="I233" s="21"/>
      <c r="J233" s="21"/>
      <c r="K233" s="25">
        <f t="shared" si="49"/>
        <v>0</v>
      </c>
    </row>
    <row r="234" ht="13.5" customHeight="1">
      <c r="A234" s="26" t="s">
        <v>37</v>
      </c>
      <c r="B234" s="33"/>
      <c r="C234" s="34"/>
      <c r="D234" s="21"/>
      <c r="E234" s="36"/>
      <c r="F234" s="36"/>
      <c r="G234" s="32"/>
      <c r="H234" s="21"/>
      <c r="I234" s="21"/>
      <c r="J234" s="21"/>
      <c r="K234" s="25">
        <f t="shared" si="49"/>
        <v>0</v>
      </c>
    </row>
    <row r="235" ht="14.25" customHeight="1">
      <c r="A235" s="18" t="s">
        <v>38</v>
      </c>
      <c r="B235" s="19" t="s">
        <v>39</v>
      </c>
      <c r="C235" s="19" t="s">
        <v>40</v>
      </c>
      <c r="D235" s="21">
        <v>300.0</v>
      </c>
      <c r="E235" s="36"/>
      <c r="F235" s="36">
        <v>600.0</v>
      </c>
      <c r="G235" s="32"/>
      <c r="H235" s="21">
        <v>4800.0</v>
      </c>
      <c r="I235" s="21"/>
      <c r="J235" s="21">
        <v>160.0</v>
      </c>
      <c r="K235" s="25">
        <f t="shared" si="49"/>
        <v>5860</v>
      </c>
      <c r="L235" s="47"/>
      <c r="M235" s="12"/>
    </row>
    <row r="236" ht="13.5" customHeight="1">
      <c r="A236" s="35" t="s">
        <v>41</v>
      </c>
      <c r="B236" s="27"/>
      <c r="C236" s="27"/>
      <c r="D236" s="21">
        <v>280.0</v>
      </c>
      <c r="E236" s="36"/>
      <c r="F236" s="36">
        <v>600.0</v>
      </c>
      <c r="G236" s="38"/>
      <c r="H236" s="21">
        <v>4910.0</v>
      </c>
      <c r="I236" s="29"/>
      <c r="J236" s="39">
        <v>180.0</v>
      </c>
      <c r="K236" s="25">
        <f t="shared" si="49"/>
        <v>5970</v>
      </c>
    </row>
    <row r="237" ht="13.5" customHeight="1">
      <c r="A237" s="40" t="s">
        <v>7</v>
      </c>
      <c r="B237" s="40"/>
      <c r="C237" s="40"/>
      <c r="D237" s="10">
        <f t="shared" ref="D237:J237" si="50">SUM(D231:D236)</f>
        <v>1600</v>
      </c>
      <c r="E237" s="10">
        <f t="shared" si="50"/>
        <v>0</v>
      </c>
      <c r="F237" s="10">
        <f t="shared" si="50"/>
        <v>2820</v>
      </c>
      <c r="G237" s="10">
        <f t="shared" si="50"/>
        <v>0</v>
      </c>
      <c r="H237" s="10">
        <f t="shared" si="50"/>
        <v>11250</v>
      </c>
      <c r="I237" s="10">
        <f t="shared" si="50"/>
        <v>0</v>
      </c>
      <c r="J237" s="10">
        <f t="shared" si="50"/>
        <v>630</v>
      </c>
      <c r="K237" s="25">
        <f t="shared" si="49"/>
        <v>16300</v>
      </c>
    </row>
    <row r="238" ht="13.5" customHeight="1"/>
    <row r="239" ht="13.5" customHeight="1">
      <c r="A239" s="48" t="s">
        <v>228</v>
      </c>
    </row>
    <row r="240" ht="13.5" customHeight="1">
      <c r="A240" s="14" t="s">
        <v>25</v>
      </c>
      <c r="B240" s="14" t="s">
        <v>1</v>
      </c>
      <c r="C240" s="14" t="s">
        <v>27</v>
      </c>
      <c r="D240" s="15" t="s">
        <v>2</v>
      </c>
      <c r="E240" s="10" t="s">
        <v>28</v>
      </c>
      <c r="F240" s="16" t="s">
        <v>3</v>
      </c>
      <c r="G240" s="15" t="s">
        <v>4</v>
      </c>
      <c r="H240" s="15" t="s">
        <v>5</v>
      </c>
      <c r="I240" s="15" t="s">
        <v>29</v>
      </c>
      <c r="J240" s="14" t="s">
        <v>30</v>
      </c>
      <c r="K240" s="17" t="s">
        <v>7</v>
      </c>
    </row>
    <row r="241" ht="13.5" customHeight="1">
      <c r="A241" s="18" t="s">
        <v>31</v>
      </c>
      <c r="B241" s="19" t="s">
        <v>212</v>
      </c>
      <c r="C241" s="20" t="s">
        <v>33</v>
      </c>
      <c r="D241" s="21">
        <v>450.0</v>
      </c>
      <c r="E241" s="36"/>
      <c r="F241" s="36">
        <v>930.0</v>
      </c>
      <c r="G241" s="32"/>
      <c r="H241" s="21">
        <v>980.0</v>
      </c>
      <c r="I241" s="23"/>
      <c r="J241" s="24">
        <v>100.0</v>
      </c>
      <c r="K241" s="25">
        <f t="shared" ref="K241:K247" si="51">SUM(D241:J241)</f>
        <v>2460</v>
      </c>
    </row>
    <row r="242" ht="13.5" customHeight="1">
      <c r="A242" s="26" t="s">
        <v>34</v>
      </c>
      <c r="B242" s="27"/>
      <c r="C242" s="28"/>
      <c r="D242" s="21">
        <v>480.0</v>
      </c>
      <c r="E242" s="36"/>
      <c r="F242" s="36">
        <v>830.0</v>
      </c>
      <c r="G242" s="32"/>
      <c r="H242" s="21">
        <v>780.0</v>
      </c>
      <c r="I242" s="29"/>
      <c r="J242" s="29">
        <v>110.0</v>
      </c>
      <c r="K242" s="25">
        <f t="shared" si="51"/>
        <v>2200</v>
      </c>
    </row>
    <row r="243" ht="13.5" customHeight="1">
      <c r="A243" s="18" t="s">
        <v>35</v>
      </c>
      <c r="B243" s="30">
        <v>2.0</v>
      </c>
      <c r="C243" s="31" t="s">
        <v>36</v>
      </c>
      <c r="D243" s="21"/>
      <c r="E243" s="36"/>
      <c r="F243" s="36"/>
      <c r="G243" s="32"/>
      <c r="H243" s="21"/>
      <c r="I243" s="23"/>
      <c r="J243" s="24"/>
      <c r="K243" s="25">
        <f t="shared" si="51"/>
        <v>0</v>
      </c>
    </row>
    <row r="244" ht="13.5" customHeight="1">
      <c r="A244" s="26" t="s">
        <v>37</v>
      </c>
      <c r="B244" s="33"/>
      <c r="C244" s="34"/>
      <c r="D244" s="21"/>
      <c r="E244" s="36"/>
      <c r="F244" s="36"/>
      <c r="G244" s="32"/>
      <c r="H244" s="21"/>
      <c r="I244" s="29"/>
      <c r="J244" s="29"/>
      <c r="K244" s="25">
        <f t="shared" si="51"/>
        <v>0</v>
      </c>
    </row>
    <row r="245" ht="14.25" customHeight="1">
      <c r="A245" s="18" t="s">
        <v>38</v>
      </c>
      <c r="B245" s="19" t="s">
        <v>39</v>
      </c>
      <c r="C245" s="19" t="s">
        <v>40</v>
      </c>
      <c r="D245" s="21"/>
      <c r="E245" s="36"/>
      <c r="F245" s="36"/>
      <c r="G245" s="32"/>
      <c r="H245" s="21"/>
      <c r="I245" s="23"/>
      <c r="J245" s="24"/>
      <c r="K245" s="25">
        <f t="shared" si="51"/>
        <v>0</v>
      </c>
      <c r="L245" s="12"/>
    </row>
    <row r="246" ht="13.5" customHeight="1">
      <c r="A246" s="35" t="s">
        <v>41</v>
      </c>
      <c r="B246" s="27"/>
      <c r="C246" s="27"/>
      <c r="D246" s="21">
        <v>310.0</v>
      </c>
      <c r="E246" s="21"/>
      <c r="F246" s="21">
        <v>650.0</v>
      </c>
      <c r="G246" s="21"/>
      <c r="H246" s="21">
        <v>4740.0</v>
      </c>
      <c r="I246" s="21"/>
      <c r="J246" s="21">
        <v>180.0</v>
      </c>
      <c r="K246" s="25">
        <f t="shared" si="51"/>
        <v>5880</v>
      </c>
    </row>
    <row r="247" ht="13.5" customHeight="1">
      <c r="A247" s="40" t="s">
        <v>7</v>
      </c>
      <c r="B247" s="40"/>
      <c r="C247" s="40"/>
      <c r="D247" s="10">
        <f t="shared" ref="D247:J247" si="52">SUM(D241:D246)</f>
        <v>1240</v>
      </c>
      <c r="E247" s="10">
        <f t="shared" si="52"/>
        <v>0</v>
      </c>
      <c r="F247" s="10">
        <f t="shared" si="52"/>
        <v>2410</v>
      </c>
      <c r="G247" s="10">
        <f t="shared" si="52"/>
        <v>0</v>
      </c>
      <c r="H247" s="10">
        <f t="shared" si="52"/>
        <v>6500</v>
      </c>
      <c r="I247" s="10">
        <f t="shared" si="52"/>
        <v>0</v>
      </c>
      <c r="J247" s="10">
        <f t="shared" si="52"/>
        <v>390</v>
      </c>
      <c r="K247" s="25">
        <f t="shared" si="51"/>
        <v>10540</v>
      </c>
    </row>
    <row r="248" ht="13.5" customHeight="1"/>
    <row r="249" ht="13.5" customHeight="1">
      <c r="A249" s="48" t="s">
        <v>229</v>
      </c>
    </row>
    <row r="250" ht="13.5" customHeight="1">
      <c r="A250" s="14" t="s">
        <v>25</v>
      </c>
      <c r="B250" s="14" t="s">
        <v>1</v>
      </c>
      <c r="C250" s="14" t="s">
        <v>27</v>
      </c>
      <c r="D250" s="15" t="s">
        <v>2</v>
      </c>
      <c r="E250" s="10" t="s">
        <v>28</v>
      </c>
      <c r="F250" s="16" t="s">
        <v>3</v>
      </c>
      <c r="G250" s="15" t="s">
        <v>4</v>
      </c>
      <c r="H250" s="15" t="s">
        <v>5</v>
      </c>
      <c r="I250" s="15" t="s">
        <v>29</v>
      </c>
      <c r="J250" s="14" t="s">
        <v>30</v>
      </c>
      <c r="K250" s="17" t="s">
        <v>7</v>
      </c>
    </row>
    <row r="251" ht="14.25" customHeight="1">
      <c r="A251" s="18" t="s">
        <v>31</v>
      </c>
      <c r="B251" s="19" t="s">
        <v>212</v>
      </c>
      <c r="C251" s="20" t="s">
        <v>33</v>
      </c>
      <c r="D251" s="21">
        <v>500.0</v>
      </c>
      <c r="E251" s="36"/>
      <c r="F251" s="36">
        <v>800.0</v>
      </c>
      <c r="G251" s="36"/>
      <c r="H251" s="32">
        <v>610.0</v>
      </c>
      <c r="I251" s="23"/>
      <c r="J251" s="24">
        <v>200.0</v>
      </c>
      <c r="K251" s="25">
        <f t="shared" ref="K251:K254" si="53">SUM(D251:J251)</f>
        <v>2110</v>
      </c>
    </row>
    <row r="252" ht="13.5" customHeight="1">
      <c r="A252" s="26" t="s">
        <v>34</v>
      </c>
      <c r="B252" s="27"/>
      <c r="C252" s="28"/>
      <c r="D252" s="21">
        <v>500.0</v>
      </c>
      <c r="E252" s="36"/>
      <c r="F252" s="36">
        <v>840.0</v>
      </c>
      <c r="G252" s="32"/>
      <c r="H252" s="21">
        <v>680.0</v>
      </c>
      <c r="I252" s="29"/>
      <c r="J252" s="29">
        <v>100.0</v>
      </c>
      <c r="K252" s="25">
        <f t="shared" si="53"/>
        <v>2120</v>
      </c>
    </row>
    <row r="253" ht="13.5" customHeight="1">
      <c r="A253" s="18" t="s">
        <v>35</v>
      </c>
      <c r="B253" s="30">
        <v>2.0</v>
      </c>
      <c r="C253" s="31" t="s">
        <v>36</v>
      </c>
      <c r="D253" s="21"/>
      <c r="E253" s="36"/>
      <c r="F253" s="36"/>
      <c r="G253" s="36"/>
      <c r="H253" s="32"/>
      <c r="I253" s="23"/>
      <c r="J253" s="24"/>
      <c r="K253" s="25">
        <f t="shared" si="53"/>
        <v>0</v>
      </c>
    </row>
    <row r="254" ht="13.5" customHeight="1">
      <c r="A254" s="26" t="s">
        <v>37</v>
      </c>
      <c r="B254" s="33"/>
      <c r="C254" s="34"/>
      <c r="D254" s="21"/>
      <c r="E254" s="36"/>
      <c r="F254" s="36"/>
      <c r="G254" s="21"/>
      <c r="H254" s="21"/>
      <c r="I254" s="21"/>
      <c r="J254" s="21"/>
      <c r="K254" s="25">
        <f t="shared" si="53"/>
        <v>0</v>
      </c>
    </row>
    <row r="255" ht="14.25" customHeight="1">
      <c r="A255" s="18" t="s">
        <v>38</v>
      </c>
      <c r="B255" s="19" t="s">
        <v>39</v>
      </c>
      <c r="C255" s="19" t="s">
        <v>40</v>
      </c>
      <c r="D255" s="10">
        <v>290.0</v>
      </c>
      <c r="E255" s="10"/>
      <c r="F255" s="10">
        <v>650.0</v>
      </c>
      <c r="G255" s="10"/>
      <c r="H255" s="10">
        <v>4610.0</v>
      </c>
      <c r="I255" s="10"/>
      <c r="J255" s="10">
        <v>230.0</v>
      </c>
      <c r="K255" s="25">
        <f>SUM(D265:J265)</f>
        <v>4170</v>
      </c>
      <c r="L255" s="47"/>
      <c r="M255" s="12"/>
    </row>
    <row r="256" ht="13.5" customHeight="1">
      <c r="A256" s="35" t="s">
        <v>41</v>
      </c>
      <c r="B256" s="27"/>
      <c r="C256" s="27"/>
      <c r="D256" s="21">
        <v>280.0</v>
      </c>
      <c r="E256" s="21"/>
      <c r="F256" s="21">
        <v>840.0</v>
      </c>
      <c r="G256" s="21"/>
      <c r="H256" s="21">
        <v>4830.0</v>
      </c>
      <c r="I256" s="21"/>
      <c r="J256" s="21">
        <v>190.0</v>
      </c>
      <c r="K256" s="25">
        <f t="shared" ref="K256:K257" si="55">SUM(D256:J256)</f>
        <v>6140</v>
      </c>
    </row>
    <row r="257" ht="13.5" customHeight="1">
      <c r="A257" s="40" t="s">
        <v>7</v>
      </c>
      <c r="B257" s="40"/>
      <c r="C257" s="40"/>
      <c r="D257" s="10">
        <f t="shared" ref="D257:J257" si="54">SUM(D251:D256)</f>
        <v>1570</v>
      </c>
      <c r="E257" s="10">
        <f t="shared" si="54"/>
        <v>0</v>
      </c>
      <c r="F257" s="10">
        <f t="shared" si="54"/>
        <v>3130</v>
      </c>
      <c r="G257" s="10">
        <f t="shared" si="54"/>
        <v>0</v>
      </c>
      <c r="H257" s="10">
        <f t="shared" si="54"/>
        <v>10730</v>
      </c>
      <c r="I257" s="10">
        <f t="shared" si="54"/>
        <v>0</v>
      </c>
      <c r="J257" s="10">
        <f t="shared" si="54"/>
        <v>720</v>
      </c>
      <c r="K257" s="25">
        <f t="shared" si="55"/>
        <v>16150</v>
      </c>
    </row>
    <row r="258" ht="13.5" customHeight="1"/>
    <row r="259" ht="13.5" customHeight="1">
      <c r="A259" s="48" t="s">
        <v>230</v>
      </c>
    </row>
    <row r="260" ht="13.5" customHeight="1">
      <c r="A260" s="14" t="s">
        <v>25</v>
      </c>
      <c r="B260" s="14" t="s">
        <v>1</v>
      </c>
      <c r="C260" s="14" t="s">
        <v>27</v>
      </c>
      <c r="D260" s="15" t="s">
        <v>2</v>
      </c>
      <c r="E260" s="10" t="s">
        <v>28</v>
      </c>
      <c r="F260" s="16" t="s">
        <v>3</v>
      </c>
      <c r="G260" s="15" t="s">
        <v>4</v>
      </c>
      <c r="H260" s="15" t="s">
        <v>5</v>
      </c>
      <c r="I260" s="15" t="s">
        <v>29</v>
      </c>
      <c r="J260" s="14" t="s">
        <v>30</v>
      </c>
      <c r="K260" s="17" t="s">
        <v>7</v>
      </c>
    </row>
    <row r="261" ht="14.25" customHeight="1">
      <c r="A261" s="18" t="s">
        <v>31</v>
      </c>
      <c r="B261" s="19" t="s">
        <v>212</v>
      </c>
      <c r="C261" s="20" t="s">
        <v>33</v>
      </c>
      <c r="D261" s="21">
        <v>500.0</v>
      </c>
      <c r="E261" s="36"/>
      <c r="F261" s="36">
        <v>800.0</v>
      </c>
      <c r="G261" s="32"/>
      <c r="H261" s="21">
        <v>630.0</v>
      </c>
      <c r="I261" s="23"/>
      <c r="J261" s="24">
        <v>110.0</v>
      </c>
      <c r="K261" s="25">
        <f t="shared" ref="K261:K264" si="56">SUM(D261:J261)</f>
        <v>2040</v>
      </c>
    </row>
    <row r="262" ht="13.5" customHeight="1">
      <c r="A262" s="26" t="s">
        <v>34</v>
      </c>
      <c r="B262" s="27"/>
      <c r="C262" s="28"/>
      <c r="D262" s="21">
        <v>500.0</v>
      </c>
      <c r="E262" s="36"/>
      <c r="F262" s="36">
        <v>800.0</v>
      </c>
      <c r="G262" s="22"/>
      <c r="H262" s="21">
        <v>690.0</v>
      </c>
      <c r="I262" s="29"/>
      <c r="J262" s="29">
        <v>80.0</v>
      </c>
      <c r="K262" s="25">
        <f t="shared" si="56"/>
        <v>2070</v>
      </c>
    </row>
    <row r="263" ht="13.5" customHeight="1">
      <c r="A263" s="18" t="s">
        <v>35</v>
      </c>
      <c r="B263" s="30">
        <v>2.0</v>
      </c>
      <c r="C263" s="31" t="s">
        <v>36</v>
      </c>
      <c r="D263" s="21">
        <v>100.0</v>
      </c>
      <c r="E263" s="10"/>
      <c r="F263" s="10">
        <v>240.0</v>
      </c>
      <c r="G263" s="36"/>
      <c r="H263" s="21">
        <v>1670.0</v>
      </c>
      <c r="I263" s="23"/>
      <c r="J263" s="24">
        <v>80.0</v>
      </c>
      <c r="K263" s="25">
        <f t="shared" si="56"/>
        <v>2090</v>
      </c>
    </row>
    <row r="264" ht="13.5" customHeight="1">
      <c r="A264" s="26" t="s">
        <v>37</v>
      </c>
      <c r="B264" s="33"/>
      <c r="C264" s="34"/>
      <c r="D264" s="21">
        <v>80.0</v>
      </c>
      <c r="E264" s="36"/>
      <c r="F264" s="36">
        <v>240.0</v>
      </c>
      <c r="G264" s="22"/>
      <c r="H264" s="21">
        <v>1570.0</v>
      </c>
      <c r="I264" s="29"/>
      <c r="J264" s="29">
        <v>80.0</v>
      </c>
      <c r="K264" s="25">
        <f t="shared" si="56"/>
        <v>1970</v>
      </c>
    </row>
    <row r="265" ht="14.25" customHeight="1">
      <c r="A265" s="18" t="s">
        <v>38</v>
      </c>
      <c r="B265" s="19" t="s">
        <v>39</v>
      </c>
      <c r="C265" s="19" t="s">
        <v>40</v>
      </c>
      <c r="D265" s="21">
        <v>160.0</v>
      </c>
      <c r="E265" s="36"/>
      <c r="F265" s="36">
        <v>400.0</v>
      </c>
      <c r="G265" s="32"/>
      <c r="H265" s="21">
        <v>3510.0</v>
      </c>
      <c r="I265" s="23"/>
      <c r="J265" s="24">
        <v>100.0</v>
      </c>
      <c r="K265" s="25">
        <v>180.0</v>
      </c>
      <c r="L265" s="47"/>
      <c r="M265" s="12"/>
    </row>
    <row r="266" ht="13.5" customHeight="1">
      <c r="A266" s="35" t="s">
        <v>41</v>
      </c>
      <c r="B266" s="27"/>
      <c r="C266" s="27"/>
      <c r="D266" s="21">
        <v>180.0</v>
      </c>
      <c r="E266" s="21"/>
      <c r="F266" s="21">
        <v>400.0</v>
      </c>
      <c r="G266" s="21"/>
      <c r="H266" s="21">
        <v>3230.0</v>
      </c>
      <c r="I266" s="21"/>
      <c r="J266" s="21">
        <v>140.0</v>
      </c>
      <c r="K266" s="25">
        <f t="shared" ref="K266:K267" si="58">SUM(D266:J266)</f>
        <v>3950</v>
      </c>
    </row>
    <row r="267" ht="13.5" customHeight="1">
      <c r="A267" s="40" t="s">
        <v>7</v>
      </c>
      <c r="B267" s="40"/>
      <c r="C267" s="40"/>
      <c r="D267" s="10">
        <f t="shared" ref="D267:J267" si="57">SUM(D261:D266)</f>
        <v>1520</v>
      </c>
      <c r="E267" s="10">
        <f t="shared" si="57"/>
        <v>0</v>
      </c>
      <c r="F267" s="10">
        <f t="shared" si="57"/>
        <v>2880</v>
      </c>
      <c r="G267" s="10">
        <f t="shared" si="57"/>
        <v>0</v>
      </c>
      <c r="H267" s="10">
        <f t="shared" si="57"/>
        <v>11300</v>
      </c>
      <c r="I267" s="10">
        <f t="shared" si="57"/>
        <v>0</v>
      </c>
      <c r="J267" s="10">
        <f t="shared" si="57"/>
        <v>590</v>
      </c>
      <c r="K267" s="25">
        <f t="shared" si="58"/>
        <v>16290</v>
      </c>
    </row>
    <row r="268" ht="13.5" customHeight="1">
      <c r="A268" s="48"/>
    </row>
    <row r="269" ht="13.5" customHeight="1">
      <c r="A269" s="48" t="s">
        <v>231</v>
      </c>
    </row>
    <row r="270" ht="13.5" customHeight="1">
      <c r="A270" s="14" t="s">
        <v>25</v>
      </c>
      <c r="B270" s="14" t="s">
        <v>1</v>
      </c>
      <c r="C270" s="14" t="s">
        <v>27</v>
      </c>
      <c r="D270" s="15" t="s">
        <v>2</v>
      </c>
      <c r="E270" s="16" t="s">
        <v>28</v>
      </c>
      <c r="F270" s="16" t="s">
        <v>3</v>
      </c>
      <c r="G270" s="14" t="s">
        <v>4</v>
      </c>
      <c r="H270" s="15" t="s">
        <v>5</v>
      </c>
      <c r="I270" s="15" t="s">
        <v>29</v>
      </c>
      <c r="J270" s="14" t="s">
        <v>30</v>
      </c>
      <c r="K270" s="17" t="s">
        <v>7</v>
      </c>
    </row>
    <row r="271" ht="13.5" customHeight="1">
      <c r="A271" s="18" t="s">
        <v>31</v>
      </c>
      <c r="B271" s="19" t="s">
        <v>212</v>
      </c>
      <c r="C271" s="20" t="s">
        <v>33</v>
      </c>
      <c r="D271" s="21">
        <v>300.0</v>
      </c>
      <c r="E271" s="36"/>
      <c r="F271" s="36">
        <v>850.0</v>
      </c>
      <c r="G271" s="32"/>
      <c r="H271" s="21">
        <v>880.0</v>
      </c>
      <c r="I271" s="21"/>
      <c r="J271" s="24">
        <v>90.0</v>
      </c>
      <c r="K271" s="25">
        <f t="shared" ref="K271:K281" si="59">SUM(D271:J271)</f>
        <v>2120</v>
      </c>
    </row>
    <row r="272" ht="13.5" customHeight="1">
      <c r="A272" s="26" t="s">
        <v>34</v>
      </c>
      <c r="B272" s="27"/>
      <c r="C272" s="28"/>
      <c r="D272" s="21">
        <v>470.0</v>
      </c>
      <c r="E272" s="36"/>
      <c r="F272" s="36">
        <v>800.0</v>
      </c>
      <c r="G272" s="22"/>
      <c r="H272" s="21">
        <v>850.0</v>
      </c>
      <c r="I272" s="21"/>
      <c r="J272" s="29">
        <v>80.0</v>
      </c>
      <c r="K272" s="25">
        <f t="shared" si="59"/>
        <v>2200</v>
      </c>
    </row>
    <row r="273" ht="13.5" customHeight="1">
      <c r="A273" s="18" t="s">
        <v>35</v>
      </c>
      <c r="B273" s="30">
        <v>2.0</v>
      </c>
      <c r="C273" s="31" t="s">
        <v>36</v>
      </c>
      <c r="D273" s="21">
        <v>120.0</v>
      </c>
      <c r="E273" s="36"/>
      <c r="F273" s="36">
        <v>240.0</v>
      </c>
      <c r="G273" s="32"/>
      <c r="H273" s="21">
        <v>1790.0</v>
      </c>
      <c r="I273" s="21"/>
      <c r="J273" s="24">
        <v>50.0</v>
      </c>
      <c r="K273" s="25">
        <f t="shared" si="59"/>
        <v>2200</v>
      </c>
    </row>
    <row r="274" ht="13.5" customHeight="1">
      <c r="A274" s="26" t="s">
        <v>37</v>
      </c>
      <c r="B274" s="33"/>
      <c r="C274" s="34"/>
      <c r="D274" s="21">
        <v>90.0</v>
      </c>
      <c r="E274" s="36"/>
      <c r="F274" s="36">
        <v>200.0</v>
      </c>
      <c r="G274" s="22"/>
      <c r="H274" s="21">
        <v>1790.0</v>
      </c>
      <c r="I274" s="21"/>
      <c r="J274" s="29">
        <v>60.0</v>
      </c>
      <c r="K274" s="25">
        <f t="shared" si="59"/>
        <v>2140</v>
      </c>
    </row>
    <row r="275" ht="15.0" customHeight="1">
      <c r="A275" s="18" t="s">
        <v>38</v>
      </c>
      <c r="B275" s="19" t="s">
        <v>39</v>
      </c>
      <c r="C275" s="19" t="s">
        <v>40</v>
      </c>
      <c r="D275" s="21">
        <v>160.0</v>
      </c>
      <c r="E275" s="41"/>
      <c r="F275" s="41">
        <v>420.0</v>
      </c>
      <c r="G275" s="32"/>
      <c r="H275" s="21">
        <v>3200.0</v>
      </c>
      <c r="I275" s="21"/>
      <c r="J275" s="24">
        <v>110.0</v>
      </c>
      <c r="K275" s="25">
        <f t="shared" si="59"/>
        <v>3890</v>
      </c>
    </row>
    <row r="276" ht="13.5" customHeight="1">
      <c r="A276" s="35" t="s">
        <v>41</v>
      </c>
      <c r="B276" s="27"/>
      <c r="C276" s="27"/>
      <c r="D276" s="21">
        <v>180.0</v>
      </c>
      <c r="E276" s="36"/>
      <c r="F276" s="37">
        <v>410.0</v>
      </c>
      <c r="G276" s="38"/>
      <c r="H276" s="21">
        <v>2910.0</v>
      </c>
      <c r="I276" s="21"/>
      <c r="J276" s="39">
        <v>130.0</v>
      </c>
      <c r="K276" s="25">
        <f t="shared" si="59"/>
        <v>3630</v>
      </c>
    </row>
    <row r="277" ht="13.5" customHeight="1">
      <c r="A277" s="54" t="s">
        <v>100</v>
      </c>
      <c r="B277" s="55"/>
      <c r="C277" s="55"/>
      <c r="D277" s="21"/>
      <c r="E277" s="36"/>
      <c r="F277" s="36"/>
      <c r="G277" s="21"/>
      <c r="H277" s="21"/>
      <c r="I277" s="21"/>
      <c r="J277" s="56"/>
      <c r="K277" s="25">
        <f t="shared" si="59"/>
        <v>0</v>
      </c>
    </row>
    <row r="278" ht="13.5" customHeight="1">
      <c r="A278" s="26" t="s">
        <v>101</v>
      </c>
      <c r="B278" s="7"/>
      <c r="C278" s="7"/>
      <c r="D278" s="21"/>
      <c r="E278" s="36"/>
      <c r="F278" s="37"/>
      <c r="G278" s="22"/>
      <c r="H278" s="21"/>
      <c r="I278" s="29"/>
      <c r="J278" s="29"/>
      <c r="K278" s="25">
        <f t="shared" si="59"/>
        <v>0</v>
      </c>
    </row>
    <row r="279" ht="13.5" customHeight="1">
      <c r="A279" s="18" t="s">
        <v>102</v>
      </c>
      <c r="B279" s="57"/>
      <c r="C279" s="57"/>
      <c r="D279" s="21"/>
      <c r="E279" s="36"/>
      <c r="F279" s="41"/>
      <c r="G279" s="58"/>
      <c r="H279" s="21"/>
      <c r="I279" s="23"/>
      <c r="J279" s="59"/>
      <c r="K279" s="25">
        <f t="shared" si="59"/>
        <v>0</v>
      </c>
    </row>
    <row r="280" ht="13.5" customHeight="1">
      <c r="A280" s="35" t="s">
        <v>103</v>
      </c>
      <c r="B280" s="27"/>
      <c r="C280" s="27"/>
      <c r="D280" s="21"/>
      <c r="E280" s="36"/>
      <c r="F280" s="37"/>
      <c r="G280" s="60"/>
      <c r="H280" s="21"/>
      <c r="I280" s="29"/>
      <c r="J280" s="61"/>
      <c r="K280" s="25">
        <f t="shared" si="59"/>
        <v>0</v>
      </c>
    </row>
    <row r="281" ht="13.5" customHeight="1">
      <c r="A281" s="40" t="s">
        <v>7</v>
      </c>
      <c r="B281" s="40"/>
      <c r="C281" s="40"/>
      <c r="D281" s="10">
        <f t="shared" ref="D281:J281" si="60">SUM(D271:D280)</f>
        <v>1320</v>
      </c>
      <c r="E281" s="10">
        <f t="shared" si="60"/>
        <v>0</v>
      </c>
      <c r="F281" s="10">
        <f t="shared" si="60"/>
        <v>2920</v>
      </c>
      <c r="G281" s="10">
        <f t="shared" si="60"/>
        <v>0</v>
      </c>
      <c r="H281" s="10">
        <f t="shared" si="60"/>
        <v>11420</v>
      </c>
      <c r="I281" s="10">
        <f t="shared" si="60"/>
        <v>0</v>
      </c>
      <c r="J281" s="10">
        <f t="shared" si="60"/>
        <v>520</v>
      </c>
      <c r="K281" s="25">
        <f t="shared" si="59"/>
        <v>16180</v>
      </c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ht="13.5" customHeight="1">
      <c r="A283" s="48" t="s">
        <v>232</v>
      </c>
    </row>
    <row r="284" ht="13.5" customHeight="1">
      <c r="A284" s="14" t="s">
        <v>25</v>
      </c>
      <c r="B284" s="14" t="s">
        <v>1</v>
      </c>
      <c r="C284" s="14" t="s">
        <v>27</v>
      </c>
      <c r="D284" s="15" t="s">
        <v>2</v>
      </c>
      <c r="E284" s="16" t="s">
        <v>28</v>
      </c>
      <c r="F284" s="16" t="s">
        <v>3</v>
      </c>
      <c r="G284" s="14" t="s">
        <v>4</v>
      </c>
      <c r="H284" s="15" t="s">
        <v>5</v>
      </c>
      <c r="I284" s="15" t="s">
        <v>29</v>
      </c>
      <c r="J284" s="14" t="s">
        <v>30</v>
      </c>
      <c r="K284" s="17" t="s">
        <v>7</v>
      </c>
    </row>
    <row r="285" ht="13.5" customHeight="1">
      <c r="A285" s="18" t="s">
        <v>31</v>
      </c>
      <c r="B285" s="19" t="s">
        <v>212</v>
      </c>
      <c r="C285" s="20" t="s">
        <v>33</v>
      </c>
      <c r="D285" s="21">
        <v>500.0</v>
      </c>
      <c r="E285" s="36"/>
      <c r="F285" s="36">
        <v>810.0</v>
      </c>
      <c r="G285" s="32"/>
      <c r="H285" s="21">
        <v>970.0</v>
      </c>
      <c r="I285" s="21"/>
      <c r="J285" s="24">
        <v>90.0</v>
      </c>
      <c r="K285" s="25">
        <f t="shared" ref="K285:K295" si="61">SUM(D285:J285)</f>
        <v>2370</v>
      </c>
    </row>
    <row r="286" ht="13.5" customHeight="1">
      <c r="A286" s="26" t="s">
        <v>34</v>
      </c>
      <c r="B286" s="27"/>
      <c r="C286" s="28"/>
      <c r="D286" s="21">
        <v>90.0</v>
      </c>
      <c r="E286" s="36"/>
      <c r="F286" s="36">
        <v>200.0</v>
      </c>
      <c r="G286" s="22"/>
      <c r="H286" s="21">
        <v>1530.0</v>
      </c>
      <c r="I286" s="21"/>
      <c r="J286" s="29">
        <v>70.0</v>
      </c>
      <c r="K286" s="25">
        <f t="shared" si="61"/>
        <v>1890</v>
      </c>
    </row>
    <row r="287" ht="13.5" customHeight="1">
      <c r="A287" s="18" t="s">
        <v>35</v>
      </c>
      <c r="B287" s="30">
        <v>2.0</v>
      </c>
      <c r="C287" s="31" t="s">
        <v>36</v>
      </c>
      <c r="D287" s="21">
        <v>420.0</v>
      </c>
      <c r="E287" s="36"/>
      <c r="F287" s="36">
        <v>950.0</v>
      </c>
      <c r="G287" s="32"/>
      <c r="H287" s="21">
        <v>750.0</v>
      </c>
      <c r="I287" s="21"/>
      <c r="J287" s="24">
        <v>80.0</v>
      </c>
      <c r="K287" s="25">
        <f t="shared" si="61"/>
        <v>2200</v>
      </c>
    </row>
    <row r="288" ht="13.5" customHeight="1">
      <c r="A288" s="26" t="s">
        <v>37</v>
      </c>
      <c r="B288" s="33"/>
      <c r="C288" s="34"/>
      <c r="D288" s="21">
        <v>120.0</v>
      </c>
      <c r="E288" s="36"/>
      <c r="F288" s="36">
        <v>200.0</v>
      </c>
      <c r="G288" s="22"/>
      <c r="H288" s="21">
        <v>1710.0</v>
      </c>
      <c r="I288" s="21"/>
      <c r="J288" s="29">
        <v>90.0</v>
      </c>
      <c r="K288" s="25">
        <f t="shared" si="61"/>
        <v>2120</v>
      </c>
    </row>
    <row r="289" ht="15.0" customHeight="1">
      <c r="A289" s="18" t="s">
        <v>38</v>
      </c>
      <c r="B289" s="19" t="s">
        <v>39</v>
      </c>
      <c r="C289" s="19" t="s">
        <v>40</v>
      </c>
      <c r="D289" s="21">
        <v>200.0</v>
      </c>
      <c r="E289" s="41"/>
      <c r="F289" s="41">
        <v>500.0</v>
      </c>
      <c r="G289" s="32"/>
      <c r="H289" s="21">
        <v>3240.0</v>
      </c>
      <c r="I289" s="21"/>
      <c r="J289" s="24">
        <v>160.0</v>
      </c>
      <c r="K289" s="25">
        <f t="shared" si="61"/>
        <v>4100</v>
      </c>
    </row>
    <row r="290" ht="13.5" customHeight="1">
      <c r="A290" s="35" t="s">
        <v>41</v>
      </c>
      <c r="B290" s="27"/>
      <c r="C290" s="27"/>
      <c r="D290" s="21">
        <v>170.0</v>
      </c>
      <c r="E290" s="36"/>
      <c r="F290" s="37">
        <v>530.0</v>
      </c>
      <c r="G290" s="38"/>
      <c r="H290" s="21">
        <v>3220.0</v>
      </c>
      <c r="I290" s="21"/>
      <c r="J290" s="39">
        <v>140.0</v>
      </c>
      <c r="K290" s="25">
        <f t="shared" si="61"/>
        <v>4060</v>
      </c>
    </row>
    <row r="291" ht="13.5" customHeight="1">
      <c r="A291" s="54" t="s">
        <v>100</v>
      </c>
      <c r="B291" s="55"/>
      <c r="C291" s="55"/>
      <c r="D291" s="21"/>
      <c r="E291" s="36"/>
      <c r="F291" s="36"/>
      <c r="G291" s="21"/>
      <c r="H291" s="21"/>
      <c r="I291" s="21"/>
      <c r="J291" s="56"/>
      <c r="K291" s="25">
        <f t="shared" si="61"/>
        <v>0</v>
      </c>
    </row>
    <row r="292" ht="13.5" customHeight="1">
      <c r="A292" s="26" t="s">
        <v>101</v>
      </c>
      <c r="B292" s="7"/>
      <c r="C292" s="7"/>
      <c r="D292" s="21"/>
      <c r="E292" s="36"/>
      <c r="F292" s="37"/>
      <c r="G292" s="22"/>
      <c r="H292" s="21"/>
      <c r="I292" s="29"/>
      <c r="J292" s="29"/>
      <c r="K292" s="25">
        <f t="shared" si="61"/>
        <v>0</v>
      </c>
    </row>
    <row r="293" ht="13.5" customHeight="1">
      <c r="A293" s="18" t="s">
        <v>102</v>
      </c>
      <c r="B293" s="57"/>
      <c r="C293" s="57"/>
      <c r="D293" s="21"/>
      <c r="E293" s="36"/>
      <c r="F293" s="41"/>
      <c r="G293" s="58"/>
      <c r="H293" s="21"/>
      <c r="I293" s="23"/>
      <c r="J293" s="59"/>
      <c r="K293" s="25">
        <f t="shared" si="61"/>
        <v>0</v>
      </c>
    </row>
    <row r="294" ht="13.5" customHeight="1">
      <c r="A294" s="35" t="s">
        <v>103</v>
      </c>
      <c r="B294" s="27"/>
      <c r="C294" s="27"/>
      <c r="D294" s="21"/>
      <c r="E294" s="36"/>
      <c r="F294" s="37"/>
      <c r="G294" s="60"/>
      <c r="H294" s="21"/>
      <c r="I294" s="29"/>
      <c r="J294" s="61"/>
      <c r="K294" s="25">
        <f t="shared" si="61"/>
        <v>0</v>
      </c>
    </row>
    <row r="295" ht="13.5" customHeight="1">
      <c r="A295" s="40" t="s">
        <v>7</v>
      </c>
      <c r="B295" s="40"/>
      <c r="C295" s="40"/>
      <c r="D295" s="10">
        <f t="shared" ref="D295:J295" si="62">SUM(D285:D294)</f>
        <v>1500</v>
      </c>
      <c r="E295" s="10">
        <f t="shared" si="62"/>
        <v>0</v>
      </c>
      <c r="F295" s="10">
        <f t="shared" si="62"/>
        <v>3190</v>
      </c>
      <c r="G295" s="10">
        <f t="shared" si="62"/>
        <v>0</v>
      </c>
      <c r="H295" s="10">
        <f t="shared" si="62"/>
        <v>11420</v>
      </c>
      <c r="I295" s="10">
        <f t="shared" si="62"/>
        <v>0</v>
      </c>
      <c r="J295" s="10">
        <f t="shared" si="62"/>
        <v>630</v>
      </c>
      <c r="K295" s="25">
        <f t="shared" si="61"/>
        <v>16740</v>
      </c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ht="13.5" customHeight="1">
      <c r="A297" s="48" t="s">
        <v>196</v>
      </c>
    </row>
    <row r="298" ht="13.5" customHeight="1">
      <c r="A298" s="14" t="s">
        <v>25</v>
      </c>
      <c r="B298" s="14" t="s">
        <v>1</v>
      </c>
      <c r="C298" s="14" t="s">
        <v>27</v>
      </c>
      <c r="D298" s="15" t="s">
        <v>2</v>
      </c>
      <c r="E298" s="16" t="s">
        <v>28</v>
      </c>
      <c r="F298" s="16" t="s">
        <v>3</v>
      </c>
      <c r="G298" s="14" t="s">
        <v>4</v>
      </c>
      <c r="H298" s="15" t="s">
        <v>5</v>
      </c>
      <c r="I298" s="15" t="s">
        <v>29</v>
      </c>
      <c r="J298" s="14" t="s">
        <v>30</v>
      </c>
      <c r="K298" s="17" t="s">
        <v>7</v>
      </c>
    </row>
    <row r="299" ht="13.5" customHeight="1">
      <c r="A299" s="18" t="s">
        <v>31</v>
      </c>
      <c r="B299" s="19" t="s">
        <v>172</v>
      </c>
      <c r="C299" s="20" t="s">
        <v>33</v>
      </c>
      <c r="D299" s="21"/>
      <c r="E299" s="36"/>
      <c r="F299" s="36"/>
      <c r="G299" s="32"/>
      <c r="H299" s="21"/>
      <c r="I299" s="21"/>
      <c r="J299" s="24"/>
      <c r="K299" s="25">
        <f t="shared" ref="K299:K309" si="63">SUM(D299:J299)</f>
        <v>0</v>
      </c>
    </row>
    <row r="300" ht="13.5" customHeight="1">
      <c r="A300" s="26" t="s">
        <v>34</v>
      </c>
      <c r="B300" s="27"/>
      <c r="C300" s="28"/>
      <c r="D300" s="21"/>
      <c r="E300" s="36"/>
      <c r="F300" s="36"/>
      <c r="G300" s="22"/>
      <c r="H300" s="21"/>
      <c r="I300" s="21"/>
      <c r="J300" s="29"/>
      <c r="K300" s="25">
        <f t="shared" si="63"/>
        <v>0</v>
      </c>
    </row>
    <row r="301" ht="13.5" customHeight="1">
      <c r="A301" s="18" t="s">
        <v>35</v>
      </c>
      <c r="B301" s="30">
        <v>2.0</v>
      </c>
      <c r="C301" s="31" t="s">
        <v>36</v>
      </c>
      <c r="D301" s="21"/>
      <c r="E301" s="36"/>
      <c r="F301" s="36"/>
      <c r="G301" s="32"/>
      <c r="H301" s="21"/>
      <c r="I301" s="21"/>
      <c r="J301" s="24"/>
      <c r="K301" s="25">
        <f t="shared" si="63"/>
        <v>0</v>
      </c>
    </row>
    <row r="302" ht="13.5" customHeight="1">
      <c r="A302" s="26" t="s">
        <v>37</v>
      </c>
      <c r="B302" s="33"/>
      <c r="C302" s="34"/>
      <c r="D302" s="21"/>
      <c r="E302" s="36"/>
      <c r="F302" s="36"/>
      <c r="G302" s="22"/>
      <c r="H302" s="21"/>
      <c r="I302" s="21"/>
      <c r="J302" s="29"/>
      <c r="K302" s="25">
        <f t="shared" si="63"/>
        <v>0</v>
      </c>
    </row>
    <row r="303" ht="15.0" customHeight="1">
      <c r="A303" s="18" t="s">
        <v>38</v>
      </c>
      <c r="B303" s="19" t="s">
        <v>39</v>
      </c>
      <c r="C303" s="19" t="s">
        <v>40</v>
      </c>
      <c r="D303" s="21"/>
      <c r="E303" s="41"/>
      <c r="F303" s="41"/>
      <c r="G303" s="32"/>
      <c r="H303" s="21"/>
      <c r="I303" s="21"/>
      <c r="J303" s="24"/>
      <c r="K303" s="25">
        <f t="shared" si="63"/>
        <v>0</v>
      </c>
    </row>
    <row r="304" ht="13.5" customHeight="1">
      <c r="A304" s="35" t="s">
        <v>41</v>
      </c>
      <c r="B304" s="27"/>
      <c r="C304" s="27"/>
      <c r="D304" s="21"/>
      <c r="E304" s="36"/>
      <c r="F304" s="37"/>
      <c r="G304" s="38"/>
      <c r="H304" s="21"/>
      <c r="I304" s="21"/>
      <c r="J304" s="39"/>
      <c r="K304" s="25">
        <f t="shared" si="63"/>
        <v>0</v>
      </c>
    </row>
    <row r="305" ht="13.5" customHeight="1">
      <c r="A305" s="54" t="s">
        <v>100</v>
      </c>
      <c r="B305" s="55"/>
      <c r="C305" s="55"/>
      <c r="D305" s="21"/>
      <c r="E305" s="36"/>
      <c r="F305" s="36"/>
      <c r="G305" s="21"/>
      <c r="H305" s="21"/>
      <c r="I305" s="21"/>
      <c r="J305" s="56"/>
      <c r="K305" s="25">
        <f t="shared" si="63"/>
        <v>0</v>
      </c>
    </row>
    <row r="306" ht="13.5" customHeight="1">
      <c r="A306" s="26" t="s">
        <v>101</v>
      </c>
      <c r="B306" s="7"/>
      <c r="C306" s="7"/>
      <c r="D306" s="21"/>
      <c r="E306" s="36"/>
      <c r="F306" s="37"/>
      <c r="G306" s="22"/>
      <c r="H306" s="21"/>
      <c r="I306" s="29"/>
      <c r="J306" s="29"/>
      <c r="K306" s="25">
        <f t="shared" si="63"/>
        <v>0</v>
      </c>
    </row>
    <row r="307" ht="13.5" customHeight="1">
      <c r="A307" s="18" t="s">
        <v>102</v>
      </c>
      <c r="B307" s="57"/>
      <c r="C307" s="57"/>
      <c r="D307" s="21"/>
      <c r="E307" s="36"/>
      <c r="F307" s="41"/>
      <c r="G307" s="58"/>
      <c r="H307" s="21"/>
      <c r="I307" s="23"/>
      <c r="J307" s="59"/>
      <c r="K307" s="25">
        <f t="shared" si="63"/>
        <v>0</v>
      </c>
    </row>
    <row r="308" ht="13.5" customHeight="1">
      <c r="A308" s="35" t="s">
        <v>103</v>
      </c>
      <c r="B308" s="27"/>
      <c r="C308" s="27"/>
      <c r="D308" s="21"/>
      <c r="E308" s="36"/>
      <c r="F308" s="37"/>
      <c r="G308" s="60"/>
      <c r="H308" s="21"/>
      <c r="I308" s="29"/>
      <c r="J308" s="61"/>
      <c r="K308" s="25">
        <f t="shared" si="63"/>
        <v>0</v>
      </c>
    </row>
    <row r="309" ht="13.5" customHeight="1">
      <c r="A309" s="40" t="s">
        <v>7</v>
      </c>
      <c r="B309" s="40"/>
      <c r="C309" s="40"/>
      <c r="D309" s="10">
        <f t="shared" ref="D309:J309" si="64">SUM(D299:D308)</f>
        <v>0</v>
      </c>
      <c r="E309" s="10">
        <f t="shared" si="64"/>
        <v>0</v>
      </c>
      <c r="F309" s="10">
        <f t="shared" si="64"/>
        <v>0</v>
      </c>
      <c r="G309" s="10">
        <f t="shared" si="64"/>
        <v>0</v>
      </c>
      <c r="H309" s="10">
        <f t="shared" si="64"/>
        <v>0</v>
      </c>
      <c r="I309" s="10">
        <f t="shared" si="64"/>
        <v>0</v>
      </c>
      <c r="J309" s="10">
        <f t="shared" si="64"/>
        <v>0</v>
      </c>
      <c r="K309" s="25">
        <f t="shared" si="63"/>
        <v>0</v>
      </c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ht="13.5" customHeight="1">
      <c r="A312" s="64" t="s">
        <v>233</v>
      </c>
      <c r="B312" s="65"/>
      <c r="C312" s="65"/>
      <c r="D312" s="5"/>
      <c r="E312" s="10"/>
      <c r="F312" s="10"/>
      <c r="G312" s="10"/>
      <c r="H312" s="10"/>
      <c r="I312" s="10"/>
      <c r="J312" s="10"/>
      <c r="K312" s="10"/>
    </row>
    <row r="313" ht="13.5" customHeight="1">
      <c r="A313" s="15" t="s">
        <v>25</v>
      </c>
      <c r="B313" s="15" t="s">
        <v>1</v>
      </c>
      <c r="C313" s="15" t="s">
        <v>27</v>
      </c>
      <c r="D313" s="15" t="s">
        <v>2</v>
      </c>
      <c r="E313" s="10" t="s">
        <v>28</v>
      </c>
      <c r="F313" s="16" t="s">
        <v>3</v>
      </c>
      <c r="G313" s="15" t="s">
        <v>4</v>
      </c>
      <c r="H313" s="15" t="s">
        <v>5</v>
      </c>
      <c r="I313" s="15" t="s">
        <v>29</v>
      </c>
      <c r="J313" s="15" t="s">
        <v>30</v>
      </c>
      <c r="K313" s="10" t="s">
        <v>7</v>
      </c>
    </row>
    <row r="314" ht="13.5" customHeight="1">
      <c r="A314" s="10" t="s">
        <v>31</v>
      </c>
      <c r="B314" s="19" t="s">
        <v>212</v>
      </c>
      <c r="C314" s="10" t="s">
        <v>33</v>
      </c>
      <c r="D314" s="21">
        <f t="shared" ref="D314:J314" si="65">D4+D14+D23+D32+D41+D50+D60+D70+D80+D91+D100+D110+D119+D128+D137+D146+D155+D164+D173+D182+D191+D201+D211+D221+D231+D241+D251+D261+D271+D285</f>
        <v>17570</v>
      </c>
      <c r="E314" s="21">
        <f t="shared" si="65"/>
        <v>420</v>
      </c>
      <c r="F314" s="21">
        <f t="shared" si="65"/>
        <v>25680</v>
      </c>
      <c r="G314" s="21">
        <f t="shared" si="65"/>
        <v>0</v>
      </c>
      <c r="H314" s="21">
        <f t="shared" si="65"/>
        <v>28910</v>
      </c>
      <c r="I314" s="21">
        <f t="shared" si="65"/>
        <v>0</v>
      </c>
      <c r="J314" s="21">
        <f t="shared" si="65"/>
        <v>4110</v>
      </c>
      <c r="K314" s="10">
        <f t="shared" ref="K314:K319" si="67">SUM(D314:J314)</f>
        <v>76690</v>
      </c>
    </row>
    <row r="315" ht="13.5" customHeight="1">
      <c r="A315" s="10" t="s">
        <v>34</v>
      </c>
      <c r="B315" s="27"/>
      <c r="C315" s="10"/>
      <c r="D315" s="21">
        <f t="shared" ref="D315:J315" si="66">D5+D15+D24+D33+D42+D51+D61+D71+D81+D92+D101+D111+D120+D129+D138+D147+D156+D165+D174+D183+D192+D202+D212+D222+D232+D242+D252+D262+D272+D286</f>
        <v>7860</v>
      </c>
      <c r="E315" s="21">
        <f t="shared" si="66"/>
        <v>0</v>
      </c>
      <c r="F315" s="21">
        <f t="shared" si="66"/>
        <v>13030</v>
      </c>
      <c r="G315" s="21">
        <f t="shared" si="66"/>
        <v>0</v>
      </c>
      <c r="H315" s="21">
        <f t="shared" si="66"/>
        <v>15370</v>
      </c>
      <c r="I315" s="21">
        <f t="shared" si="66"/>
        <v>0</v>
      </c>
      <c r="J315" s="21">
        <f t="shared" si="66"/>
        <v>1960</v>
      </c>
      <c r="K315" s="10">
        <f t="shared" si="67"/>
        <v>38220</v>
      </c>
    </row>
    <row r="316" ht="13.5" customHeight="1">
      <c r="A316" s="10" t="s">
        <v>35</v>
      </c>
      <c r="B316" s="67">
        <v>2.0</v>
      </c>
      <c r="C316" s="15" t="s">
        <v>36</v>
      </c>
      <c r="D316" s="21">
        <f t="shared" ref="D316:J316" si="68">D6+D16+D25+D34+D43+D52+D62+D72+D82+D93+D102+D112+D121+D130+D139+D148+D157+D166+D175+D184+D193+D203+D213+D223+D233+D243+D253+D263+D273+D287</f>
        <v>5310</v>
      </c>
      <c r="E316" s="21">
        <f t="shared" si="68"/>
        <v>360</v>
      </c>
      <c r="F316" s="21">
        <f t="shared" si="68"/>
        <v>8930</v>
      </c>
      <c r="G316" s="21">
        <f t="shared" si="68"/>
        <v>0</v>
      </c>
      <c r="H316" s="21">
        <f t="shared" si="68"/>
        <v>17380</v>
      </c>
      <c r="I316" s="21">
        <f t="shared" si="68"/>
        <v>0</v>
      </c>
      <c r="J316" s="21">
        <f t="shared" si="68"/>
        <v>1370</v>
      </c>
      <c r="K316" s="10">
        <f t="shared" si="67"/>
        <v>33350</v>
      </c>
    </row>
    <row r="317" ht="13.5" customHeight="1">
      <c r="A317" s="10" t="s">
        <v>37</v>
      </c>
      <c r="B317" s="67"/>
      <c r="C317" s="15"/>
      <c r="D317" s="21">
        <f t="shared" ref="D317:J317" si="69">D7+D17+D26+D35+D44+D53+D63+D73+D83+D94+D103+D113+D122+D131+D140+D149+D158+D167+D176+D185+D194+D204+D214+D224+D234+D244+D254+D264+D274+D288</f>
        <v>290</v>
      </c>
      <c r="E317" s="21">
        <f t="shared" si="69"/>
        <v>0</v>
      </c>
      <c r="F317" s="21">
        <f t="shared" si="69"/>
        <v>640</v>
      </c>
      <c r="G317" s="21">
        <f t="shared" si="69"/>
        <v>0</v>
      </c>
      <c r="H317" s="21">
        <f t="shared" si="69"/>
        <v>5070</v>
      </c>
      <c r="I317" s="21">
        <f t="shared" si="69"/>
        <v>0</v>
      </c>
      <c r="J317" s="21">
        <f t="shared" si="69"/>
        <v>230</v>
      </c>
      <c r="K317" s="10">
        <f t="shared" si="67"/>
        <v>6230</v>
      </c>
    </row>
    <row r="318" ht="15.0" customHeight="1">
      <c r="A318" s="10" t="s">
        <v>38</v>
      </c>
      <c r="B318" s="66" t="s">
        <v>39</v>
      </c>
      <c r="C318" s="66" t="s">
        <v>40</v>
      </c>
      <c r="D318" s="21">
        <f t="shared" ref="D318:J318" si="70">D8+D18+D27+D36+D45+D54+D64+D74+D84+D95+D104+D114+D123+D132+D141+D150+D159+D168+D177+D186+D195+D205+D215+D225+D235+D245+D255+D265+D275+D289</f>
        <v>8080</v>
      </c>
      <c r="E318" s="21">
        <f t="shared" si="70"/>
        <v>360</v>
      </c>
      <c r="F318" s="21">
        <f t="shared" si="70"/>
        <v>14620</v>
      </c>
      <c r="G318" s="21">
        <f t="shared" si="70"/>
        <v>0</v>
      </c>
      <c r="H318" s="21">
        <f t="shared" si="70"/>
        <v>140510</v>
      </c>
      <c r="I318" s="21">
        <f t="shared" si="70"/>
        <v>0</v>
      </c>
      <c r="J318" s="21">
        <f t="shared" si="70"/>
        <v>4350</v>
      </c>
      <c r="K318" s="10">
        <f t="shared" si="67"/>
        <v>167920</v>
      </c>
    </row>
    <row r="319" ht="13.5" customHeight="1">
      <c r="A319" s="10" t="s">
        <v>41</v>
      </c>
      <c r="B319" s="7"/>
      <c r="C319" s="7"/>
      <c r="D319" s="21">
        <f t="shared" ref="D319:J319" si="71">D9+D19+D28+D37+D46+D55+D65+D75+D85+D96+D105+D115+D124+D133+D142+D151+D160+D169+D178+D187+D196+D206+D216+D226+D236+D246+D256+D266+D276+D290</f>
        <v>8550</v>
      </c>
      <c r="E319" s="21">
        <f t="shared" si="71"/>
        <v>360</v>
      </c>
      <c r="F319" s="21">
        <f t="shared" si="71"/>
        <v>16800</v>
      </c>
      <c r="G319" s="21">
        <f t="shared" si="71"/>
        <v>0</v>
      </c>
      <c r="H319" s="21">
        <f t="shared" si="71"/>
        <v>146220</v>
      </c>
      <c r="I319" s="21">
        <f t="shared" si="71"/>
        <v>0</v>
      </c>
      <c r="J319" s="21">
        <f t="shared" si="71"/>
        <v>4570</v>
      </c>
      <c r="K319" s="10">
        <f t="shared" si="67"/>
        <v>176500</v>
      </c>
    </row>
    <row r="320" ht="13.5" customHeight="1">
      <c r="A320" s="10" t="s">
        <v>7</v>
      </c>
      <c r="B320" s="10"/>
      <c r="C320" s="10"/>
      <c r="D320" s="21">
        <f t="shared" ref="D320:K320" si="72">SUM(D314:D319)</f>
        <v>47660</v>
      </c>
      <c r="E320" s="21">
        <f t="shared" si="72"/>
        <v>1500</v>
      </c>
      <c r="F320" s="21">
        <f t="shared" si="72"/>
        <v>79700</v>
      </c>
      <c r="G320" s="21">
        <f t="shared" si="72"/>
        <v>0</v>
      </c>
      <c r="H320" s="21">
        <f t="shared" si="72"/>
        <v>353460</v>
      </c>
      <c r="I320" s="21">
        <f t="shared" si="72"/>
        <v>0</v>
      </c>
      <c r="J320" s="21">
        <f t="shared" si="72"/>
        <v>16590</v>
      </c>
      <c r="K320" s="21">
        <f t="shared" si="72"/>
        <v>498910</v>
      </c>
    </row>
    <row r="321" ht="13.5" customHeight="1">
      <c r="A321" s="10"/>
      <c r="B321" s="10"/>
      <c r="C321" s="10"/>
      <c r="D321" s="15" t="s">
        <v>2</v>
      </c>
      <c r="E321" s="10" t="s">
        <v>28</v>
      </c>
      <c r="F321" s="16" t="s">
        <v>3</v>
      </c>
      <c r="G321" s="15" t="s">
        <v>4</v>
      </c>
      <c r="H321" s="15" t="s">
        <v>5</v>
      </c>
      <c r="I321" s="15" t="s">
        <v>29</v>
      </c>
      <c r="J321" s="15" t="s">
        <v>30</v>
      </c>
      <c r="K321" s="10" t="s">
        <v>7</v>
      </c>
    </row>
    <row r="322" ht="13.5" customHeight="1">
      <c r="A322" s="10"/>
      <c r="B322" s="66" t="s">
        <v>234</v>
      </c>
      <c r="C322" s="10" t="s">
        <v>33</v>
      </c>
      <c r="D322" s="10">
        <f t="shared" ref="D322:K322" si="73">D314+D315</f>
        <v>25430</v>
      </c>
      <c r="E322" s="10">
        <f t="shared" si="73"/>
        <v>420</v>
      </c>
      <c r="F322" s="10">
        <f t="shared" si="73"/>
        <v>38710</v>
      </c>
      <c r="G322" s="10">
        <f t="shared" si="73"/>
        <v>0</v>
      </c>
      <c r="H322" s="10">
        <f t="shared" si="73"/>
        <v>44280</v>
      </c>
      <c r="I322" s="10">
        <f t="shared" si="73"/>
        <v>0</v>
      </c>
      <c r="J322" s="10">
        <f t="shared" si="73"/>
        <v>6070</v>
      </c>
      <c r="K322" s="10">
        <f t="shared" si="73"/>
        <v>114910</v>
      </c>
      <c r="L322" s="68"/>
    </row>
    <row r="323" ht="13.5" customHeight="1">
      <c r="A323" s="10" t="s">
        <v>7</v>
      </c>
      <c r="B323" s="7"/>
      <c r="C323" s="10"/>
      <c r="D323" s="10"/>
      <c r="E323" s="10"/>
      <c r="F323" s="10"/>
      <c r="G323" s="10"/>
      <c r="H323" s="10"/>
      <c r="I323" s="10"/>
      <c r="J323" s="10"/>
      <c r="K323" s="10"/>
    </row>
    <row r="324" ht="13.5" customHeight="1">
      <c r="A324" s="10"/>
      <c r="B324" s="67">
        <v>2.0</v>
      </c>
      <c r="C324" s="15" t="s">
        <v>36</v>
      </c>
      <c r="D324" s="10">
        <f t="shared" ref="D324:J324" si="74">D316+D317</f>
        <v>5600</v>
      </c>
      <c r="E324" s="10">
        <f t="shared" si="74"/>
        <v>360</v>
      </c>
      <c r="F324" s="10">
        <f t="shared" si="74"/>
        <v>9570</v>
      </c>
      <c r="G324" s="10">
        <f t="shared" si="74"/>
        <v>0</v>
      </c>
      <c r="H324" s="10">
        <f t="shared" si="74"/>
        <v>22450</v>
      </c>
      <c r="I324" s="10">
        <f t="shared" si="74"/>
        <v>0</v>
      </c>
      <c r="J324" s="10">
        <f t="shared" si="74"/>
        <v>1600</v>
      </c>
      <c r="K324" s="10">
        <f>SUM(D324:J324)</f>
        <v>39580</v>
      </c>
    </row>
    <row r="325" ht="13.5" customHeight="1">
      <c r="A325" s="10"/>
      <c r="B325" s="67"/>
      <c r="C325" s="15"/>
      <c r="D325" s="10"/>
      <c r="E325" s="10"/>
      <c r="F325" s="10"/>
      <c r="G325" s="10"/>
      <c r="H325" s="10"/>
      <c r="I325" s="10"/>
      <c r="J325" s="10"/>
      <c r="K325" s="10"/>
    </row>
    <row r="326" ht="14.25" customHeight="1">
      <c r="A326" s="10"/>
      <c r="B326" s="66" t="s">
        <v>39</v>
      </c>
      <c r="C326" s="66" t="s">
        <v>40</v>
      </c>
      <c r="D326" s="10">
        <f t="shared" ref="D326:J326" si="75">D318+D319</f>
        <v>16630</v>
      </c>
      <c r="E326" s="10">
        <f t="shared" si="75"/>
        <v>720</v>
      </c>
      <c r="F326" s="10">
        <f t="shared" si="75"/>
        <v>31420</v>
      </c>
      <c r="G326" s="10">
        <f t="shared" si="75"/>
        <v>0</v>
      </c>
      <c r="H326" s="10">
        <f t="shared" si="75"/>
        <v>286730</v>
      </c>
      <c r="I326" s="10">
        <f t="shared" si="75"/>
        <v>0</v>
      </c>
      <c r="J326" s="10">
        <f t="shared" si="75"/>
        <v>8920</v>
      </c>
      <c r="K326" s="10">
        <f>SUM(D326:J326)</f>
        <v>344420</v>
      </c>
    </row>
    <row r="327" ht="13.5" customHeight="1">
      <c r="A327" s="10"/>
      <c r="B327" s="7"/>
      <c r="C327" s="7"/>
      <c r="D327" s="10"/>
      <c r="E327" s="10"/>
      <c r="F327" s="10"/>
      <c r="G327" s="10"/>
      <c r="H327" s="10"/>
      <c r="I327" s="10"/>
      <c r="J327" s="10"/>
      <c r="K327" s="10"/>
    </row>
    <row r="328" ht="13.5" customHeight="1">
      <c r="A328" s="10"/>
      <c r="B328" s="10"/>
      <c r="C328" s="10"/>
      <c r="D328" s="10">
        <f t="shared" ref="D328:K328" si="76">SUM(D322:D327)</f>
        <v>47660</v>
      </c>
      <c r="E328" s="10">
        <f t="shared" si="76"/>
        <v>1500</v>
      </c>
      <c r="F328" s="10">
        <f t="shared" si="76"/>
        <v>79700</v>
      </c>
      <c r="G328" s="10">
        <f t="shared" si="76"/>
        <v>0</v>
      </c>
      <c r="H328" s="10">
        <f t="shared" si="76"/>
        <v>353460</v>
      </c>
      <c r="I328" s="10">
        <f t="shared" si="76"/>
        <v>0</v>
      </c>
      <c r="J328" s="10">
        <f t="shared" si="76"/>
        <v>16590</v>
      </c>
      <c r="K328" s="10">
        <f t="shared" si="76"/>
        <v>498910</v>
      </c>
    </row>
    <row r="329" ht="13.5" customHeight="1"/>
    <row r="330" ht="13.5" customHeight="1">
      <c r="D330" s="69"/>
    </row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3">
    <mergeCell ref="B104:B105"/>
    <mergeCell ref="C104:C105"/>
    <mergeCell ref="A108:D108"/>
    <mergeCell ref="B110:B111"/>
    <mergeCell ref="B114:B115"/>
    <mergeCell ref="C114:C115"/>
    <mergeCell ref="A117:D117"/>
    <mergeCell ref="B119:B120"/>
    <mergeCell ref="B123:B124"/>
    <mergeCell ref="C123:C124"/>
    <mergeCell ref="A126:D126"/>
    <mergeCell ref="B128:B129"/>
    <mergeCell ref="C132:C133"/>
    <mergeCell ref="A135:D135"/>
    <mergeCell ref="B132:B133"/>
    <mergeCell ref="B137:B138"/>
    <mergeCell ref="B141:B142"/>
    <mergeCell ref="C141:C142"/>
    <mergeCell ref="A144:D144"/>
    <mergeCell ref="B146:B147"/>
    <mergeCell ref="B150:B151"/>
    <mergeCell ref="C150:C151"/>
    <mergeCell ref="A153:D153"/>
    <mergeCell ref="B155:B156"/>
    <mergeCell ref="B159:B160"/>
    <mergeCell ref="C159:C160"/>
    <mergeCell ref="A162:D162"/>
    <mergeCell ref="B164:B165"/>
    <mergeCell ref="B168:B169"/>
    <mergeCell ref="C168:C169"/>
    <mergeCell ref="A171:D171"/>
    <mergeCell ref="B173:B174"/>
    <mergeCell ref="B177:B178"/>
    <mergeCell ref="C177:C178"/>
    <mergeCell ref="A180:D180"/>
    <mergeCell ref="B186:B187"/>
    <mergeCell ref="C186:C187"/>
    <mergeCell ref="A189:D189"/>
    <mergeCell ref="B191:B192"/>
    <mergeCell ref="B195:B196"/>
    <mergeCell ref="C195:C196"/>
    <mergeCell ref="A199:D199"/>
    <mergeCell ref="B201:B202"/>
    <mergeCell ref="B205:B206"/>
    <mergeCell ref="C205:C206"/>
    <mergeCell ref="A209:D209"/>
    <mergeCell ref="B211:B212"/>
    <mergeCell ref="C215:C216"/>
    <mergeCell ref="A219:D219"/>
    <mergeCell ref="B215:B216"/>
    <mergeCell ref="B221:B222"/>
    <mergeCell ref="B225:B226"/>
    <mergeCell ref="C225:C226"/>
    <mergeCell ref="A229:D229"/>
    <mergeCell ref="B231:B232"/>
    <mergeCell ref="B235:B236"/>
    <mergeCell ref="B255:B256"/>
    <mergeCell ref="C255:C256"/>
    <mergeCell ref="A259:D259"/>
    <mergeCell ref="B261:B262"/>
    <mergeCell ref="C265:C266"/>
    <mergeCell ref="A268:D268"/>
    <mergeCell ref="A269:D269"/>
    <mergeCell ref="C279:C280"/>
    <mergeCell ref="A283:D283"/>
    <mergeCell ref="B265:B266"/>
    <mergeCell ref="B271:B272"/>
    <mergeCell ref="B275:B276"/>
    <mergeCell ref="C275:C276"/>
    <mergeCell ref="B277:B278"/>
    <mergeCell ref="C277:C278"/>
    <mergeCell ref="B279:B280"/>
    <mergeCell ref="B285:B286"/>
    <mergeCell ref="B289:B290"/>
    <mergeCell ref="C289:C290"/>
    <mergeCell ref="B291:B292"/>
    <mergeCell ref="C291:C292"/>
    <mergeCell ref="C293:C294"/>
    <mergeCell ref="A297:D297"/>
    <mergeCell ref="C307:C308"/>
    <mergeCell ref="A312:D312"/>
    <mergeCell ref="B314:B315"/>
    <mergeCell ref="B318:B319"/>
    <mergeCell ref="C318:C319"/>
    <mergeCell ref="B322:B323"/>
    <mergeCell ref="B326:B327"/>
    <mergeCell ref="C326:C327"/>
    <mergeCell ref="B293:B294"/>
    <mergeCell ref="B299:B300"/>
    <mergeCell ref="B303:B304"/>
    <mergeCell ref="C303:C304"/>
    <mergeCell ref="B305:B306"/>
    <mergeCell ref="C305:C306"/>
    <mergeCell ref="B307:B308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9:D89"/>
    <mergeCell ref="B91:B92"/>
    <mergeCell ref="B95:B96"/>
    <mergeCell ref="C95:C96"/>
    <mergeCell ref="A98:D98"/>
    <mergeCell ref="B100:B101"/>
    <mergeCell ref="C235:C236"/>
    <mergeCell ref="A239:D239"/>
    <mergeCell ref="B241:B242"/>
    <mergeCell ref="B245:B246"/>
    <mergeCell ref="C245:C246"/>
    <mergeCell ref="A249:D249"/>
    <mergeCell ref="B251:B252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235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28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 t="s">
        <v>172</v>
      </c>
      <c r="C4" s="20" t="s">
        <v>33</v>
      </c>
      <c r="D4" s="21"/>
      <c r="E4" s="10"/>
      <c r="F4" s="10">
        <v>1060.0</v>
      </c>
      <c r="G4" s="22"/>
      <c r="H4" s="21">
        <v>880.0</v>
      </c>
      <c r="I4" s="23"/>
      <c r="J4" s="24">
        <v>100.0</v>
      </c>
      <c r="K4" s="25">
        <f t="shared" ref="K4:K10" si="1">SUM(D4:J4)</f>
        <v>2040</v>
      </c>
    </row>
    <row r="5" ht="15.0" customHeight="1">
      <c r="A5" s="26" t="s">
        <v>34</v>
      </c>
      <c r="B5" s="27"/>
      <c r="C5" s="28">
        <v>99.0</v>
      </c>
      <c r="D5" s="21"/>
      <c r="E5" s="10"/>
      <c r="F5" s="10">
        <v>950.0</v>
      </c>
      <c r="G5" s="22"/>
      <c r="H5" s="21">
        <v>930.0</v>
      </c>
      <c r="I5" s="29"/>
      <c r="J5" s="29">
        <v>80.0</v>
      </c>
      <c r="K5" s="25">
        <f t="shared" si="1"/>
        <v>1960</v>
      </c>
    </row>
    <row r="6" ht="13.5" customHeight="1">
      <c r="A6" s="18" t="s">
        <v>35</v>
      </c>
      <c r="B6" s="30">
        <v>2.0</v>
      </c>
      <c r="C6" s="31" t="s">
        <v>36</v>
      </c>
      <c r="D6" s="21"/>
      <c r="E6" s="10"/>
      <c r="F6" s="10"/>
      <c r="G6" s="32"/>
      <c r="H6" s="21"/>
      <c r="I6" s="22"/>
      <c r="J6" s="22"/>
      <c r="K6" s="25">
        <f t="shared" si="1"/>
        <v>0</v>
      </c>
    </row>
    <row r="7" ht="13.5" customHeight="1">
      <c r="A7" s="26" t="s">
        <v>37</v>
      </c>
      <c r="B7" s="33"/>
      <c r="C7" s="34">
        <v>106.0</v>
      </c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/>
      <c r="E8" s="10"/>
      <c r="F8" s="10">
        <v>660.0</v>
      </c>
      <c r="G8" s="22"/>
      <c r="H8" s="21">
        <v>5180.0</v>
      </c>
      <c r="I8" s="29"/>
      <c r="J8" s="29">
        <v>260.0</v>
      </c>
      <c r="K8" s="25">
        <f t="shared" si="1"/>
        <v>6100</v>
      </c>
    </row>
    <row r="9" ht="15.0" customHeight="1">
      <c r="A9" s="35" t="s">
        <v>41</v>
      </c>
      <c r="B9" s="27"/>
      <c r="C9" s="27"/>
      <c r="D9" s="21"/>
      <c r="E9" s="36"/>
      <c r="F9" s="37">
        <v>980.0</v>
      </c>
      <c r="G9" s="38"/>
      <c r="H9" s="21">
        <v>4970.0</v>
      </c>
      <c r="I9" s="29"/>
      <c r="J9" s="39">
        <v>210.0</v>
      </c>
      <c r="K9" s="25">
        <f t="shared" si="1"/>
        <v>6160</v>
      </c>
    </row>
    <row r="10" ht="13.5" customHeight="1">
      <c r="A10" s="40" t="s">
        <v>7</v>
      </c>
      <c r="B10" s="40"/>
      <c r="C10" s="40">
        <v>547.0</v>
      </c>
      <c r="D10" s="10">
        <f t="shared" ref="D10:J10" si="2">SUM(D4:D9)</f>
        <v>0</v>
      </c>
      <c r="E10" s="10">
        <f t="shared" si="2"/>
        <v>0</v>
      </c>
      <c r="F10" s="10">
        <f t="shared" si="2"/>
        <v>3650</v>
      </c>
      <c r="G10" s="10">
        <f t="shared" si="2"/>
        <v>0</v>
      </c>
      <c r="H10" s="10">
        <f t="shared" si="2"/>
        <v>11960</v>
      </c>
      <c r="I10" s="10">
        <f t="shared" si="2"/>
        <v>0</v>
      </c>
      <c r="J10" s="10">
        <f t="shared" si="2"/>
        <v>650</v>
      </c>
      <c r="K10" s="25">
        <f t="shared" si="1"/>
        <v>16260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236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 t="s">
        <v>172</v>
      </c>
      <c r="C14" s="20" t="s">
        <v>33</v>
      </c>
      <c r="D14" s="21">
        <v>500.0</v>
      </c>
      <c r="E14" s="10"/>
      <c r="F14" s="36">
        <v>890.0</v>
      </c>
      <c r="G14" s="32"/>
      <c r="H14" s="21">
        <v>820.0</v>
      </c>
      <c r="I14" s="23"/>
      <c r="J14" s="24">
        <v>110.0</v>
      </c>
      <c r="K14" s="25">
        <f t="shared" ref="K14:K20" si="3">SUM(D14:J14)</f>
        <v>2320</v>
      </c>
    </row>
    <row r="15" ht="13.5" customHeight="1">
      <c r="A15" s="26" t="s">
        <v>34</v>
      </c>
      <c r="B15" s="27"/>
      <c r="C15" s="28">
        <v>99.0</v>
      </c>
      <c r="D15" s="21">
        <v>530.0</v>
      </c>
      <c r="E15" s="10"/>
      <c r="F15" s="36">
        <v>830.0</v>
      </c>
      <c r="G15" s="22"/>
      <c r="H15" s="21">
        <v>850.0</v>
      </c>
      <c r="I15" s="29"/>
      <c r="J15" s="29">
        <v>100.0</v>
      </c>
      <c r="K15" s="25">
        <f t="shared" si="3"/>
        <v>2310</v>
      </c>
    </row>
    <row r="16" ht="13.5" customHeight="1">
      <c r="A16" s="18" t="s">
        <v>35</v>
      </c>
      <c r="B16" s="30">
        <v>2.0</v>
      </c>
      <c r="C16" s="31" t="s">
        <v>36</v>
      </c>
      <c r="D16" s="21"/>
      <c r="E16" s="10"/>
      <c r="F16" s="36"/>
      <c r="G16" s="32"/>
      <c r="H16" s="21"/>
      <c r="I16" s="23"/>
      <c r="J16" s="24"/>
      <c r="K16" s="25">
        <f t="shared" si="3"/>
        <v>0</v>
      </c>
    </row>
    <row r="17" ht="13.5" customHeight="1">
      <c r="A17" s="26" t="s">
        <v>37</v>
      </c>
      <c r="B17" s="33"/>
      <c r="C17" s="34">
        <v>106.0</v>
      </c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200.0</v>
      </c>
      <c r="E18" s="10"/>
      <c r="F18" s="41">
        <v>600.0</v>
      </c>
      <c r="G18" s="32"/>
      <c r="H18" s="21">
        <v>5290.0</v>
      </c>
      <c r="I18" s="23"/>
      <c r="J18" s="24">
        <v>180.0</v>
      </c>
      <c r="K18" s="25">
        <f t="shared" si="3"/>
        <v>6270</v>
      </c>
    </row>
    <row r="19" ht="13.5" customHeight="1">
      <c r="A19" s="35" t="s">
        <v>41</v>
      </c>
      <c r="B19" s="27"/>
      <c r="C19" s="27"/>
      <c r="D19" s="21">
        <v>310.0</v>
      </c>
      <c r="E19" s="36"/>
      <c r="F19" s="37">
        <v>920.0</v>
      </c>
      <c r="G19" s="38"/>
      <c r="H19" s="21">
        <v>4910.0</v>
      </c>
      <c r="I19" s="29"/>
      <c r="J19" s="39">
        <v>120.0</v>
      </c>
      <c r="K19" s="25">
        <f t="shared" si="3"/>
        <v>6260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1540</v>
      </c>
      <c r="E20" s="10">
        <f t="shared" si="4"/>
        <v>0</v>
      </c>
      <c r="F20" s="10">
        <f t="shared" si="4"/>
        <v>3240</v>
      </c>
      <c r="G20" s="10">
        <f t="shared" si="4"/>
        <v>0</v>
      </c>
      <c r="H20" s="10">
        <f t="shared" si="4"/>
        <v>11870</v>
      </c>
      <c r="I20" s="10">
        <f t="shared" si="4"/>
        <v>0</v>
      </c>
      <c r="J20" s="10">
        <f t="shared" si="4"/>
        <v>510</v>
      </c>
      <c r="K20" s="25">
        <f t="shared" si="3"/>
        <v>17160</v>
      </c>
    </row>
    <row r="21" ht="13.5" customHeight="1">
      <c r="A21" s="13" t="s">
        <v>237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 t="s">
        <v>172</v>
      </c>
      <c r="C23" s="20" t="s">
        <v>33</v>
      </c>
      <c r="D23" s="21">
        <v>430.0</v>
      </c>
      <c r="E23" s="10"/>
      <c r="F23" s="36">
        <v>800.0</v>
      </c>
      <c r="G23" s="32"/>
      <c r="H23" s="21">
        <v>1100.0</v>
      </c>
      <c r="I23" s="23"/>
      <c r="J23" s="24">
        <v>120.0</v>
      </c>
      <c r="K23" s="25">
        <f t="shared" ref="K23:K29" si="5">SUM(D23:J23)</f>
        <v>2450</v>
      </c>
    </row>
    <row r="24" ht="13.5" customHeight="1">
      <c r="A24" s="26" t="s">
        <v>34</v>
      </c>
      <c r="B24" s="27"/>
      <c r="C24" s="28">
        <v>99.0</v>
      </c>
      <c r="D24" s="21">
        <v>540.0</v>
      </c>
      <c r="E24" s="10"/>
      <c r="F24" s="36">
        <v>820.0</v>
      </c>
      <c r="G24" s="22"/>
      <c r="H24" s="21">
        <v>940.0</v>
      </c>
      <c r="I24" s="29"/>
      <c r="J24" s="29">
        <v>100.0</v>
      </c>
      <c r="K24" s="25">
        <f t="shared" si="5"/>
        <v>2400</v>
      </c>
    </row>
    <row r="25" ht="13.5" customHeight="1">
      <c r="A25" s="18" t="s">
        <v>35</v>
      </c>
      <c r="B25" s="30">
        <v>2.0</v>
      </c>
      <c r="C25" s="31" t="s">
        <v>36</v>
      </c>
      <c r="D25" s="21"/>
      <c r="E25" s="10"/>
      <c r="F25" s="41"/>
      <c r="G25" s="32"/>
      <c r="H25" s="21"/>
      <c r="I25" s="23"/>
      <c r="J25" s="24"/>
      <c r="K25" s="25">
        <f t="shared" si="5"/>
        <v>0</v>
      </c>
    </row>
    <row r="26" ht="13.5" customHeight="1">
      <c r="A26" s="26" t="s">
        <v>37</v>
      </c>
      <c r="B26" s="33"/>
      <c r="C26" s="34">
        <v>106.0</v>
      </c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280.0</v>
      </c>
      <c r="E27" s="10"/>
      <c r="F27" s="41">
        <v>740.0</v>
      </c>
      <c r="G27" s="32"/>
      <c r="H27" s="21">
        <v>4980.0</v>
      </c>
      <c r="I27" s="23"/>
      <c r="J27" s="24">
        <v>150.0</v>
      </c>
      <c r="K27" s="25">
        <f t="shared" si="5"/>
        <v>6150</v>
      </c>
    </row>
    <row r="28" ht="13.5" customHeight="1">
      <c r="A28" s="35" t="s">
        <v>41</v>
      </c>
      <c r="B28" s="27"/>
      <c r="C28" s="27"/>
      <c r="D28" s="21">
        <v>290.0</v>
      </c>
      <c r="E28" s="36"/>
      <c r="F28" s="37">
        <v>600.0</v>
      </c>
      <c r="G28" s="22"/>
      <c r="H28" s="21">
        <v>4950.0</v>
      </c>
      <c r="I28" s="29"/>
      <c r="J28" s="29">
        <v>160.0</v>
      </c>
      <c r="K28" s="25">
        <f t="shared" si="5"/>
        <v>6000</v>
      </c>
    </row>
    <row r="29" ht="13.5" customHeight="1">
      <c r="A29" s="40" t="s">
        <v>7</v>
      </c>
      <c r="B29" s="40"/>
      <c r="C29" s="40">
        <v>547.0</v>
      </c>
      <c r="D29" s="10">
        <f t="shared" ref="D29:J29" si="6">SUM(D23:D28)</f>
        <v>1540</v>
      </c>
      <c r="E29" s="10">
        <f t="shared" si="6"/>
        <v>0</v>
      </c>
      <c r="F29" s="10">
        <f t="shared" si="6"/>
        <v>2960</v>
      </c>
      <c r="G29" s="10">
        <f t="shared" si="6"/>
        <v>0</v>
      </c>
      <c r="H29" s="10">
        <f t="shared" si="6"/>
        <v>11970</v>
      </c>
      <c r="I29" s="10">
        <f t="shared" si="6"/>
        <v>0</v>
      </c>
      <c r="J29" s="10">
        <f t="shared" si="6"/>
        <v>530</v>
      </c>
      <c r="K29" s="25">
        <f t="shared" si="5"/>
        <v>17000</v>
      </c>
    </row>
    <row r="30" ht="13.5" customHeight="1">
      <c r="A30" s="13" t="s">
        <v>238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 t="s">
        <v>176</v>
      </c>
      <c r="C32" s="20" t="s">
        <v>33</v>
      </c>
      <c r="D32" s="21">
        <v>530.0</v>
      </c>
      <c r="E32" s="10"/>
      <c r="F32" s="36">
        <v>840.0</v>
      </c>
      <c r="G32" s="32"/>
      <c r="H32" s="21">
        <v>1020.0</v>
      </c>
      <c r="I32" s="23"/>
      <c r="J32" s="24">
        <v>170.0</v>
      </c>
      <c r="K32" s="25">
        <f t="shared" ref="K32:K37" si="7">SUM(D32:J32)</f>
        <v>2560</v>
      </c>
    </row>
    <row r="33" ht="13.5" customHeight="1">
      <c r="A33" s="26" t="s">
        <v>34</v>
      </c>
      <c r="B33" s="27"/>
      <c r="C33" s="28">
        <v>206.0</v>
      </c>
      <c r="D33" s="21">
        <v>450.0</v>
      </c>
      <c r="E33" s="10"/>
      <c r="F33" s="36">
        <v>570.0</v>
      </c>
      <c r="G33" s="22"/>
      <c r="H33" s="21">
        <v>480.0</v>
      </c>
      <c r="I33" s="21"/>
      <c r="J33" s="29">
        <v>70.0</v>
      </c>
      <c r="K33" s="25">
        <f t="shared" si="7"/>
        <v>1570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7"/>
        <v>0</v>
      </c>
    </row>
    <row r="35" ht="13.5" customHeight="1">
      <c r="A35" s="26" t="s">
        <v>37</v>
      </c>
      <c r="B35" s="33"/>
      <c r="C35" s="34">
        <v>106.0</v>
      </c>
      <c r="D35" s="21"/>
      <c r="E35" s="10"/>
      <c r="F35" s="36"/>
      <c r="G35" s="38"/>
      <c r="H35" s="21"/>
      <c r="I35" s="21"/>
      <c r="J35" s="29"/>
      <c r="K35" s="25">
        <f t="shared" si="7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290.0</v>
      </c>
      <c r="E36" s="10"/>
      <c r="F36" s="41">
        <v>630.0</v>
      </c>
      <c r="G36" s="32"/>
      <c r="H36" s="21">
        <v>5030.0</v>
      </c>
      <c r="I36" s="21"/>
      <c r="J36" s="24">
        <v>180.0</v>
      </c>
      <c r="K36" s="25">
        <f t="shared" si="7"/>
        <v>6130</v>
      </c>
    </row>
    <row r="37" ht="13.5" customHeight="1">
      <c r="A37" s="35" t="s">
        <v>41</v>
      </c>
      <c r="B37" s="27"/>
      <c r="C37" s="27"/>
      <c r="D37" s="21">
        <v>310.0</v>
      </c>
      <c r="E37" s="36"/>
      <c r="F37" s="37">
        <v>550.0</v>
      </c>
      <c r="G37" s="22"/>
      <c r="H37" s="21">
        <v>5200.0</v>
      </c>
      <c r="I37" s="29"/>
      <c r="J37" s="39">
        <v>220.0</v>
      </c>
      <c r="K37" s="25">
        <f t="shared" si="7"/>
        <v>6280</v>
      </c>
    </row>
    <row r="38" ht="13.5" customHeight="1">
      <c r="A38" s="40" t="s">
        <v>7</v>
      </c>
      <c r="B38" s="40"/>
      <c r="C38" s="40">
        <v>547.0</v>
      </c>
      <c r="D38" s="10">
        <f t="shared" ref="D38:K38" si="8">SUM(D32:D37)</f>
        <v>1580</v>
      </c>
      <c r="E38" s="10">
        <f t="shared" si="8"/>
        <v>0</v>
      </c>
      <c r="F38" s="10">
        <f t="shared" si="8"/>
        <v>2590</v>
      </c>
      <c r="G38" s="10">
        <f t="shared" si="8"/>
        <v>0</v>
      </c>
      <c r="H38" s="10">
        <f t="shared" si="8"/>
        <v>11730</v>
      </c>
      <c r="I38" s="10">
        <f t="shared" si="8"/>
        <v>0</v>
      </c>
      <c r="J38" s="10">
        <f t="shared" si="8"/>
        <v>640</v>
      </c>
      <c r="K38" s="10">
        <f t="shared" si="8"/>
        <v>16540</v>
      </c>
    </row>
    <row r="39" ht="13.5" customHeight="1">
      <c r="A39" s="42" t="s">
        <v>239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1.13</v>
      </c>
      <c r="C41" s="20" t="s">
        <v>33</v>
      </c>
      <c r="D41" s="21">
        <v>540.0</v>
      </c>
      <c r="E41" s="10"/>
      <c r="F41" s="36">
        <v>900.0</v>
      </c>
      <c r="G41" s="32"/>
      <c r="H41" s="21">
        <v>660.0</v>
      </c>
      <c r="I41" s="21"/>
      <c r="J41" s="24">
        <v>160.0</v>
      </c>
      <c r="K41" s="25">
        <f t="shared" ref="K41:K47" si="9">SUM(D41:J41)</f>
        <v>2260</v>
      </c>
    </row>
    <row r="42" ht="13.5" customHeight="1">
      <c r="A42" s="26" t="s">
        <v>34</v>
      </c>
      <c r="B42" s="27"/>
      <c r="C42" s="28"/>
      <c r="D42" s="21">
        <v>440.0</v>
      </c>
      <c r="E42" s="10"/>
      <c r="F42" s="36">
        <v>850.0</v>
      </c>
      <c r="G42" s="22"/>
      <c r="H42" s="21">
        <v>430.0</v>
      </c>
      <c r="I42" s="21"/>
      <c r="J42" s="29">
        <v>80.0</v>
      </c>
      <c r="K42" s="25">
        <f t="shared" si="9"/>
        <v>1800</v>
      </c>
    </row>
    <row r="43" ht="13.5" customHeight="1">
      <c r="A43" s="18" t="s">
        <v>35</v>
      </c>
      <c r="B43" s="30">
        <v>2.0</v>
      </c>
      <c r="C43" s="31" t="s">
        <v>36</v>
      </c>
      <c r="D43" s="21"/>
      <c r="E43" s="10"/>
      <c r="F43" s="36"/>
      <c r="G43" s="32"/>
      <c r="H43" s="21"/>
      <c r="I43" s="21"/>
      <c r="J43" s="24"/>
      <c r="K43" s="25">
        <f t="shared" si="9"/>
        <v>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9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290.0</v>
      </c>
      <c r="E45" s="10"/>
      <c r="F45" s="41">
        <v>600.0</v>
      </c>
      <c r="G45" s="32"/>
      <c r="H45" s="21">
        <v>5020.0</v>
      </c>
      <c r="I45" s="21"/>
      <c r="J45" s="24">
        <v>150.0</v>
      </c>
      <c r="K45" s="25">
        <f t="shared" si="9"/>
        <v>6060</v>
      </c>
    </row>
    <row r="46" ht="13.5" customHeight="1">
      <c r="A46" s="35" t="s">
        <v>41</v>
      </c>
      <c r="B46" s="27"/>
      <c r="C46" s="27"/>
      <c r="D46" s="21">
        <v>290.0</v>
      </c>
      <c r="E46" s="36"/>
      <c r="F46" s="37">
        <v>600.0</v>
      </c>
      <c r="G46" s="38"/>
      <c r="H46" s="21">
        <v>4820.0</v>
      </c>
      <c r="I46" s="21"/>
      <c r="J46" s="39">
        <v>220.0</v>
      </c>
      <c r="K46" s="25">
        <f t="shared" si="9"/>
        <v>5930</v>
      </c>
    </row>
    <row r="47" ht="13.5" customHeight="1">
      <c r="A47" s="40" t="s">
        <v>7</v>
      </c>
      <c r="B47" s="40"/>
      <c r="C47" s="40">
        <v>547.0</v>
      </c>
      <c r="D47" s="10">
        <f t="shared" ref="D47:J47" si="10">SUM(D41:D46)</f>
        <v>1560</v>
      </c>
      <c r="E47" s="10">
        <f t="shared" si="10"/>
        <v>0</v>
      </c>
      <c r="F47" s="10">
        <f t="shared" si="10"/>
        <v>2950</v>
      </c>
      <c r="G47" s="10">
        <f t="shared" si="10"/>
        <v>0</v>
      </c>
      <c r="H47" s="10">
        <f t="shared" si="10"/>
        <v>10930</v>
      </c>
      <c r="I47" s="10">
        <f t="shared" si="10"/>
        <v>0</v>
      </c>
      <c r="J47" s="10">
        <f t="shared" si="10"/>
        <v>610</v>
      </c>
      <c r="K47" s="25">
        <f t="shared" si="9"/>
        <v>16050</v>
      </c>
    </row>
    <row r="48" ht="13.5" customHeight="1">
      <c r="A48" s="13" t="s">
        <v>240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1.13</v>
      </c>
      <c r="C50" s="20" t="s">
        <v>33</v>
      </c>
      <c r="D50" s="21">
        <v>510.0</v>
      </c>
      <c r="E50" s="10"/>
      <c r="F50" s="36">
        <v>800.0</v>
      </c>
      <c r="G50" s="32"/>
      <c r="H50" s="21">
        <v>930.0</v>
      </c>
      <c r="I50" s="21"/>
      <c r="J50" s="24">
        <v>120.0</v>
      </c>
      <c r="K50" s="25">
        <f t="shared" ref="K50:K56" si="11">SUM(D50:J50)</f>
        <v>2360</v>
      </c>
    </row>
    <row r="51" ht="13.5" customHeight="1">
      <c r="A51" s="26" t="s">
        <v>34</v>
      </c>
      <c r="B51" s="27"/>
      <c r="C51" s="28">
        <v>206.0</v>
      </c>
      <c r="D51" s="21"/>
      <c r="E51" s="10"/>
      <c r="F51" s="36"/>
      <c r="G51" s="22"/>
      <c r="H51" s="21"/>
      <c r="I51" s="21"/>
      <c r="J51" s="29"/>
      <c r="K51" s="25">
        <f t="shared" si="11"/>
        <v>0</v>
      </c>
    </row>
    <row r="52" ht="13.5" customHeight="1">
      <c r="A52" s="18" t="s">
        <v>35</v>
      </c>
      <c r="B52" s="30">
        <v>2.0</v>
      </c>
      <c r="C52" s="31" t="s">
        <v>36</v>
      </c>
      <c r="D52" s="21"/>
      <c r="E52" s="10"/>
      <c r="F52" s="36"/>
      <c r="G52" s="38"/>
      <c r="H52" s="21"/>
      <c r="I52" s="21"/>
      <c r="J52" s="29"/>
      <c r="K52" s="25">
        <f t="shared" si="11"/>
        <v>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1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290.0</v>
      </c>
      <c r="E54" s="10"/>
      <c r="F54" s="41">
        <v>660.0</v>
      </c>
      <c r="G54" s="32"/>
      <c r="H54" s="21">
        <v>5170.0</v>
      </c>
      <c r="I54" s="21"/>
      <c r="J54" s="24">
        <v>180.0</v>
      </c>
      <c r="K54" s="25">
        <f t="shared" si="11"/>
        <v>6300</v>
      </c>
    </row>
    <row r="55" ht="13.5" customHeight="1">
      <c r="A55" s="35" t="s">
        <v>41</v>
      </c>
      <c r="B55" s="27"/>
      <c r="C55" s="27"/>
      <c r="D55" s="21"/>
      <c r="E55" s="36"/>
      <c r="F55" s="37"/>
      <c r="G55" s="38"/>
      <c r="H55" s="21"/>
      <c r="I55" s="21"/>
      <c r="J55" s="39"/>
      <c r="K55" s="25">
        <f t="shared" si="11"/>
        <v>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2">SUM(D50:D55)</f>
        <v>800</v>
      </c>
      <c r="E56" s="10">
        <f t="shared" si="12"/>
        <v>0</v>
      </c>
      <c r="F56" s="10">
        <f t="shared" si="12"/>
        <v>1460</v>
      </c>
      <c r="G56" s="10">
        <f t="shared" si="12"/>
        <v>0</v>
      </c>
      <c r="H56" s="10">
        <f t="shared" si="12"/>
        <v>6100</v>
      </c>
      <c r="I56" s="10">
        <f t="shared" si="12"/>
        <v>0</v>
      </c>
      <c r="J56" s="10">
        <f t="shared" si="12"/>
        <v>300</v>
      </c>
      <c r="K56" s="25">
        <f t="shared" si="11"/>
        <v>8660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241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>
        <v>1.13</v>
      </c>
      <c r="C60" s="20" t="s">
        <v>33</v>
      </c>
      <c r="D60" s="21">
        <v>500.0</v>
      </c>
      <c r="E60" s="10"/>
      <c r="F60" s="36">
        <v>870.0</v>
      </c>
      <c r="G60" s="21"/>
      <c r="H60" s="10">
        <v>780.0</v>
      </c>
      <c r="I60" s="10"/>
      <c r="J60" s="24">
        <v>160.0</v>
      </c>
      <c r="K60" s="25">
        <f t="shared" ref="K60:K66" si="13">SUM(D60:J60)</f>
        <v>2310</v>
      </c>
    </row>
    <row r="61" ht="13.5" customHeight="1">
      <c r="A61" s="26" t="s">
        <v>34</v>
      </c>
      <c r="B61" s="27"/>
      <c r="C61" s="28">
        <v>99.0</v>
      </c>
      <c r="D61" s="21">
        <v>500.0</v>
      </c>
      <c r="E61" s="10"/>
      <c r="F61" s="36">
        <v>850.0</v>
      </c>
      <c r="G61" s="21"/>
      <c r="H61" s="10">
        <v>630.0</v>
      </c>
      <c r="I61" s="10"/>
      <c r="J61" s="29">
        <v>120.0</v>
      </c>
      <c r="K61" s="25">
        <f t="shared" si="13"/>
        <v>2100</v>
      </c>
    </row>
    <row r="62" ht="13.5" customHeight="1">
      <c r="A62" s="18" t="s">
        <v>35</v>
      </c>
      <c r="B62" s="30">
        <v>2.0</v>
      </c>
      <c r="C62" s="31" t="s">
        <v>36</v>
      </c>
      <c r="D62" s="21"/>
      <c r="E62" s="10"/>
      <c r="F62" s="36"/>
      <c r="G62" s="21"/>
      <c r="H62" s="10"/>
      <c r="I62" s="10"/>
      <c r="J62" s="24"/>
      <c r="K62" s="25">
        <f t="shared" si="13"/>
        <v>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3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280.0</v>
      </c>
      <c r="E64" s="10"/>
      <c r="F64" s="43">
        <v>600.0</v>
      </c>
      <c r="G64" s="21"/>
      <c r="H64" s="10">
        <v>4890.0</v>
      </c>
      <c r="I64" s="10"/>
      <c r="J64" s="24">
        <v>150.0</v>
      </c>
      <c r="K64" s="25">
        <f t="shared" si="13"/>
        <v>5920</v>
      </c>
    </row>
    <row r="65" ht="13.5" customHeight="1">
      <c r="A65" s="35" t="s">
        <v>41</v>
      </c>
      <c r="B65" s="27"/>
      <c r="C65" s="27"/>
      <c r="D65" s="21">
        <v>290.0</v>
      </c>
      <c r="E65" s="36"/>
      <c r="F65" s="36">
        <v>590.0</v>
      </c>
      <c r="G65" s="21"/>
      <c r="H65" s="10">
        <v>5050.0</v>
      </c>
      <c r="I65" s="10"/>
      <c r="J65" s="39">
        <v>110.0</v>
      </c>
      <c r="K65" s="25">
        <f t="shared" si="13"/>
        <v>6040</v>
      </c>
    </row>
    <row r="66" ht="13.5" customHeight="1">
      <c r="A66" s="40" t="s">
        <v>7</v>
      </c>
      <c r="B66" s="40"/>
      <c r="C66" s="40">
        <v>547.0</v>
      </c>
      <c r="D66" s="10">
        <f t="shared" ref="D66:J66" si="14">SUM(D60:D65)</f>
        <v>1570</v>
      </c>
      <c r="E66" s="10">
        <f t="shared" si="14"/>
        <v>0</v>
      </c>
      <c r="F66" s="10">
        <f t="shared" si="14"/>
        <v>2910</v>
      </c>
      <c r="G66" s="10">
        <f t="shared" si="14"/>
        <v>0</v>
      </c>
      <c r="H66" s="10">
        <f t="shared" si="14"/>
        <v>11350</v>
      </c>
      <c r="I66" s="10">
        <f t="shared" si="14"/>
        <v>0</v>
      </c>
      <c r="J66" s="10">
        <f t="shared" si="14"/>
        <v>540</v>
      </c>
      <c r="K66" s="25">
        <f t="shared" si="13"/>
        <v>16370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242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>
        <v>1.13</v>
      </c>
      <c r="C70" s="20" t="s">
        <v>33</v>
      </c>
      <c r="D70" s="21">
        <v>510.0</v>
      </c>
      <c r="E70" s="10"/>
      <c r="F70" s="36">
        <v>900.0</v>
      </c>
      <c r="G70" s="21"/>
      <c r="H70" s="10">
        <v>830.0</v>
      </c>
      <c r="I70" s="10"/>
      <c r="J70" s="24">
        <v>160.0</v>
      </c>
      <c r="K70" s="25">
        <f t="shared" ref="K70:K76" si="15">SUM(D70:J70)</f>
        <v>2400</v>
      </c>
    </row>
    <row r="71" ht="13.5" customHeight="1">
      <c r="A71" s="26" t="s">
        <v>34</v>
      </c>
      <c r="B71" s="27"/>
      <c r="C71" s="28">
        <v>99.0</v>
      </c>
      <c r="D71" s="21">
        <v>550.0</v>
      </c>
      <c r="E71" s="10"/>
      <c r="F71" s="36">
        <v>960.0</v>
      </c>
      <c r="G71" s="21"/>
      <c r="H71" s="10">
        <v>690.0</v>
      </c>
      <c r="I71" s="10"/>
      <c r="J71" s="29">
        <v>100.0</v>
      </c>
      <c r="K71" s="25">
        <f t="shared" si="15"/>
        <v>2300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5"/>
        <v>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5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290.0</v>
      </c>
      <c r="E74" s="10"/>
      <c r="F74" s="10">
        <v>960.0</v>
      </c>
      <c r="G74" s="21"/>
      <c r="H74" s="10">
        <v>690.0</v>
      </c>
      <c r="I74" s="10"/>
      <c r="J74" s="24">
        <v>100.0</v>
      </c>
      <c r="K74" s="25">
        <f t="shared" si="15"/>
        <v>2040</v>
      </c>
    </row>
    <row r="75" ht="13.5" customHeight="1">
      <c r="A75" s="35" t="s">
        <v>41</v>
      </c>
      <c r="B75" s="27"/>
      <c r="C75" s="27"/>
      <c r="D75" s="21">
        <v>290.0</v>
      </c>
      <c r="E75" s="36"/>
      <c r="F75" s="36">
        <v>700.0</v>
      </c>
      <c r="G75" s="21"/>
      <c r="H75" s="10">
        <v>4970.0</v>
      </c>
      <c r="I75" s="10"/>
      <c r="J75" s="39">
        <v>110.0</v>
      </c>
      <c r="K75" s="25">
        <f t="shared" si="15"/>
        <v>6070</v>
      </c>
    </row>
    <row r="76" ht="13.5" customHeight="1">
      <c r="A76" s="40" t="s">
        <v>7</v>
      </c>
      <c r="B76" s="40"/>
      <c r="C76" s="40">
        <v>547.0</v>
      </c>
      <c r="D76" s="40">
        <f t="shared" ref="D76:J76" si="16">SUM(D70:D75)</f>
        <v>1640</v>
      </c>
      <c r="E76" s="40">
        <f t="shared" si="16"/>
        <v>0</v>
      </c>
      <c r="F76" s="40">
        <f t="shared" si="16"/>
        <v>3520</v>
      </c>
      <c r="G76" s="40">
        <f t="shared" si="16"/>
        <v>0</v>
      </c>
      <c r="H76" s="40">
        <f t="shared" si="16"/>
        <v>7180</v>
      </c>
      <c r="I76" s="40">
        <f t="shared" si="16"/>
        <v>0</v>
      </c>
      <c r="J76" s="40">
        <f t="shared" si="16"/>
        <v>470</v>
      </c>
      <c r="K76" s="25">
        <f t="shared" si="15"/>
        <v>12810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243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>
        <v>1.13</v>
      </c>
      <c r="C80" s="20" t="s">
        <v>33</v>
      </c>
      <c r="D80" s="21">
        <v>500.0</v>
      </c>
      <c r="E80" s="36"/>
      <c r="F80" s="36">
        <v>900.0</v>
      </c>
      <c r="G80" s="22"/>
      <c r="H80" s="21">
        <v>860.0</v>
      </c>
      <c r="I80" s="21"/>
      <c r="J80" s="29">
        <v>140.0</v>
      </c>
      <c r="K80" s="25">
        <f t="shared" ref="K80:K86" si="17">SUM(D80:J80)</f>
        <v>2400</v>
      </c>
    </row>
    <row r="81" ht="13.5" customHeight="1">
      <c r="A81" s="26" t="s">
        <v>34</v>
      </c>
      <c r="B81" s="27"/>
      <c r="C81" s="28">
        <v>99.0</v>
      </c>
      <c r="D81" s="21">
        <v>280.0</v>
      </c>
      <c r="E81" s="36"/>
      <c r="F81" s="36">
        <v>680.0</v>
      </c>
      <c r="G81" s="22"/>
      <c r="H81" s="21">
        <v>5080.0</v>
      </c>
      <c r="I81" s="21"/>
      <c r="J81" s="29">
        <v>160.0</v>
      </c>
      <c r="K81" s="25">
        <f t="shared" si="17"/>
        <v>6200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7"/>
        <v>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7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500.0</v>
      </c>
      <c r="E84" s="41"/>
      <c r="F84" s="41">
        <v>1030.0</v>
      </c>
      <c r="G84" s="32"/>
      <c r="H84" s="21">
        <v>700.0</v>
      </c>
      <c r="I84" s="21"/>
      <c r="J84" s="24">
        <v>130.0</v>
      </c>
      <c r="K84" s="25">
        <f t="shared" si="17"/>
        <v>2360</v>
      </c>
    </row>
    <row r="85" ht="13.5" customHeight="1">
      <c r="A85" s="35" t="s">
        <v>41</v>
      </c>
      <c r="B85" s="27"/>
      <c r="C85" s="27"/>
      <c r="D85" s="21">
        <v>280.0</v>
      </c>
      <c r="E85" s="36"/>
      <c r="F85" s="37">
        <v>630.0</v>
      </c>
      <c r="G85" s="38"/>
      <c r="H85" s="21">
        <v>4760.0</v>
      </c>
      <c r="I85" s="29"/>
      <c r="J85" s="39">
        <v>200.0</v>
      </c>
      <c r="K85" s="25">
        <f t="shared" si="17"/>
        <v>5870</v>
      </c>
    </row>
    <row r="86" ht="13.5" customHeight="1">
      <c r="A86" s="40" t="s">
        <v>7</v>
      </c>
      <c r="B86" s="40"/>
      <c r="C86" s="40">
        <v>547.0</v>
      </c>
      <c r="D86" s="10">
        <f t="shared" ref="D86:J86" si="18">SUM(D80:D85)</f>
        <v>1560</v>
      </c>
      <c r="E86" s="10">
        <f t="shared" si="18"/>
        <v>0</v>
      </c>
      <c r="F86" s="10">
        <f t="shared" si="18"/>
        <v>3240</v>
      </c>
      <c r="G86" s="10">
        <f t="shared" si="18"/>
        <v>0</v>
      </c>
      <c r="H86" s="10">
        <f t="shared" si="18"/>
        <v>11400</v>
      </c>
      <c r="I86" s="10">
        <f t="shared" si="18"/>
        <v>0</v>
      </c>
      <c r="J86" s="10">
        <f t="shared" si="18"/>
        <v>630</v>
      </c>
      <c r="K86" s="25">
        <f t="shared" si="17"/>
        <v>16830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ht="13.5" customHeight="1">
      <c r="A89" s="13" t="s">
        <v>244</v>
      </c>
    </row>
    <row r="90" ht="13.5" customHeight="1">
      <c r="A90" s="14" t="s">
        <v>25</v>
      </c>
      <c r="B90" s="14" t="s">
        <v>1</v>
      </c>
      <c r="C90" s="14" t="s">
        <v>27</v>
      </c>
      <c r="D90" s="15" t="s">
        <v>2</v>
      </c>
      <c r="E90" s="10" t="s">
        <v>28</v>
      </c>
      <c r="F90" s="16" t="s">
        <v>3</v>
      </c>
      <c r="G90" s="15" t="s">
        <v>4</v>
      </c>
      <c r="H90" s="15" t="s">
        <v>5</v>
      </c>
      <c r="I90" s="15" t="s">
        <v>29</v>
      </c>
      <c r="J90" s="14" t="s">
        <v>30</v>
      </c>
      <c r="K90" s="17" t="s">
        <v>7</v>
      </c>
    </row>
    <row r="91" ht="14.25" customHeight="1">
      <c r="A91" s="18" t="s">
        <v>31</v>
      </c>
      <c r="B91" s="19" t="s">
        <v>212</v>
      </c>
      <c r="C91" s="20" t="s">
        <v>33</v>
      </c>
      <c r="D91" s="21">
        <v>600.0</v>
      </c>
      <c r="E91" s="10"/>
      <c r="F91" s="36">
        <v>970.0</v>
      </c>
      <c r="G91" s="32"/>
      <c r="H91" s="21">
        <v>690.0</v>
      </c>
      <c r="I91" s="21"/>
      <c r="J91" s="24">
        <v>190.0</v>
      </c>
      <c r="K91" s="25">
        <f t="shared" ref="K91:K97" si="19">SUM(D91:J91)</f>
        <v>2450</v>
      </c>
    </row>
    <row r="92" ht="13.5" customHeight="1">
      <c r="A92" s="26" t="s">
        <v>34</v>
      </c>
      <c r="B92" s="27"/>
      <c r="C92" s="28">
        <v>136.0</v>
      </c>
      <c r="D92" s="21">
        <v>500.0</v>
      </c>
      <c r="E92" s="10"/>
      <c r="F92" s="36">
        <v>800.0</v>
      </c>
      <c r="G92" s="32"/>
      <c r="H92" s="21">
        <v>470.0</v>
      </c>
      <c r="I92" s="21"/>
      <c r="J92" s="29">
        <v>90.0</v>
      </c>
      <c r="K92" s="25">
        <f t="shared" si="19"/>
        <v>1860</v>
      </c>
    </row>
    <row r="93" ht="13.5" customHeight="1">
      <c r="A93" s="18" t="s">
        <v>35</v>
      </c>
      <c r="B93" s="30">
        <v>2.0</v>
      </c>
      <c r="C93" s="31" t="s">
        <v>36</v>
      </c>
      <c r="D93" s="21"/>
      <c r="E93" s="10"/>
      <c r="F93" s="36"/>
      <c r="G93" s="32"/>
      <c r="H93" s="21"/>
      <c r="I93" s="21"/>
      <c r="J93" s="24"/>
      <c r="K93" s="25">
        <f t="shared" si="19"/>
        <v>0</v>
      </c>
    </row>
    <row r="94" ht="13.5" customHeight="1">
      <c r="A94" s="26" t="s">
        <v>37</v>
      </c>
      <c r="B94" s="33"/>
      <c r="C94" s="34">
        <v>91.0</v>
      </c>
      <c r="D94" s="21"/>
      <c r="E94" s="10"/>
      <c r="F94" s="36"/>
      <c r="G94" s="32"/>
      <c r="H94" s="21"/>
      <c r="I94" s="21"/>
      <c r="J94" s="29"/>
      <c r="K94" s="25">
        <f t="shared" si="19"/>
        <v>0</v>
      </c>
    </row>
    <row r="95" ht="15.0" customHeight="1">
      <c r="A95" s="18" t="s">
        <v>38</v>
      </c>
      <c r="B95" s="19" t="s">
        <v>39</v>
      </c>
      <c r="C95" s="19" t="s">
        <v>40</v>
      </c>
      <c r="D95" s="21">
        <v>320.0</v>
      </c>
      <c r="E95" s="36"/>
      <c r="F95" s="41">
        <v>600.0</v>
      </c>
      <c r="G95" s="32"/>
      <c r="H95" s="21">
        <v>4930.0</v>
      </c>
      <c r="I95" s="21"/>
      <c r="J95" s="24">
        <v>150.0</v>
      </c>
      <c r="K95" s="25">
        <f t="shared" si="19"/>
        <v>6000</v>
      </c>
    </row>
    <row r="96" ht="13.5" customHeight="1">
      <c r="A96" s="35" t="s">
        <v>41</v>
      </c>
      <c r="B96" s="27"/>
      <c r="C96" s="27"/>
      <c r="D96" s="21">
        <v>280.0</v>
      </c>
      <c r="E96" s="36"/>
      <c r="F96" s="37">
        <v>620.0</v>
      </c>
      <c r="G96" s="38"/>
      <c r="H96" s="21">
        <v>5110.0</v>
      </c>
      <c r="I96" s="21"/>
      <c r="J96" s="39">
        <v>150.0</v>
      </c>
      <c r="K96" s="25">
        <f t="shared" si="19"/>
        <v>6160</v>
      </c>
    </row>
    <row r="97" ht="13.5" customHeight="1">
      <c r="A97" s="40" t="s">
        <v>7</v>
      </c>
      <c r="B97" s="40"/>
      <c r="C97" s="40">
        <v>563.0</v>
      </c>
      <c r="D97" s="10">
        <f t="shared" ref="D97:J97" si="20">SUM(D91:D96)</f>
        <v>1700</v>
      </c>
      <c r="E97" s="10">
        <f t="shared" si="20"/>
        <v>0</v>
      </c>
      <c r="F97" s="10">
        <f t="shared" si="20"/>
        <v>2990</v>
      </c>
      <c r="G97" s="10">
        <f t="shared" si="20"/>
        <v>0</v>
      </c>
      <c r="H97" s="10">
        <f t="shared" si="20"/>
        <v>11200</v>
      </c>
      <c r="I97" s="10">
        <f t="shared" si="20"/>
        <v>0</v>
      </c>
      <c r="J97" s="10">
        <f t="shared" si="20"/>
        <v>580</v>
      </c>
      <c r="K97" s="25">
        <f t="shared" si="19"/>
        <v>16470</v>
      </c>
    </row>
    <row r="98" ht="13.5" customHeight="1">
      <c r="A98" s="13" t="s">
        <v>245</v>
      </c>
    </row>
    <row r="99" ht="13.5" customHeight="1">
      <c r="A99" s="14" t="s">
        <v>25</v>
      </c>
      <c r="B99" s="14" t="s">
        <v>1</v>
      </c>
      <c r="C99" s="14" t="s">
        <v>27</v>
      </c>
      <c r="D99" s="15" t="s">
        <v>2</v>
      </c>
      <c r="E99" s="10" t="s">
        <v>28</v>
      </c>
      <c r="F99" s="16" t="s">
        <v>3</v>
      </c>
      <c r="G99" s="15" t="s">
        <v>4</v>
      </c>
      <c r="H99" s="15" t="s">
        <v>5</v>
      </c>
      <c r="I99" s="15" t="s">
        <v>29</v>
      </c>
      <c r="J99" s="14" t="s">
        <v>30</v>
      </c>
      <c r="K99" s="10" t="s">
        <v>7</v>
      </c>
    </row>
    <row r="100" ht="14.25" customHeight="1">
      <c r="A100" s="18" t="s">
        <v>31</v>
      </c>
      <c r="B100" s="19" t="s">
        <v>246</v>
      </c>
      <c r="C100" s="20" t="s">
        <v>33</v>
      </c>
      <c r="D100" s="21">
        <v>530.0</v>
      </c>
      <c r="E100" s="10"/>
      <c r="F100" s="36">
        <v>900.0</v>
      </c>
      <c r="G100" s="32"/>
      <c r="H100" s="21">
        <v>890.0</v>
      </c>
      <c r="I100" s="21"/>
      <c r="J100" s="21">
        <v>170.0</v>
      </c>
      <c r="K100" s="10">
        <f t="shared" ref="K100:K106" si="21">SUM(D100:J100)</f>
        <v>2490</v>
      </c>
    </row>
    <row r="101" ht="13.5" customHeight="1">
      <c r="A101" s="26" t="s">
        <v>34</v>
      </c>
      <c r="B101" s="27"/>
      <c r="C101" s="28">
        <v>136.0</v>
      </c>
      <c r="D101" s="21">
        <v>500.0</v>
      </c>
      <c r="E101" s="10"/>
      <c r="F101" s="36">
        <v>900.0</v>
      </c>
      <c r="G101" s="32"/>
      <c r="H101" s="21">
        <v>670.0</v>
      </c>
      <c r="I101" s="21"/>
      <c r="J101" s="21">
        <v>150.0</v>
      </c>
      <c r="K101" s="10">
        <f t="shared" si="21"/>
        <v>2220</v>
      </c>
    </row>
    <row r="102" ht="13.5" customHeight="1">
      <c r="A102" s="18" t="s">
        <v>35</v>
      </c>
      <c r="B102" s="30">
        <v>2.0</v>
      </c>
      <c r="C102" s="31" t="s">
        <v>36</v>
      </c>
      <c r="D102" s="21"/>
      <c r="E102" s="10"/>
      <c r="F102" s="36"/>
      <c r="G102" s="32"/>
      <c r="H102" s="21"/>
      <c r="I102" s="21"/>
      <c r="J102" s="21"/>
      <c r="K102" s="10">
        <f t="shared" si="21"/>
        <v>0</v>
      </c>
    </row>
    <row r="103" ht="13.5" customHeight="1">
      <c r="A103" s="26" t="s">
        <v>37</v>
      </c>
      <c r="B103" s="33"/>
      <c r="C103" s="34">
        <v>91.0</v>
      </c>
      <c r="D103" s="21"/>
      <c r="E103" s="10"/>
      <c r="F103" s="36"/>
      <c r="G103" s="32"/>
      <c r="H103" s="21"/>
      <c r="I103" s="21"/>
      <c r="J103" s="21"/>
      <c r="K103" s="10">
        <f t="shared" si="21"/>
        <v>0</v>
      </c>
    </row>
    <row r="104" ht="14.25" customHeight="1">
      <c r="A104" s="18" t="s">
        <v>38</v>
      </c>
      <c r="B104" s="19" t="s">
        <v>39</v>
      </c>
      <c r="C104" s="19" t="s">
        <v>40</v>
      </c>
      <c r="D104" s="21">
        <v>280.0</v>
      </c>
      <c r="E104" s="36"/>
      <c r="F104" s="41">
        <v>730.0</v>
      </c>
      <c r="G104" s="32"/>
      <c r="H104" s="21">
        <v>4830.0</v>
      </c>
      <c r="I104" s="21"/>
      <c r="J104" s="21">
        <v>160.0</v>
      </c>
      <c r="K104" s="10">
        <f t="shared" si="21"/>
        <v>6000</v>
      </c>
    </row>
    <row r="105" ht="13.5" customHeight="1">
      <c r="A105" s="35" t="s">
        <v>41</v>
      </c>
      <c r="B105" s="27"/>
      <c r="C105" s="27"/>
      <c r="D105" s="21">
        <v>300.0</v>
      </c>
      <c r="E105" s="36"/>
      <c r="F105" s="37">
        <v>640.0</v>
      </c>
      <c r="G105" s="38"/>
      <c r="H105" s="21">
        <v>4890.0</v>
      </c>
      <c r="I105" s="21"/>
      <c r="J105" s="21">
        <v>180.0</v>
      </c>
      <c r="K105" s="10">
        <f t="shared" si="21"/>
        <v>6010</v>
      </c>
    </row>
    <row r="106" ht="13.5" customHeight="1">
      <c r="A106" s="40" t="s">
        <v>7</v>
      </c>
      <c r="B106" s="40"/>
      <c r="C106" s="40">
        <v>563.0</v>
      </c>
      <c r="D106" s="10">
        <f t="shared" ref="D106:J106" si="22">SUM(D100:D105)</f>
        <v>1610</v>
      </c>
      <c r="E106" s="10">
        <f t="shared" si="22"/>
        <v>0</v>
      </c>
      <c r="F106" s="10">
        <f t="shared" si="22"/>
        <v>3170</v>
      </c>
      <c r="G106" s="10">
        <f t="shared" si="22"/>
        <v>0</v>
      </c>
      <c r="H106" s="10">
        <f t="shared" si="22"/>
        <v>11280</v>
      </c>
      <c r="I106" s="10">
        <f t="shared" si="22"/>
        <v>0</v>
      </c>
      <c r="J106" s="10">
        <f t="shared" si="22"/>
        <v>660</v>
      </c>
      <c r="K106" s="10">
        <f t="shared" si="21"/>
        <v>16720</v>
      </c>
    </row>
    <row r="107" ht="13.5" customHeight="1">
      <c r="A107" s="14"/>
      <c r="B107" s="14"/>
      <c r="C107" s="14"/>
      <c r="D107" s="14"/>
      <c r="E107" s="14"/>
      <c r="F107" s="14"/>
      <c r="G107" s="15"/>
      <c r="H107" s="15"/>
      <c r="I107" s="15"/>
      <c r="J107" s="10"/>
      <c r="K107" s="10"/>
    </row>
    <row r="108" ht="13.5" customHeight="1">
      <c r="A108" s="45" t="s">
        <v>247</v>
      </c>
    </row>
    <row r="109" ht="13.5" customHeight="1">
      <c r="A109" s="14" t="s">
        <v>25</v>
      </c>
      <c r="B109" s="14" t="s">
        <v>1</v>
      </c>
      <c r="C109" s="14" t="s">
        <v>27</v>
      </c>
      <c r="D109" s="15" t="s">
        <v>2</v>
      </c>
      <c r="E109" s="10" t="s">
        <v>28</v>
      </c>
      <c r="F109" s="16" t="s">
        <v>3</v>
      </c>
      <c r="G109" s="15" t="s">
        <v>4</v>
      </c>
      <c r="H109" s="15" t="s">
        <v>5</v>
      </c>
      <c r="I109" s="15" t="s">
        <v>29</v>
      </c>
      <c r="J109" s="14" t="s">
        <v>30</v>
      </c>
      <c r="K109" s="17" t="s">
        <v>7</v>
      </c>
    </row>
    <row r="110" ht="14.25" customHeight="1">
      <c r="A110" s="18" t="s">
        <v>31</v>
      </c>
      <c r="B110" s="19">
        <v>1.2</v>
      </c>
      <c r="C110" s="20" t="s">
        <v>33</v>
      </c>
      <c r="D110" s="21">
        <v>510.0</v>
      </c>
      <c r="E110" s="10"/>
      <c r="F110" s="10">
        <v>940.0</v>
      </c>
      <c r="G110" s="32"/>
      <c r="H110" s="21">
        <v>850.0</v>
      </c>
      <c r="I110" s="21"/>
      <c r="J110" s="21">
        <v>180.0</v>
      </c>
      <c r="K110" s="25">
        <f t="shared" ref="K110:K116" si="23">SUM(D110:J110)</f>
        <v>2480</v>
      </c>
    </row>
    <row r="111" ht="13.5" customHeight="1">
      <c r="A111" s="26" t="s">
        <v>34</v>
      </c>
      <c r="B111" s="27"/>
      <c r="C111" s="28">
        <v>136.0</v>
      </c>
      <c r="D111" s="21">
        <v>500.0</v>
      </c>
      <c r="E111" s="10"/>
      <c r="F111" s="10">
        <v>910.0</v>
      </c>
      <c r="G111" s="32"/>
      <c r="H111" s="21">
        <v>710.0</v>
      </c>
      <c r="I111" s="21"/>
      <c r="J111" s="21">
        <v>140.0</v>
      </c>
      <c r="K111" s="25">
        <f t="shared" si="23"/>
        <v>2260</v>
      </c>
    </row>
    <row r="112" ht="13.5" customHeight="1">
      <c r="A112" s="18" t="s">
        <v>35</v>
      </c>
      <c r="B112" s="30"/>
      <c r="C112" s="31" t="s">
        <v>36</v>
      </c>
      <c r="D112" s="21"/>
      <c r="E112" s="10"/>
      <c r="F112" s="10"/>
      <c r="G112" s="32"/>
      <c r="H112" s="21"/>
      <c r="I112" s="21"/>
      <c r="J112" s="21"/>
      <c r="K112" s="25">
        <f t="shared" si="23"/>
        <v>0</v>
      </c>
    </row>
    <row r="113" ht="13.5" customHeight="1">
      <c r="A113" s="26" t="s">
        <v>37</v>
      </c>
      <c r="B113" s="33"/>
      <c r="C113" s="34">
        <v>91.0</v>
      </c>
      <c r="D113" s="21"/>
      <c r="E113" s="10"/>
      <c r="F113" s="36"/>
      <c r="G113" s="32"/>
      <c r="H113" s="21"/>
      <c r="I113" s="21"/>
      <c r="J113" s="21"/>
      <c r="K113" s="25">
        <f t="shared" si="23"/>
        <v>0</v>
      </c>
    </row>
    <row r="114" ht="15.0" customHeight="1">
      <c r="A114" s="18" t="s">
        <v>38</v>
      </c>
      <c r="B114" s="19" t="s">
        <v>39</v>
      </c>
      <c r="C114" s="19" t="s">
        <v>40</v>
      </c>
      <c r="D114" s="21">
        <v>330.0</v>
      </c>
      <c r="E114" s="36"/>
      <c r="F114" s="41">
        <v>640.0</v>
      </c>
      <c r="G114" s="32"/>
      <c r="H114" s="21">
        <v>4780.0</v>
      </c>
      <c r="I114" s="21"/>
      <c r="J114" s="21">
        <v>220.0</v>
      </c>
      <c r="K114" s="25">
        <f t="shared" si="23"/>
        <v>5970</v>
      </c>
    </row>
    <row r="115" ht="13.5" customHeight="1">
      <c r="A115" s="35" t="s">
        <v>41</v>
      </c>
      <c r="B115" s="27"/>
      <c r="C115" s="27"/>
      <c r="D115" s="21">
        <v>300.0</v>
      </c>
      <c r="E115" s="36"/>
      <c r="F115" s="41">
        <v>550.0</v>
      </c>
      <c r="G115" s="32"/>
      <c r="H115" s="21">
        <v>5030.0</v>
      </c>
      <c r="I115" s="21"/>
      <c r="J115" s="21">
        <v>170.0</v>
      </c>
      <c r="K115" s="25">
        <f t="shared" si="23"/>
        <v>6050</v>
      </c>
    </row>
    <row r="116" ht="13.5" customHeight="1">
      <c r="A116" s="40" t="s">
        <v>7</v>
      </c>
      <c r="B116" s="40"/>
      <c r="C116" s="40">
        <v>563.0</v>
      </c>
      <c r="D116" s="10">
        <f t="shared" ref="D116:J116" si="24">SUM(D110:D115)</f>
        <v>1640</v>
      </c>
      <c r="E116" s="10">
        <f t="shared" si="24"/>
        <v>0</v>
      </c>
      <c r="F116" s="10">
        <f t="shared" si="24"/>
        <v>3040</v>
      </c>
      <c r="G116" s="10">
        <f t="shared" si="24"/>
        <v>0</v>
      </c>
      <c r="H116" s="10">
        <f t="shared" si="24"/>
        <v>11370</v>
      </c>
      <c r="I116" s="10">
        <f t="shared" si="24"/>
        <v>0</v>
      </c>
      <c r="J116" s="10">
        <f t="shared" si="24"/>
        <v>710</v>
      </c>
      <c r="K116" s="25">
        <f t="shared" si="23"/>
        <v>16760</v>
      </c>
    </row>
    <row r="117" ht="13.5" customHeight="1">
      <c r="A117" s="13" t="s">
        <v>248</v>
      </c>
    </row>
    <row r="118" ht="13.5" customHeight="1">
      <c r="A118" s="14" t="s">
        <v>25</v>
      </c>
      <c r="B118" s="14" t="s">
        <v>1</v>
      </c>
      <c r="C118" s="14" t="s">
        <v>27</v>
      </c>
      <c r="D118" s="15" t="s">
        <v>2</v>
      </c>
      <c r="E118" s="10" t="s">
        <v>28</v>
      </c>
      <c r="F118" s="16" t="s">
        <v>3</v>
      </c>
      <c r="G118" s="15" t="s">
        <v>4</v>
      </c>
      <c r="H118" s="15" t="s">
        <v>5</v>
      </c>
      <c r="I118" s="15" t="s">
        <v>29</v>
      </c>
      <c r="J118" s="14" t="s">
        <v>30</v>
      </c>
      <c r="K118" s="17" t="s">
        <v>7</v>
      </c>
    </row>
    <row r="119" ht="14.25" customHeight="1">
      <c r="A119" s="18" t="s">
        <v>31</v>
      </c>
      <c r="B119" s="19">
        <v>1.2</v>
      </c>
      <c r="C119" s="20" t="s">
        <v>33</v>
      </c>
      <c r="D119" s="21">
        <v>530.0</v>
      </c>
      <c r="E119" s="10"/>
      <c r="F119" s="36">
        <v>890.0</v>
      </c>
      <c r="G119" s="32"/>
      <c r="H119" s="21">
        <v>1040.0</v>
      </c>
      <c r="I119" s="21"/>
      <c r="J119" s="21">
        <v>140.0</v>
      </c>
      <c r="K119" s="25">
        <f t="shared" ref="K119:K125" si="25">SUM(D119:J119)</f>
        <v>2600</v>
      </c>
    </row>
    <row r="120" ht="13.5" customHeight="1">
      <c r="A120" s="26" t="s">
        <v>34</v>
      </c>
      <c r="B120" s="27"/>
      <c r="C120" s="28">
        <v>130.0</v>
      </c>
      <c r="D120" s="21">
        <v>500.0</v>
      </c>
      <c r="E120" s="10"/>
      <c r="F120" s="36">
        <v>890.0</v>
      </c>
      <c r="G120" s="32"/>
      <c r="H120" s="21">
        <v>530.0</v>
      </c>
      <c r="I120" s="21"/>
      <c r="J120" s="21">
        <v>130.0</v>
      </c>
      <c r="K120" s="25">
        <f t="shared" si="25"/>
        <v>2050</v>
      </c>
    </row>
    <row r="121" ht="13.5" customHeight="1">
      <c r="A121" s="18" t="s">
        <v>35</v>
      </c>
      <c r="B121" s="30">
        <v>2.0</v>
      </c>
      <c r="C121" s="31" t="s">
        <v>36</v>
      </c>
      <c r="D121" s="21"/>
      <c r="E121" s="10"/>
      <c r="F121" s="36"/>
      <c r="G121" s="32"/>
      <c r="H121" s="21"/>
      <c r="I121" s="21"/>
      <c r="J121" s="21"/>
      <c r="K121" s="25">
        <f t="shared" si="25"/>
        <v>0</v>
      </c>
    </row>
    <row r="122" ht="13.5" customHeight="1">
      <c r="A122" s="26" t="s">
        <v>37</v>
      </c>
      <c r="B122" s="33"/>
      <c r="C122" s="34">
        <v>91.0</v>
      </c>
      <c r="D122" s="21"/>
      <c r="E122" s="10"/>
      <c r="F122" s="36"/>
      <c r="G122" s="32"/>
      <c r="H122" s="21"/>
      <c r="I122" s="21"/>
      <c r="J122" s="21"/>
      <c r="K122" s="25">
        <f t="shared" si="25"/>
        <v>0</v>
      </c>
    </row>
    <row r="123" ht="15.0" customHeight="1">
      <c r="A123" s="18" t="s">
        <v>38</v>
      </c>
      <c r="B123" s="19" t="s">
        <v>39</v>
      </c>
      <c r="C123" s="19" t="s">
        <v>40</v>
      </c>
      <c r="D123" s="21">
        <v>330.0</v>
      </c>
      <c r="E123" s="36"/>
      <c r="F123" s="41">
        <v>580.0</v>
      </c>
      <c r="G123" s="44"/>
      <c r="H123" s="44">
        <v>5050.0</v>
      </c>
      <c r="I123" s="23"/>
      <c r="J123" s="23">
        <v>160.0</v>
      </c>
      <c r="K123" s="25">
        <f t="shared" si="25"/>
        <v>6120</v>
      </c>
    </row>
    <row r="124" ht="13.5" customHeight="1">
      <c r="A124" s="35" t="s">
        <v>41</v>
      </c>
      <c r="B124" s="27"/>
      <c r="C124" s="27"/>
      <c r="D124" s="21">
        <v>280.0</v>
      </c>
      <c r="E124" s="36"/>
      <c r="F124" s="37">
        <v>610.0</v>
      </c>
      <c r="G124" s="38"/>
      <c r="H124" s="21">
        <v>4900.0</v>
      </c>
      <c r="I124" s="29"/>
      <c r="J124" s="39">
        <v>160.0</v>
      </c>
      <c r="K124" s="25">
        <f t="shared" si="25"/>
        <v>5950</v>
      </c>
    </row>
    <row r="125" ht="13.5" customHeight="1">
      <c r="A125" s="40" t="s">
        <v>7</v>
      </c>
      <c r="B125" s="40"/>
      <c r="C125" s="40">
        <v>563.0</v>
      </c>
      <c r="D125" s="10">
        <f t="shared" ref="D125:J125" si="26">SUM(D119:D124)</f>
        <v>1640</v>
      </c>
      <c r="E125" s="10">
        <f t="shared" si="26"/>
        <v>0</v>
      </c>
      <c r="F125" s="10">
        <f t="shared" si="26"/>
        <v>2970</v>
      </c>
      <c r="G125" s="10">
        <f t="shared" si="26"/>
        <v>0</v>
      </c>
      <c r="H125" s="10">
        <f t="shared" si="26"/>
        <v>11520</v>
      </c>
      <c r="I125" s="10">
        <f t="shared" si="26"/>
        <v>0</v>
      </c>
      <c r="J125" s="10">
        <f t="shared" si="26"/>
        <v>590</v>
      </c>
      <c r="K125" s="25">
        <f t="shared" si="25"/>
        <v>16720</v>
      </c>
    </row>
    <row r="126" ht="13.5" customHeight="1">
      <c r="A126" s="13" t="s">
        <v>249</v>
      </c>
    </row>
    <row r="127" ht="13.5" customHeight="1">
      <c r="A127" s="14" t="s">
        <v>25</v>
      </c>
      <c r="B127" s="14" t="s">
        <v>1</v>
      </c>
      <c r="C127" s="14" t="s">
        <v>27</v>
      </c>
      <c r="D127" s="15" t="s">
        <v>2</v>
      </c>
      <c r="E127" s="10" t="s">
        <v>28</v>
      </c>
      <c r="F127" s="16" t="s">
        <v>3</v>
      </c>
      <c r="G127" s="15" t="s">
        <v>4</v>
      </c>
      <c r="H127" s="15" t="s">
        <v>5</v>
      </c>
      <c r="I127" s="15" t="s">
        <v>29</v>
      </c>
      <c r="J127" s="14" t="s">
        <v>30</v>
      </c>
      <c r="K127" s="17" t="s">
        <v>7</v>
      </c>
    </row>
    <row r="128" ht="13.5" customHeight="1">
      <c r="A128" s="18" t="s">
        <v>31</v>
      </c>
      <c r="B128" s="19">
        <v>1.2</v>
      </c>
      <c r="C128" s="20" t="s">
        <v>33</v>
      </c>
      <c r="D128" s="21">
        <v>480.0</v>
      </c>
      <c r="E128" s="36"/>
      <c r="F128" s="36">
        <v>900.0</v>
      </c>
      <c r="G128" s="32"/>
      <c r="H128" s="21">
        <v>870.0</v>
      </c>
      <c r="I128" s="21"/>
      <c r="J128" s="21">
        <v>190.0</v>
      </c>
      <c r="K128" s="25">
        <f t="shared" ref="K128:K134" si="27">SUM(D128:J128)</f>
        <v>2440</v>
      </c>
    </row>
    <row r="129" ht="13.5" customHeight="1">
      <c r="A129" s="26" t="s">
        <v>34</v>
      </c>
      <c r="B129" s="27"/>
      <c r="C129" s="28">
        <v>130.0</v>
      </c>
      <c r="D129" s="21">
        <v>490.0</v>
      </c>
      <c r="E129" s="36"/>
      <c r="F129" s="36">
        <v>860.0</v>
      </c>
      <c r="G129" s="32"/>
      <c r="H129" s="21">
        <v>540.0</v>
      </c>
      <c r="I129" s="21"/>
      <c r="J129" s="21">
        <v>110.0</v>
      </c>
      <c r="K129" s="25">
        <f t="shared" si="27"/>
        <v>2000</v>
      </c>
    </row>
    <row r="130" ht="13.5" customHeight="1">
      <c r="A130" s="18" t="s">
        <v>35</v>
      </c>
      <c r="B130" s="30">
        <v>2.0</v>
      </c>
      <c r="C130" s="31" t="s">
        <v>36</v>
      </c>
      <c r="D130" s="21"/>
      <c r="E130" s="36"/>
      <c r="F130" s="36"/>
      <c r="G130" s="32"/>
      <c r="H130" s="21"/>
      <c r="I130" s="21"/>
      <c r="J130" s="21"/>
      <c r="K130" s="25">
        <f t="shared" si="27"/>
        <v>0</v>
      </c>
    </row>
    <row r="131" ht="13.5" customHeight="1">
      <c r="A131" s="26" t="s">
        <v>37</v>
      </c>
      <c r="B131" s="33"/>
      <c r="C131" s="34">
        <v>91.0</v>
      </c>
      <c r="D131" s="21"/>
      <c r="E131" s="36"/>
      <c r="F131" s="36"/>
      <c r="G131" s="32"/>
      <c r="H131" s="21"/>
      <c r="I131" s="21"/>
      <c r="J131" s="21"/>
      <c r="K131" s="25">
        <f t="shared" si="27"/>
        <v>0</v>
      </c>
    </row>
    <row r="132" ht="15.0" customHeight="1">
      <c r="A132" s="18" t="s">
        <v>38</v>
      </c>
      <c r="B132" s="19" t="s">
        <v>39</v>
      </c>
      <c r="C132" s="19" t="s">
        <v>40</v>
      </c>
      <c r="D132" s="21">
        <v>280.0</v>
      </c>
      <c r="E132" s="36"/>
      <c r="F132" s="36">
        <v>600.0</v>
      </c>
      <c r="G132" s="21"/>
      <c r="H132" s="21">
        <v>5070.0</v>
      </c>
      <c r="I132" s="21"/>
      <c r="J132" s="21">
        <v>210.0</v>
      </c>
      <c r="K132" s="25">
        <f t="shared" si="27"/>
        <v>6160</v>
      </c>
    </row>
    <row r="133" ht="13.5" customHeight="1">
      <c r="A133" s="35" t="s">
        <v>41</v>
      </c>
      <c r="B133" s="27"/>
      <c r="C133" s="27"/>
      <c r="D133" s="21">
        <v>300.0</v>
      </c>
      <c r="E133" s="36"/>
      <c r="F133" s="36">
        <v>480.0</v>
      </c>
      <c r="G133" s="21"/>
      <c r="H133" s="21">
        <v>4930.0</v>
      </c>
      <c r="I133" s="21"/>
      <c r="J133" s="21">
        <v>190.0</v>
      </c>
      <c r="K133" s="25">
        <f t="shared" si="27"/>
        <v>5900</v>
      </c>
    </row>
    <row r="134" ht="13.5" customHeight="1">
      <c r="A134" s="40" t="s">
        <v>7</v>
      </c>
      <c r="B134" s="40"/>
      <c r="C134" s="40">
        <v>563.0</v>
      </c>
      <c r="D134" s="10">
        <f t="shared" ref="D134:J134" si="28">SUM(D128:D133)</f>
        <v>1550</v>
      </c>
      <c r="E134" s="10">
        <f t="shared" si="28"/>
        <v>0</v>
      </c>
      <c r="F134" s="10">
        <f t="shared" si="28"/>
        <v>2840</v>
      </c>
      <c r="G134" s="10">
        <f t="shared" si="28"/>
        <v>0</v>
      </c>
      <c r="H134" s="10">
        <f t="shared" si="28"/>
        <v>11410</v>
      </c>
      <c r="I134" s="10">
        <f t="shared" si="28"/>
        <v>0</v>
      </c>
      <c r="J134" s="10">
        <f t="shared" si="28"/>
        <v>700</v>
      </c>
      <c r="K134" s="25">
        <f t="shared" si="27"/>
        <v>16500</v>
      </c>
    </row>
    <row r="135" ht="13.5" customHeight="1">
      <c r="A135" s="46" t="s">
        <v>250</v>
      </c>
    </row>
    <row r="136" ht="13.5" customHeight="1">
      <c r="A136" s="14" t="s">
        <v>25</v>
      </c>
      <c r="B136" s="14" t="s">
        <v>1</v>
      </c>
      <c r="C136" s="14" t="s">
        <v>27</v>
      </c>
      <c r="D136" s="15" t="s">
        <v>2</v>
      </c>
      <c r="E136" s="10" t="s">
        <v>28</v>
      </c>
      <c r="F136" s="16" t="s">
        <v>3</v>
      </c>
      <c r="G136" s="15" t="s">
        <v>4</v>
      </c>
      <c r="H136" s="15" t="s">
        <v>5</v>
      </c>
      <c r="I136" s="15" t="s">
        <v>29</v>
      </c>
      <c r="J136" s="14" t="s">
        <v>30</v>
      </c>
      <c r="K136" s="17" t="s">
        <v>7</v>
      </c>
    </row>
    <row r="137" ht="13.5" customHeight="1">
      <c r="A137" s="18" t="s">
        <v>31</v>
      </c>
      <c r="B137" s="19">
        <v>1.2</v>
      </c>
      <c r="C137" s="20" t="s">
        <v>33</v>
      </c>
      <c r="D137" s="21">
        <v>520.0</v>
      </c>
      <c r="E137" s="36"/>
      <c r="F137" s="36">
        <v>1000.0</v>
      </c>
      <c r="G137" s="32"/>
      <c r="H137" s="21">
        <v>660.0</v>
      </c>
      <c r="I137" s="21"/>
      <c r="J137" s="21">
        <v>120.0</v>
      </c>
      <c r="K137" s="25">
        <f t="shared" ref="K137:K143" si="29">SUM(D137:J137)</f>
        <v>2300</v>
      </c>
    </row>
    <row r="138" ht="13.5" customHeight="1">
      <c r="A138" s="26" t="s">
        <v>34</v>
      </c>
      <c r="B138" s="27"/>
      <c r="C138" s="28">
        <v>130.0</v>
      </c>
      <c r="D138" s="21">
        <v>530.0</v>
      </c>
      <c r="E138" s="36"/>
      <c r="F138" s="36">
        <v>1100.0</v>
      </c>
      <c r="G138" s="32"/>
      <c r="H138" s="21">
        <v>700.0</v>
      </c>
      <c r="I138" s="21"/>
      <c r="J138" s="21">
        <v>120.0</v>
      </c>
      <c r="K138" s="25">
        <f t="shared" si="29"/>
        <v>2450</v>
      </c>
    </row>
    <row r="139" ht="13.5" customHeight="1">
      <c r="A139" s="18" t="s">
        <v>35</v>
      </c>
      <c r="B139" s="30">
        <v>2.0</v>
      </c>
      <c r="C139" s="31" t="s">
        <v>36</v>
      </c>
      <c r="D139" s="21"/>
      <c r="E139" s="36"/>
      <c r="F139" s="36"/>
      <c r="G139" s="32"/>
      <c r="H139" s="21"/>
      <c r="I139" s="21"/>
      <c r="J139" s="21"/>
      <c r="K139" s="25">
        <f t="shared" si="29"/>
        <v>0</v>
      </c>
    </row>
    <row r="140" ht="13.5" customHeight="1">
      <c r="A140" s="26" t="s">
        <v>37</v>
      </c>
      <c r="B140" s="33"/>
      <c r="C140" s="34">
        <v>91.0</v>
      </c>
      <c r="D140" s="21"/>
      <c r="E140" s="36"/>
      <c r="F140" s="36"/>
      <c r="G140" s="32"/>
      <c r="H140" s="21"/>
      <c r="I140" s="21"/>
      <c r="J140" s="21"/>
      <c r="K140" s="25">
        <f t="shared" si="29"/>
        <v>0</v>
      </c>
    </row>
    <row r="141" ht="15.0" customHeight="1">
      <c r="A141" s="18" t="s">
        <v>38</v>
      </c>
      <c r="B141" s="19" t="s">
        <v>39</v>
      </c>
      <c r="C141" s="19" t="s">
        <v>40</v>
      </c>
      <c r="D141" s="44">
        <v>320.0</v>
      </c>
      <c r="E141" s="41"/>
      <c r="F141" s="41">
        <v>680.0</v>
      </c>
      <c r="G141" s="44"/>
      <c r="H141" s="44">
        <v>4770.0</v>
      </c>
      <c r="I141" s="23"/>
      <c r="J141" s="24">
        <v>200.0</v>
      </c>
      <c r="K141" s="25">
        <f t="shared" si="29"/>
        <v>5970</v>
      </c>
      <c r="L141" s="47"/>
      <c r="M141" s="12"/>
    </row>
    <row r="142" ht="13.5" customHeight="1">
      <c r="A142" s="35" t="s">
        <v>41</v>
      </c>
      <c r="B142" s="27"/>
      <c r="C142" s="27"/>
      <c r="D142" s="21">
        <v>280.0</v>
      </c>
      <c r="E142" s="36"/>
      <c r="F142" s="36">
        <v>560.0</v>
      </c>
      <c r="G142" s="21"/>
      <c r="H142" s="21">
        <v>5110.0</v>
      </c>
      <c r="I142" s="29"/>
      <c r="J142" s="39">
        <v>170.0</v>
      </c>
      <c r="K142" s="25">
        <f t="shared" si="29"/>
        <v>6120</v>
      </c>
    </row>
    <row r="143" ht="13.5" customHeight="1">
      <c r="A143" s="40" t="s">
        <v>7</v>
      </c>
      <c r="B143" s="40"/>
      <c r="C143" s="40">
        <v>563.0</v>
      </c>
      <c r="D143" s="10">
        <f t="shared" ref="D143:J143" si="30">SUM(D137:D142)</f>
        <v>1650</v>
      </c>
      <c r="E143" s="10">
        <f t="shared" si="30"/>
        <v>0</v>
      </c>
      <c r="F143" s="10">
        <f t="shared" si="30"/>
        <v>3340</v>
      </c>
      <c r="G143" s="10">
        <f t="shared" si="30"/>
        <v>0</v>
      </c>
      <c r="H143" s="10">
        <f t="shared" si="30"/>
        <v>11240</v>
      </c>
      <c r="I143" s="10">
        <f t="shared" si="30"/>
        <v>0</v>
      </c>
      <c r="J143" s="10">
        <f t="shared" si="30"/>
        <v>610</v>
      </c>
      <c r="K143" s="25">
        <f t="shared" si="29"/>
        <v>16840</v>
      </c>
    </row>
    <row r="144" ht="13.5" customHeight="1">
      <c r="A144" s="48" t="s">
        <v>251</v>
      </c>
    </row>
    <row r="145" ht="13.5" customHeight="1">
      <c r="A145" s="14" t="s">
        <v>25</v>
      </c>
      <c r="B145" s="14" t="s">
        <v>1</v>
      </c>
      <c r="C145" s="14" t="s">
        <v>27</v>
      </c>
      <c r="D145" s="15" t="s">
        <v>2</v>
      </c>
      <c r="E145" s="10" t="s">
        <v>28</v>
      </c>
      <c r="F145" s="16" t="s">
        <v>3</v>
      </c>
      <c r="G145" s="15" t="s">
        <v>4</v>
      </c>
      <c r="H145" s="15" t="s">
        <v>5</v>
      </c>
      <c r="I145" s="15" t="s">
        <v>29</v>
      </c>
      <c r="J145" s="14" t="s">
        <v>30</v>
      </c>
      <c r="K145" s="17" t="s">
        <v>7</v>
      </c>
    </row>
    <row r="146" ht="15.0" customHeight="1">
      <c r="A146" s="18" t="s">
        <v>31</v>
      </c>
      <c r="B146" s="19">
        <v>1.2</v>
      </c>
      <c r="C146" s="20" t="s">
        <v>33</v>
      </c>
      <c r="D146" s="21">
        <v>510.0</v>
      </c>
      <c r="E146" s="36"/>
      <c r="F146" s="36">
        <v>960.0</v>
      </c>
      <c r="G146" s="32"/>
      <c r="H146" s="21">
        <v>940.0</v>
      </c>
      <c r="I146" s="23"/>
      <c r="J146" s="24">
        <v>260.0</v>
      </c>
      <c r="K146" s="25">
        <f t="shared" ref="K146:K152" si="31">SUM(D146:J146)</f>
        <v>2670</v>
      </c>
    </row>
    <row r="147" ht="13.5" customHeight="1">
      <c r="A147" s="26" t="s">
        <v>34</v>
      </c>
      <c r="B147" s="27"/>
      <c r="C147" s="28">
        <v>130.0</v>
      </c>
      <c r="D147" s="21">
        <v>500.0</v>
      </c>
      <c r="E147" s="36"/>
      <c r="F147" s="36">
        <v>520.0</v>
      </c>
      <c r="G147" s="32"/>
      <c r="H147" s="21">
        <v>520.0</v>
      </c>
      <c r="I147" s="21"/>
      <c r="J147" s="29">
        <v>100.0</v>
      </c>
      <c r="K147" s="25">
        <f t="shared" si="31"/>
        <v>1640</v>
      </c>
    </row>
    <row r="148" ht="13.5" customHeight="1">
      <c r="A148" s="18" t="s">
        <v>35</v>
      </c>
      <c r="B148" s="30">
        <v>2.0</v>
      </c>
      <c r="C148" s="31" t="s">
        <v>36</v>
      </c>
      <c r="D148" s="21"/>
      <c r="E148" s="36"/>
      <c r="F148" s="41"/>
      <c r="G148" s="32"/>
      <c r="H148" s="21"/>
      <c r="I148" s="21"/>
      <c r="J148" s="24"/>
      <c r="K148" s="25">
        <f t="shared" si="31"/>
        <v>0</v>
      </c>
    </row>
    <row r="149" ht="13.5" customHeight="1">
      <c r="A149" s="26" t="s">
        <v>37</v>
      </c>
      <c r="B149" s="33"/>
      <c r="C149" s="34">
        <v>91.0</v>
      </c>
      <c r="D149" s="21"/>
      <c r="E149" s="21"/>
      <c r="F149" s="21"/>
      <c r="G149" s="21"/>
      <c r="H149" s="21"/>
      <c r="I149" s="21"/>
      <c r="J149" s="21"/>
      <c r="K149" s="25">
        <f t="shared" si="31"/>
        <v>0</v>
      </c>
    </row>
    <row r="150" ht="14.25" customHeight="1">
      <c r="A150" s="18" t="s">
        <v>38</v>
      </c>
      <c r="B150" s="19" t="s">
        <v>39</v>
      </c>
      <c r="C150" s="19" t="s">
        <v>40</v>
      </c>
      <c r="D150" s="21">
        <v>300.0</v>
      </c>
      <c r="E150" s="36"/>
      <c r="F150" s="41">
        <v>520.0</v>
      </c>
      <c r="G150" s="32"/>
      <c r="H150" s="21">
        <v>520.0</v>
      </c>
      <c r="I150" s="21"/>
      <c r="J150" s="24">
        <v>100.0</v>
      </c>
      <c r="K150" s="25">
        <f t="shared" si="31"/>
        <v>1440</v>
      </c>
      <c r="L150" s="47"/>
      <c r="M150" s="12"/>
    </row>
    <row r="151" ht="13.5" customHeight="1">
      <c r="A151" s="35" t="s">
        <v>41</v>
      </c>
      <c r="B151" s="27"/>
      <c r="C151" s="27"/>
      <c r="D151" s="21">
        <v>280.0</v>
      </c>
      <c r="E151" s="21"/>
      <c r="F151" s="21">
        <v>600.0</v>
      </c>
      <c r="G151" s="21"/>
      <c r="H151" s="21">
        <v>4800.0</v>
      </c>
      <c r="I151" s="21"/>
      <c r="J151" s="21">
        <v>180.0</v>
      </c>
      <c r="K151" s="25">
        <f t="shared" si="31"/>
        <v>5860</v>
      </c>
    </row>
    <row r="152" ht="13.5" customHeight="1">
      <c r="A152" s="40" t="s">
        <v>7</v>
      </c>
      <c r="B152" s="40"/>
      <c r="C152" s="40">
        <v>563.0</v>
      </c>
      <c r="D152" s="10">
        <f t="shared" ref="D152:J152" si="32">SUM(D146:D151)</f>
        <v>1590</v>
      </c>
      <c r="E152" s="10">
        <f t="shared" si="32"/>
        <v>0</v>
      </c>
      <c r="F152" s="10">
        <f t="shared" si="32"/>
        <v>2600</v>
      </c>
      <c r="G152" s="10">
        <f t="shared" si="32"/>
        <v>0</v>
      </c>
      <c r="H152" s="10">
        <f t="shared" si="32"/>
        <v>6780</v>
      </c>
      <c r="I152" s="10">
        <f t="shared" si="32"/>
        <v>0</v>
      </c>
      <c r="J152" s="10">
        <f t="shared" si="32"/>
        <v>640</v>
      </c>
      <c r="K152" s="25">
        <f t="shared" si="31"/>
        <v>11610</v>
      </c>
    </row>
    <row r="153" ht="13.5" customHeight="1">
      <c r="A153" s="48" t="s">
        <v>252</v>
      </c>
    </row>
    <row r="154" ht="13.5" customHeight="1">
      <c r="A154" s="14" t="s">
        <v>25</v>
      </c>
      <c r="B154" s="14" t="s">
        <v>1</v>
      </c>
      <c r="C154" s="14" t="s">
        <v>27</v>
      </c>
      <c r="D154" s="15" t="s">
        <v>2</v>
      </c>
      <c r="E154" s="10" t="s">
        <v>28</v>
      </c>
      <c r="F154" s="16" t="s">
        <v>3</v>
      </c>
      <c r="G154" s="15" t="s">
        <v>4</v>
      </c>
      <c r="H154" s="15" t="s">
        <v>5</v>
      </c>
      <c r="I154" s="15" t="s">
        <v>29</v>
      </c>
      <c r="J154" s="14" t="s">
        <v>30</v>
      </c>
      <c r="K154" s="17" t="s">
        <v>7</v>
      </c>
      <c r="L154" s="49"/>
    </row>
    <row r="155" ht="13.5" customHeight="1">
      <c r="A155" s="18" t="s">
        <v>31</v>
      </c>
      <c r="B155" s="19">
        <v>1.2</v>
      </c>
      <c r="C155" s="20" t="s">
        <v>33</v>
      </c>
      <c r="D155" s="21">
        <v>550.0</v>
      </c>
      <c r="E155" s="36"/>
      <c r="F155" s="36">
        <v>810.0</v>
      </c>
      <c r="G155" s="32"/>
      <c r="H155" s="21">
        <v>910.0</v>
      </c>
      <c r="I155" s="21"/>
      <c r="J155" s="21">
        <v>180.0</v>
      </c>
      <c r="K155" s="25">
        <f t="shared" ref="K155:K161" si="33">SUM(D155:J155)</f>
        <v>2450</v>
      </c>
    </row>
    <row r="156" ht="13.5" customHeight="1">
      <c r="A156" s="26" t="s">
        <v>34</v>
      </c>
      <c r="B156" s="27"/>
      <c r="C156" s="28"/>
      <c r="D156" s="21">
        <v>500.0</v>
      </c>
      <c r="E156" s="36"/>
      <c r="F156" s="36">
        <v>630.0</v>
      </c>
      <c r="G156" s="32"/>
      <c r="H156" s="21">
        <v>600.0</v>
      </c>
      <c r="I156" s="21"/>
      <c r="J156" s="21">
        <v>130.0</v>
      </c>
      <c r="K156" s="25">
        <f t="shared" si="33"/>
        <v>1860</v>
      </c>
    </row>
    <row r="157" ht="13.5" customHeight="1">
      <c r="A157" s="18" t="s">
        <v>35</v>
      </c>
      <c r="B157" s="30">
        <v>2.0</v>
      </c>
      <c r="C157" s="31" t="s">
        <v>36</v>
      </c>
      <c r="D157" s="21"/>
      <c r="E157" s="36"/>
      <c r="F157" s="36"/>
      <c r="G157" s="32"/>
      <c r="H157" s="21"/>
      <c r="I157" s="21"/>
      <c r="J157" s="21"/>
      <c r="K157" s="25">
        <f t="shared" si="33"/>
        <v>0</v>
      </c>
    </row>
    <row r="158" ht="13.5" customHeight="1">
      <c r="A158" s="26" t="s">
        <v>37</v>
      </c>
      <c r="B158" s="33"/>
      <c r="C158" s="34"/>
      <c r="D158" s="21"/>
      <c r="E158" s="36"/>
      <c r="F158" s="36"/>
      <c r="G158" s="32"/>
      <c r="H158" s="21"/>
      <c r="I158" s="21"/>
      <c r="J158" s="21"/>
      <c r="K158" s="25">
        <f t="shared" si="33"/>
        <v>0</v>
      </c>
    </row>
    <row r="159" ht="14.25" customHeight="1">
      <c r="A159" s="18" t="s">
        <v>38</v>
      </c>
      <c r="B159" s="19" t="s">
        <v>39</v>
      </c>
      <c r="C159" s="19" t="s">
        <v>40</v>
      </c>
      <c r="D159" s="21">
        <v>330.0</v>
      </c>
      <c r="E159" s="36"/>
      <c r="F159" s="36">
        <v>620.0</v>
      </c>
      <c r="G159" s="21"/>
      <c r="H159" s="21">
        <v>4680.0</v>
      </c>
      <c r="I159" s="21"/>
      <c r="J159" s="21">
        <v>160.0</v>
      </c>
      <c r="K159" s="25">
        <f t="shared" si="33"/>
        <v>5790</v>
      </c>
      <c r="L159" s="47"/>
      <c r="M159" s="12"/>
    </row>
    <row r="160" ht="13.5" customHeight="1">
      <c r="A160" s="35" t="s">
        <v>41</v>
      </c>
      <c r="B160" s="27"/>
      <c r="C160" s="27"/>
      <c r="D160" s="21">
        <v>280.0</v>
      </c>
      <c r="E160" s="21"/>
      <c r="F160" s="21">
        <v>600.0</v>
      </c>
      <c r="G160" s="21"/>
      <c r="H160" s="21">
        <v>4720.0</v>
      </c>
      <c r="I160" s="21"/>
      <c r="J160" s="21">
        <v>180.0</v>
      </c>
      <c r="K160" s="25">
        <f t="shared" si="33"/>
        <v>5780</v>
      </c>
    </row>
    <row r="161" ht="13.5" customHeight="1">
      <c r="A161" s="40" t="s">
        <v>7</v>
      </c>
      <c r="B161" s="40"/>
      <c r="C161" s="40"/>
      <c r="D161" s="10">
        <f t="shared" ref="D161:J161" si="34">SUM(D155:D160)</f>
        <v>1660</v>
      </c>
      <c r="E161" s="10">
        <f t="shared" si="34"/>
        <v>0</v>
      </c>
      <c r="F161" s="10">
        <f t="shared" si="34"/>
        <v>2660</v>
      </c>
      <c r="G161" s="10">
        <f t="shared" si="34"/>
        <v>0</v>
      </c>
      <c r="H161" s="10">
        <f t="shared" si="34"/>
        <v>10910</v>
      </c>
      <c r="I161" s="10">
        <f t="shared" si="34"/>
        <v>0</v>
      </c>
      <c r="J161" s="10">
        <f t="shared" si="34"/>
        <v>650</v>
      </c>
      <c r="K161" s="25">
        <f t="shared" si="33"/>
        <v>15880</v>
      </c>
    </row>
    <row r="162" ht="13.5" customHeight="1">
      <c r="A162" s="48" t="s">
        <v>253</v>
      </c>
    </row>
    <row r="163" ht="13.5" customHeight="1">
      <c r="A163" s="14" t="s">
        <v>25</v>
      </c>
      <c r="B163" s="14" t="s">
        <v>1</v>
      </c>
      <c r="C163" s="14" t="s">
        <v>27</v>
      </c>
      <c r="D163" s="15" t="s">
        <v>2</v>
      </c>
      <c r="E163" s="10" t="s">
        <v>28</v>
      </c>
      <c r="F163" s="16" t="s">
        <v>3</v>
      </c>
      <c r="G163" s="15" t="s">
        <v>4</v>
      </c>
      <c r="H163" s="15" t="s">
        <v>5</v>
      </c>
      <c r="I163" s="15" t="s">
        <v>29</v>
      </c>
      <c r="J163" s="14" t="s">
        <v>30</v>
      </c>
      <c r="K163" s="17" t="s">
        <v>7</v>
      </c>
    </row>
    <row r="164" ht="13.5" customHeight="1">
      <c r="A164" s="18" t="s">
        <v>31</v>
      </c>
      <c r="B164" s="19">
        <v>1.2</v>
      </c>
      <c r="C164" s="20" t="s">
        <v>33</v>
      </c>
      <c r="D164" s="21">
        <v>500.0</v>
      </c>
      <c r="E164" s="36"/>
      <c r="F164" s="36">
        <v>900.0</v>
      </c>
      <c r="G164" s="32"/>
      <c r="H164" s="21">
        <v>870.0</v>
      </c>
      <c r="I164" s="21"/>
      <c r="J164" s="24">
        <v>150.0</v>
      </c>
      <c r="K164" s="25">
        <f t="shared" ref="K164:K170" si="35">SUM(D164:J164)</f>
        <v>2420</v>
      </c>
    </row>
    <row r="165" ht="13.5" customHeight="1">
      <c r="A165" s="26" t="s">
        <v>34</v>
      </c>
      <c r="B165" s="27"/>
      <c r="C165" s="28"/>
      <c r="D165" s="21">
        <v>500.0</v>
      </c>
      <c r="E165" s="36"/>
      <c r="F165" s="36">
        <v>500.0</v>
      </c>
      <c r="G165" s="32"/>
      <c r="H165" s="21">
        <v>630.0</v>
      </c>
      <c r="I165" s="21"/>
      <c r="J165" s="29">
        <v>70.0</v>
      </c>
      <c r="K165" s="25">
        <f t="shared" si="35"/>
        <v>1700</v>
      </c>
    </row>
    <row r="166" ht="13.5" customHeight="1">
      <c r="A166" s="18" t="s">
        <v>35</v>
      </c>
      <c r="B166" s="30">
        <v>2.0</v>
      </c>
      <c r="C166" s="31" t="s">
        <v>36</v>
      </c>
      <c r="D166" s="21"/>
      <c r="E166" s="36"/>
      <c r="F166" s="36"/>
      <c r="G166" s="32"/>
      <c r="H166" s="21"/>
      <c r="I166" s="21"/>
      <c r="J166" s="24"/>
      <c r="K166" s="25">
        <f t="shared" si="35"/>
        <v>0</v>
      </c>
    </row>
    <row r="167" ht="13.5" customHeight="1">
      <c r="A167" s="26" t="s">
        <v>37</v>
      </c>
      <c r="B167" s="33"/>
      <c r="C167" s="34"/>
      <c r="D167" s="21"/>
      <c r="E167" s="36"/>
      <c r="F167" s="36"/>
      <c r="G167" s="21"/>
      <c r="H167" s="21"/>
      <c r="I167" s="21"/>
      <c r="J167" s="29"/>
      <c r="K167" s="25">
        <f t="shared" si="35"/>
        <v>0</v>
      </c>
    </row>
    <row r="168" ht="14.25" customHeight="1">
      <c r="A168" s="18" t="s">
        <v>38</v>
      </c>
      <c r="B168" s="19" t="s">
        <v>39</v>
      </c>
      <c r="C168" s="19" t="s">
        <v>40</v>
      </c>
      <c r="D168" s="21">
        <v>310.0</v>
      </c>
      <c r="E168" s="36"/>
      <c r="F168" s="36">
        <v>570.0</v>
      </c>
      <c r="G168" s="21"/>
      <c r="H168" s="21">
        <v>5080.0</v>
      </c>
      <c r="I168" s="21"/>
      <c r="J168" s="21">
        <v>140.0</v>
      </c>
      <c r="K168" s="25">
        <f t="shared" si="35"/>
        <v>6100</v>
      </c>
      <c r="L168" s="47"/>
      <c r="M168" s="12"/>
    </row>
    <row r="169" ht="13.5" customHeight="1">
      <c r="A169" s="35" t="s">
        <v>41</v>
      </c>
      <c r="B169" s="27"/>
      <c r="C169" s="27"/>
      <c r="D169" s="21">
        <v>300.0</v>
      </c>
      <c r="E169" s="21"/>
      <c r="F169" s="21">
        <v>660.0</v>
      </c>
      <c r="G169" s="21"/>
      <c r="H169" s="21">
        <v>4800.0</v>
      </c>
      <c r="I169" s="21"/>
      <c r="J169" s="21">
        <v>150.0</v>
      </c>
      <c r="K169" s="25">
        <f t="shared" si="35"/>
        <v>5910</v>
      </c>
    </row>
    <row r="170" ht="13.5" customHeight="1">
      <c r="A170" s="40" t="s">
        <v>7</v>
      </c>
      <c r="B170" s="40"/>
      <c r="C170" s="40"/>
      <c r="D170" s="10">
        <f t="shared" ref="D170:J170" si="36">SUM(D164:D169)</f>
        <v>1610</v>
      </c>
      <c r="E170" s="10">
        <f t="shared" si="36"/>
        <v>0</v>
      </c>
      <c r="F170" s="10">
        <f t="shared" si="36"/>
        <v>2630</v>
      </c>
      <c r="G170" s="10">
        <f t="shared" si="36"/>
        <v>0</v>
      </c>
      <c r="H170" s="10">
        <f t="shared" si="36"/>
        <v>11380</v>
      </c>
      <c r="I170" s="10">
        <f t="shared" si="36"/>
        <v>0</v>
      </c>
      <c r="J170" s="10">
        <f t="shared" si="36"/>
        <v>510</v>
      </c>
      <c r="K170" s="25">
        <f t="shared" si="35"/>
        <v>16130</v>
      </c>
    </row>
    <row r="171" ht="13.5" customHeight="1">
      <c r="A171" s="48" t="s">
        <v>254</v>
      </c>
    </row>
    <row r="172" ht="13.5" customHeight="1">
      <c r="A172" s="14"/>
      <c r="B172" s="14" t="s">
        <v>1</v>
      </c>
      <c r="C172" s="14" t="s">
        <v>27</v>
      </c>
      <c r="D172" s="15" t="s">
        <v>2</v>
      </c>
      <c r="E172" s="10" t="s">
        <v>28</v>
      </c>
      <c r="F172" s="16" t="s">
        <v>3</v>
      </c>
      <c r="G172" s="15" t="s">
        <v>4</v>
      </c>
      <c r="H172" s="15" t="s">
        <v>5</v>
      </c>
      <c r="I172" s="15" t="s">
        <v>77</v>
      </c>
      <c r="J172" s="14" t="s">
        <v>30</v>
      </c>
      <c r="K172" s="17" t="s">
        <v>7</v>
      </c>
    </row>
    <row r="173" ht="13.5" customHeight="1">
      <c r="A173" s="18" t="s">
        <v>31</v>
      </c>
      <c r="B173" s="19" t="s">
        <v>212</v>
      </c>
      <c r="C173" s="20" t="s">
        <v>33</v>
      </c>
      <c r="D173" s="21">
        <v>510.0</v>
      </c>
      <c r="E173" s="36"/>
      <c r="F173" s="36">
        <v>840.0</v>
      </c>
      <c r="G173" s="32"/>
      <c r="H173" s="21">
        <v>990.0</v>
      </c>
      <c r="I173" s="21"/>
      <c r="J173" s="24">
        <v>130.0</v>
      </c>
      <c r="K173" s="25">
        <f t="shared" ref="K173:K179" si="37">SUM(D173:J173)</f>
        <v>2470</v>
      </c>
    </row>
    <row r="174" ht="13.5" customHeight="1">
      <c r="A174" s="26" t="s">
        <v>34</v>
      </c>
      <c r="B174" s="27"/>
      <c r="C174" s="28"/>
      <c r="D174" s="21">
        <v>500.0</v>
      </c>
      <c r="E174" s="36"/>
      <c r="F174" s="36">
        <v>530.0</v>
      </c>
      <c r="G174" s="32"/>
      <c r="H174" s="21">
        <v>540.0</v>
      </c>
      <c r="I174" s="21"/>
      <c r="J174" s="24">
        <v>110.0</v>
      </c>
      <c r="K174" s="25">
        <f t="shared" si="37"/>
        <v>1680</v>
      </c>
    </row>
    <row r="175" ht="13.5" customHeight="1">
      <c r="A175" s="18" t="s">
        <v>35</v>
      </c>
      <c r="B175" s="30">
        <v>2.0</v>
      </c>
      <c r="C175" s="31" t="s">
        <v>36</v>
      </c>
      <c r="D175" s="21"/>
      <c r="E175" s="36"/>
      <c r="F175" s="41"/>
      <c r="G175" s="32"/>
      <c r="H175" s="21"/>
      <c r="I175" s="21"/>
      <c r="J175" s="24"/>
      <c r="K175" s="25">
        <f t="shared" si="37"/>
        <v>0</v>
      </c>
    </row>
    <row r="176" ht="13.5" customHeight="1">
      <c r="A176" s="26" t="s">
        <v>37</v>
      </c>
      <c r="B176" s="33"/>
      <c r="C176" s="34"/>
      <c r="D176" s="21"/>
      <c r="E176" s="36"/>
      <c r="F176" s="41"/>
      <c r="G176" s="32"/>
      <c r="H176" s="21"/>
      <c r="I176" s="21"/>
      <c r="J176" s="29"/>
      <c r="K176" s="25">
        <f t="shared" si="37"/>
        <v>0</v>
      </c>
    </row>
    <row r="177" ht="14.25" customHeight="1">
      <c r="A177" s="18" t="s">
        <v>38</v>
      </c>
      <c r="B177" s="19" t="s">
        <v>39</v>
      </c>
      <c r="C177" s="19" t="s">
        <v>40</v>
      </c>
      <c r="D177" s="21">
        <v>320.0</v>
      </c>
      <c r="E177" s="36"/>
      <c r="F177" s="36">
        <v>640.0</v>
      </c>
      <c r="G177" s="21"/>
      <c r="H177" s="21">
        <v>4940.0</v>
      </c>
      <c r="I177" s="21"/>
      <c r="J177" s="21">
        <v>200.0</v>
      </c>
      <c r="K177" s="25">
        <f t="shared" si="37"/>
        <v>6100</v>
      </c>
      <c r="L177" s="47"/>
      <c r="M177" s="12"/>
    </row>
    <row r="178" ht="13.5" customHeight="1">
      <c r="A178" s="35" t="s">
        <v>41</v>
      </c>
      <c r="B178" s="27"/>
      <c r="C178" s="27"/>
      <c r="D178" s="21">
        <v>280.0</v>
      </c>
      <c r="E178" s="36"/>
      <c r="F178" s="36">
        <v>600.0</v>
      </c>
      <c r="G178" s="21"/>
      <c r="H178" s="21">
        <v>4960.0</v>
      </c>
      <c r="I178" s="21"/>
      <c r="J178" s="21">
        <v>190.0</v>
      </c>
      <c r="K178" s="25">
        <f t="shared" si="37"/>
        <v>6030</v>
      </c>
    </row>
    <row r="179" ht="13.5" customHeight="1">
      <c r="A179" s="40" t="s">
        <v>7</v>
      </c>
      <c r="B179" s="40"/>
      <c r="C179" s="40"/>
      <c r="D179" s="10">
        <f t="shared" ref="D179:J179" si="38">SUM(D173:D178)</f>
        <v>1610</v>
      </c>
      <c r="E179" s="10">
        <f t="shared" si="38"/>
        <v>0</v>
      </c>
      <c r="F179" s="10">
        <f t="shared" si="38"/>
        <v>2610</v>
      </c>
      <c r="G179" s="10">
        <f t="shared" si="38"/>
        <v>0</v>
      </c>
      <c r="H179" s="10">
        <f t="shared" si="38"/>
        <v>11430</v>
      </c>
      <c r="I179" s="10">
        <f t="shared" si="38"/>
        <v>0</v>
      </c>
      <c r="J179" s="10">
        <f t="shared" si="38"/>
        <v>630</v>
      </c>
      <c r="K179" s="25">
        <f t="shared" si="37"/>
        <v>16280</v>
      </c>
    </row>
    <row r="180" ht="13.5" customHeight="1">
      <c r="A180" s="48" t="s">
        <v>255</v>
      </c>
    </row>
    <row r="181" ht="13.5" customHeight="1">
      <c r="A181" s="14" t="s">
        <v>25</v>
      </c>
      <c r="B181" s="14" t="s">
        <v>1</v>
      </c>
      <c r="C181" s="14" t="s">
        <v>27</v>
      </c>
      <c r="D181" s="15" t="s">
        <v>2</v>
      </c>
      <c r="E181" s="10" t="s">
        <v>28</v>
      </c>
      <c r="F181" s="16" t="s">
        <v>3</v>
      </c>
      <c r="G181" s="15" t="s">
        <v>4</v>
      </c>
      <c r="H181" s="15" t="s">
        <v>5</v>
      </c>
      <c r="I181" s="15" t="s">
        <v>77</v>
      </c>
      <c r="J181" s="14" t="s">
        <v>30</v>
      </c>
      <c r="K181" s="17" t="s">
        <v>7</v>
      </c>
    </row>
    <row r="182" ht="13.5" customHeight="1">
      <c r="A182" s="18" t="s">
        <v>31</v>
      </c>
      <c r="B182" s="43">
        <v>1.2</v>
      </c>
      <c r="C182" s="20" t="s">
        <v>33</v>
      </c>
      <c r="D182" s="21">
        <v>550.0</v>
      </c>
      <c r="E182" s="36"/>
      <c r="F182" s="41">
        <v>1000.0</v>
      </c>
      <c r="G182" s="32"/>
      <c r="H182" s="21">
        <v>730.0</v>
      </c>
      <c r="I182" s="21"/>
      <c r="J182" s="24">
        <v>120.0</v>
      </c>
      <c r="K182" s="25">
        <f t="shared" ref="K182:K188" si="39">SUM(D182:J182)</f>
        <v>2400</v>
      </c>
    </row>
    <row r="183" ht="13.5" customHeight="1">
      <c r="A183" s="26" t="s">
        <v>34</v>
      </c>
      <c r="C183" s="28"/>
      <c r="D183" s="21">
        <v>500.0</v>
      </c>
      <c r="E183" s="36"/>
      <c r="F183" s="41">
        <v>500.0</v>
      </c>
      <c r="G183" s="32"/>
      <c r="H183" s="21">
        <v>600.0</v>
      </c>
      <c r="I183" s="21"/>
      <c r="J183" s="29">
        <v>100.0</v>
      </c>
      <c r="K183" s="25">
        <f t="shared" si="39"/>
        <v>1700</v>
      </c>
    </row>
    <row r="184" ht="13.5" customHeight="1">
      <c r="A184" s="18" t="s">
        <v>35</v>
      </c>
      <c r="B184" s="30">
        <v>2.0</v>
      </c>
      <c r="C184" s="31" t="s">
        <v>36</v>
      </c>
      <c r="D184" s="21"/>
      <c r="E184" s="36"/>
      <c r="F184" s="41"/>
      <c r="G184" s="32"/>
      <c r="H184" s="21"/>
      <c r="I184" s="21"/>
      <c r="J184" s="24"/>
      <c r="K184" s="25">
        <f t="shared" si="39"/>
        <v>0</v>
      </c>
    </row>
    <row r="185" ht="13.5" customHeight="1">
      <c r="A185" s="26" t="s">
        <v>37</v>
      </c>
      <c r="B185" s="33"/>
      <c r="C185" s="34"/>
      <c r="D185" s="21"/>
      <c r="E185" s="36"/>
      <c r="F185" s="41"/>
      <c r="G185" s="32"/>
      <c r="H185" s="21"/>
      <c r="I185" s="21"/>
      <c r="J185" s="29"/>
      <c r="K185" s="25">
        <f t="shared" si="39"/>
        <v>0</v>
      </c>
    </row>
    <row r="186" ht="14.25" customHeight="1">
      <c r="A186" s="18" t="s">
        <v>38</v>
      </c>
      <c r="B186" s="19" t="s">
        <v>39</v>
      </c>
      <c r="C186" s="19" t="s">
        <v>40</v>
      </c>
      <c r="D186" s="21">
        <v>300.0</v>
      </c>
      <c r="E186" s="36"/>
      <c r="F186" s="36">
        <v>600.0</v>
      </c>
      <c r="G186" s="21"/>
      <c r="H186" s="21">
        <v>4520.0</v>
      </c>
      <c r="I186" s="21"/>
      <c r="J186" s="21">
        <v>200.0</v>
      </c>
      <c r="K186" s="25">
        <f t="shared" si="39"/>
        <v>5620</v>
      </c>
      <c r="L186" s="47"/>
      <c r="M186" s="12"/>
    </row>
    <row r="187" ht="13.5" customHeight="1">
      <c r="A187" s="35" t="s">
        <v>41</v>
      </c>
      <c r="B187" s="27"/>
      <c r="C187" s="27"/>
      <c r="D187" s="21">
        <v>280.0</v>
      </c>
      <c r="E187" s="21"/>
      <c r="F187" s="21">
        <v>630.0</v>
      </c>
      <c r="G187" s="21"/>
      <c r="H187" s="21">
        <v>4880.0</v>
      </c>
      <c r="I187" s="21"/>
      <c r="J187" s="21">
        <v>140.0</v>
      </c>
      <c r="K187" s="25">
        <f t="shared" si="39"/>
        <v>5930</v>
      </c>
    </row>
    <row r="188" ht="13.5" customHeight="1">
      <c r="A188" s="40" t="s">
        <v>7</v>
      </c>
      <c r="B188" s="40"/>
      <c r="C188" s="40"/>
      <c r="D188" s="10">
        <f t="shared" ref="D188:J188" si="40">SUM(D182:D187)</f>
        <v>1630</v>
      </c>
      <c r="E188" s="10">
        <f t="shared" si="40"/>
        <v>0</v>
      </c>
      <c r="F188" s="10">
        <f t="shared" si="40"/>
        <v>2730</v>
      </c>
      <c r="G188" s="10">
        <f t="shared" si="40"/>
        <v>0</v>
      </c>
      <c r="H188" s="10">
        <f t="shared" si="40"/>
        <v>10730</v>
      </c>
      <c r="I188" s="10">
        <f t="shared" si="40"/>
        <v>0</v>
      </c>
      <c r="J188" s="10">
        <f t="shared" si="40"/>
        <v>560</v>
      </c>
      <c r="K188" s="25">
        <f t="shared" si="39"/>
        <v>15650</v>
      </c>
    </row>
    <row r="189" ht="13.5" customHeight="1">
      <c r="A189" s="48" t="s">
        <v>256</v>
      </c>
    </row>
    <row r="190" ht="13.5" customHeight="1">
      <c r="A190" s="14" t="s">
        <v>25</v>
      </c>
      <c r="B190" s="14" t="s">
        <v>1</v>
      </c>
      <c r="C190" s="14" t="s">
        <v>27</v>
      </c>
      <c r="D190" s="15" t="s">
        <v>2</v>
      </c>
      <c r="E190" s="10" t="s">
        <v>28</v>
      </c>
      <c r="F190" s="16" t="s">
        <v>3</v>
      </c>
      <c r="G190" s="15" t="s">
        <v>4</v>
      </c>
      <c r="H190" s="15" t="s">
        <v>5</v>
      </c>
      <c r="I190" s="15" t="s">
        <v>82</v>
      </c>
      <c r="J190" s="14" t="s">
        <v>30</v>
      </c>
      <c r="K190" s="17" t="s">
        <v>7</v>
      </c>
    </row>
    <row r="191" ht="13.5" customHeight="1">
      <c r="A191" s="18" t="s">
        <v>31</v>
      </c>
      <c r="B191" s="19">
        <v>1.2</v>
      </c>
      <c r="C191" s="20" t="s">
        <v>33</v>
      </c>
      <c r="D191" s="21">
        <v>570.0</v>
      </c>
      <c r="E191" s="36"/>
      <c r="F191" s="36">
        <v>800.0</v>
      </c>
      <c r="G191" s="32"/>
      <c r="H191" s="21">
        <v>840.0</v>
      </c>
      <c r="I191" s="21"/>
      <c r="J191" s="50">
        <v>120.0</v>
      </c>
      <c r="K191" s="25">
        <f t="shared" ref="K191:K197" si="41">SUM(D191:J191)</f>
        <v>2330</v>
      </c>
    </row>
    <row r="192" ht="13.5" customHeight="1">
      <c r="A192" s="26" t="s">
        <v>34</v>
      </c>
      <c r="B192" s="27"/>
      <c r="C192" s="28"/>
      <c r="D192" s="21">
        <v>450.0</v>
      </c>
      <c r="E192" s="36"/>
      <c r="F192" s="36">
        <v>650.0</v>
      </c>
      <c r="G192" s="32"/>
      <c r="H192" s="21">
        <v>550.0</v>
      </c>
      <c r="I192" s="21"/>
      <c r="J192" s="51">
        <v>110.0</v>
      </c>
      <c r="K192" s="25">
        <f t="shared" si="41"/>
        <v>1760</v>
      </c>
    </row>
    <row r="193" ht="13.5" customHeight="1">
      <c r="A193" s="18" t="s">
        <v>35</v>
      </c>
      <c r="B193" s="30">
        <v>2.0</v>
      </c>
      <c r="C193" s="31" t="s">
        <v>36</v>
      </c>
      <c r="D193" s="21"/>
      <c r="E193" s="36"/>
      <c r="F193" s="36"/>
      <c r="G193" s="32"/>
      <c r="H193" s="21"/>
      <c r="I193" s="21"/>
      <c r="J193" s="50"/>
      <c r="K193" s="25">
        <f t="shared" si="41"/>
        <v>0</v>
      </c>
    </row>
    <row r="194" ht="13.5" customHeight="1">
      <c r="A194" s="26" t="s">
        <v>37</v>
      </c>
      <c r="B194" s="33"/>
      <c r="C194" s="34"/>
      <c r="D194" s="10"/>
      <c r="E194" s="10"/>
      <c r="F194" s="10"/>
      <c r="G194" s="32"/>
      <c r="H194" s="10"/>
      <c r="I194" s="10"/>
      <c r="J194" s="52"/>
      <c r="K194" s="25">
        <f t="shared" si="41"/>
        <v>0</v>
      </c>
    </row>
    <row r="195" ht="14.25" customHeight="1">
      <c r="A195" s="18" t="s">
        <v>38</v>
      </c>
      <c r="B195" s="19" t="s">
        <v>39</v>
      </c>
      <c r="C195" s="19" t="s">
        <v>40</v>
      </c>
      <c r="D195" s="21">
        <v>300.0</v>
      </c>
      <c r="E195" s="36"/>
      <c r="F195" s="36">
        <v>450.0</v>
      </c>
      <c r="G195" s="21"/>
      <c r="H195" s="21">
        <v>5120.0</v>
      </c>
      <c r="I195" s="21"/>
      <c r="J195" s="21">
        <v>160.0</v>
      </c>
      <c r="K195" s="25">
        <f t="shared" si="41"/>
        <v>6030</v>
      </c>
      <c r="L195" s="47"/>
      <c r="M195" s="12"/>
    </row>
    <row r="196" ht="13.5" customHeight="1">
      <c r="A196" s="35" t="s">
        <v>41</v>
      </c>
      <c r="B196" s="27"/>
      <c r="C196" s="27"/>
      <c r="D196" s="21">
        <v>350.0</v>
      </c>
      <c r="E196" s="21"/>
      <c r="F196" s="21">
        <v>550.0</v>
      </c>
      <c r="G196" s="21"/>
      <c r="H196" s="21">
        <v>4840.0</v>
      </c>
      <c r="I196" s="21"/>
      <c r="J196" s="21">
        <v>160.0</v>
      </c>
      <c r="K196" s="25">
        <f t="shared" si="41"/>
        <v>5900</v>
      </c>
    </row>
    <row r="197" ht="13.5" customHeight="1">
      <c r="A197" s="40" t="s">
        <v>7</v>
      </c>
      <c r="B197" s="40"/>
      <c r="C197" s="40"/>
      <c r="D197" s="10">
        <f t="shared" ref="D197:J197" si="42">SUM(D191:D196)</f>
        <v>1670</v>
      </c>
      <c r="E197" s="10">
        <f t="shared" si="42"/>
        <v>0</v>
      </c>
      <c r="F197" s="10">
        <f t="shared" si="42"/>
        <v>2450</v>
      </c>
      <c r="G197" s="10">
        <f t="shared" si="42"/>
        <v>0</v>
      </c>
      <c r="H197" s="10">
        <f t="shared" si="42"/>
        <v>11350</v>
      </c>
      <c r="I197" s="10">
        <f t="shared" si="42"/>
        <v>0</v>
      </c>
      <c r="J197" s="10">
        <f t="shared" si="42"/>
        <v>550</v>
      </c>
      <c r="K197" s="25">
        <f t="shared" si="41"/>
        <v>16020</v>
      </c>
    </row>
    <row r="198" ht="13.5" customHeight="1"/>
    <row r="199" ht="13.5" customHeight="1">
      <c r="A199" s="48" t="s">
        <v>257</v>
      </c>
    </row>
    <row r="200" ht="13.5" customHeight="1">
      <c r="A200" s="14" t="s">
        <v>25</v>
      </c>
      <c r="B200" s="14" t="s">
        <v>1</v>
      </c>
      <c r="C200" s="14" t="s">
        <v>27</v>
      </c>
      <c r="D200" s="15" t="s">
        <v>2</v>
      </c>
      <c r="E200" s="10" t="s">
        <v>28</v>
      </c>
      <c r="F200" s="16" t="s">
        <v>3</v>
      </c>
      <c r="G200" s="15" t="s">
        <v>4</v>
      </c>
      <c r="H200" s="15" t="s">
        <v>5</v>
      </c>
      <c r="I200" s="15" t="s">
        <v>29</v>
      </c>
      <c r="J200" s="14" t="s">
        <v>30</v>
      </c>
      <c r="K200" s="17" t="s">
        <v>7</v>
      </c>
    </row>
    <row r="201" ht="13.5" customHeight="1">
      <c r="A201" s="18" t="s">
        <v>31</v>
      </c>
      <c r="B201" s="19" t="s">
        <v>212</v>
      </c>
      <c r="C201" s="20" t="s">
        <v>33</v>
      </c>
      <c r="D201" s="21">
        <v>500.0</v>
      </c>
      <c r="E201" s="36"/>
      <c r="F201" s="41">
        <v>930.0</v>
      </c>
      <c r="G201" s="32"/>
      <c r="H201" s="21">
        <v>820.0</v>
      </c>
      <c r="I201" s="21"/>
      <c r="J201" s="24">
        <v>180.0</v>
      </c>
      <c r="K201" s="25">
        <f t="shared" ref="K201:K207" si="43">SUM(D201:J201)</f>
        <v>2430</v>
      </c>
    </row>
    <row r="202" ht="13.5" customHeight="1">
      <c r="A202" s="26" t="s">
        <v>34</v>
      </c>
      <c r="B202" s="27"/>
      <c r="C202" s="28"/>
      <c r="D202" s="21">
        <v>500.0</v>
      </c>
      <c r="E202" s="36"/>
      <c r="F202" s="41">
        <v>850.0</v>
      </c>
      <c r="G202" s="32"/>
      <c r="H202" s="21">
        <v>550.0</v>
      </c>
      <c r="I202" s="21"/>
      <c r="J202" s="29">
        <v>150.0</v>
      </c>
      <c r="K202" s="25">
        <f t="shared" si="43"/>
        <v>2050</v>
      </c>
    </row>
    <row r="203" ht="13.5" customHeight="1">
      <c r="A203" s="18" t="s">
        <v>35</v>
      </c>
      <c r="B203" s="30">
        <v>2.0</v>
      </c>
      <c r="C203" s="31" t="s">
        <v>36</v>
      </c>
      <c r="D203" s="21"/>
      <c r="E203" s="41"/>
      <c r="F203" s="10"/>
      <c r="G203" s="32"/>
      <c r="H203" s="21"/>
      <c r="I203" s="24"/>
      <c r="J203" s="24"/>
      <c r="K203" s="25">
        <f t="shared" si="43"/>
        <v>0</v>
      </c>
    </row>
    <row r="204" ht="13.5" customHeight="1">
      <c r="A204" s="26" t="s">
        <v>37</v>
      </c>
      <c r="B204" s="33"/>
      <c r="C204" s="34"/>
      <c r="D204" s="21"/>
      <c r="E204" s="36"/>
      <c r="F204" s="36"/>
      <c r="G204" s="32"/>
      <c r="H204" s="21"/>
      <c r="I204" s="29"/>
      <c r="J204" s="29"/>
      <c r="K204" s="25">
        <f t="shared" si="43"/>
        <v>0</v>
      </c>
    </row>
    <row r="205" ht="14.25" customHeight="1">
      <c r="A205" s="18" t="s">
        <v>38</v>
      </c>
      <c r="B205" s="19" t="s">
        <v>39</v>
      </c>
      <c r="C205" s="19" t="s">
        <v>40</v>
      </c>
      <c r="D205" s="21">
        <v>290.0</v>
      </c>
      <c r="E205" s="36"/>
      <c r="F205" s="36">
        <v>500.0</v>
      </c>
      <c r="G205" s="21"/>
      <c r="H205" s="21">
        <v>5030.0</v>
      </c>
      <c r="I205" s="21"/>
      <c r="J205" s="24">
        <v>190.0</v>
      </c>
      <c r="K205" s="25">
        <f t="shared" si="43"/>
        <v>6010</v>
      </c>
      <c r="L205" s="47"/>
      <c r="M205" s="12"/>
    </row>
    <row r="206" ht="13.5" customHeight="1">
      <c r="A206" s="35" t="s">
        <v>41</v>
      </c>
      <c r="B206" s="27"/>
      <c r="C206" s="27"/>
      <c r="D206" s="21">
        <v>290.0</v>
      </c>
      <c r="E206" s="36"/>
      <c r="F206" s="36">
        <v>670.0</v>
      </c>
      <c r="G206" s="21"/>
      <c r="H206" s="21">
        <v>4840.0</v>
      </c>
      <c r="I206" s="21"/>
      <c r="J206" s="39">
        <v>130.0</v>
      </c>
      <c r="K206" s="25">
        <f t="shared" si="43"/>
        <v>5930</v>
      </c>
    </row>
    <row r="207" ht="13.5" customHeight="1">
      <c r="A207" s="40" t="s">
        <v>7</v>
      </c>
      <c r="B207" s="40"/>
      <c r="C207" s="40"/>
      <c r="D207" s="10">
        <f t="shared" ref="D207:J207" si="44">SUM(D201:D206)</f>
        <v>1580</v>
      </c>
      <c r="E207" s="10">
        <f t="shared" si="44"/>
        <v>0</v>
      </c>
      <c r="F207" s="10">
        <f t="shared" si="44"/>
        <v>2950</v>
      </c>
      <c r="G207" s="10">
        <f t="shared" si="44"/>
        <v>0</v>
      </c>
      <c r="H207" s="10">
        <f t="shared" si="44"/>
        <v>11240</v>
      </c>
      <c r="I207" s="10">
        <f t="shared" si="44"/>
        <v>0</v>
      </c>
      <c r="J207" s="10">
        <f t="shared" si="44"/>
        <v>650</v>
      </c>
      <c r="K207" s="25">
        <f t="shared" si="43"/>
        <v>16420</v>
      </c>
    </row>
    <row r="208" ht="13.5" customHeight="1"/>
    <row r="209" ht="13.5" customHeight="1">
      <c r="A209" s="48" t="s">
        <v>258</v>
      </c>
    </row>
    <row r="210" ht="13.5" customHeight="1">
      <c r="A210" s="14"/>
      <c r="B210" s="14" t="s">
        <v>1</v>
      </c>
      <c r="C210" s="14" t="s">
        <v>27</v>
      </c>
      <c r="D210" s="15" t="s">
        <v>2</v>
      </c>
      <c r="E210" s="10" t="s">
        <v>28</v>
      </c>
      <c r="F210" s="16" t="s">
        <v>3</v>
      </c>
      <c r="G210" s="15" t="s">
        <v>4</v>
      </c>
      <c r="H210" s="15" t="s">
        <v>5</v>
      </c>
      <c r="I210" s="15" t="s">
        <v>29</v>
      </c>
      <c r="J210" s="14" t="s">
        <v>30</v>
      </c>
      <c r="K210" s="17" t="s">
        <v>7</v>
      </c>
    </row>
    <row r="211" ht="13.5" customHeight="1">
      <c r="A211" s="18" t="s">
        <v>31</v>
      </c>
      <c r="B211" s="19" t="s">
        <v>212</v>
      </c>
      <c r="C211" s="20" t="s">
        <v>33</v>
      </c>
      <c r="D211" s="21">
        <v>530.0</v>
      </c>
      <c r="E211" s="36"/>
      <c r="F211" s="36">
        <v>840.0</v>
      </c>
      <c r="G211" s="32"/>
      <c r="H211" s="21">
        <v>980.0</v>
      </c>
      <c r="I211" s="23"/>
      <c r="J211" s="24">
        <v>210.0</v>
      </c>
      <c r="K211" s="25">
        <f t="shared" ref="K211:K217" si="45">SUM(D211:J211)</f>
        <v>2560</v>
      </c>
    </row>
    <row r="212" ht="13.5" customHeight="1">
      <c r="A212" s="26" t="s">
        <v>34</v>
      </c>
      <c r="B212" s="27"/>
      <c r="C212" s="28"/>
      <c r="D212" s="21">
        <v>500.0</v>
      </c>
      <c r="E212" s="36"/>
      <c r="F212" s="37">
        <v>640.0</v>
      </c>
      <c r="G212" s="53"/>
      <c r="H212" s="22">
        <v>830.0</v>
      </c>
      <c r="I212" s="29"/>
      <c r="J212" s="29">
        <v>150.0</v>
      </c>
      <c r="K212" s="25">
        <f t="shared" si="45"/>
        <v>2120</v>
      </c>
    </row>
    <row r="213" ht="13.5" customHeight="1">
      <c r="A213" s="18" t="s">
        <v>35</v>
      </c>
      <c r="B213" s="30">
        <v>2.0</v>
      </c>
      <c r="C213" s="31" t="s">
        <v>36</v>
      </c>
      <c r="D213" s="21"/>
      <c r="E213" s="36"/>
      <c r="F213" s="36"/>
      <c r="G213" s="21"/>
      <c r="H213" s="21"/>
      <c r="I213" s="21"/>
      <c r="J213" s="24"/>
      <c r="K213" s="25">
        <f t="shared" si="45"/>
        <v>0</v>
      </c>
    </row>
    <row r="214" ht="13.5" customHeight="1">
      <c r="A214" s="26" t="s">
        <v>37</v>
      </c>
      <c r="B214" s="33"/>
      <c r="C214" s="34"/>
      <c r="D214" s="21"/>
      <c r="E214" s="36"/>
      <c r="F214" s="36"/>
      <c r="G214" s="21"/>
      <c r="H214" s="21"/>
      <c r="I214" s="21"/>
      <c r="J214" s="29"/>
      <c r="K214" s="25">
        <f t="shared" si="45"/>
        <v>0</v>
      </c>
    </row>
    <row r="215" ht="14.25" customHeight="1">
      <c r="A215" s="18" t="s">
        <v>38</v>
      </c>
      <c r="B215" s="19" t="s">
        <v>39</v>
      </c>
      <c r="C215" s="19" t="s">
        <v>40</v>
      </c>
      <c r="D215" s="21">
        <v>280.0</v>
      </c>
      <c r="E215" s="36"/>
      <c r="F215" s="36">
        <v>600.0</v>
      </c>
      <c r="G215" s="21"/>
      <c r="H215" s="21">
        <v>5300.0</v>
      </c>
      <c r="I215" s="21"/>
      <c r="J215" s="24">
        <v>330.0</v>
      </c>
      <c r="K215" s="25">
        <f t="shared" si="45"/>
        <v>6510</v>
      </c>
      <c r="L215" s="47"/>
      <c r="M215" s="12"/>
    </row>
    <row r="216" ht="13.5" customHeight="1">
      <c r="A216" s="35" t="s">
        <v>41</v>
      </c>
      <c r="B216" s="27"/>
      <c r="C216" s="27"/>
      <c r="D216" s="21">
        <v>270.0</v>
      </c>
      <c r="E216" s="21"/>
      <c r="F216" s="21">
        <v>630.0</v>
      </c>
      <c r="G216" s="21"/>
      <c r="H216" s="21">
        <v>5370.0</v>
      </c>
      <c r="I216" s="21"/>
      <c r="J216" s="21">
        <v>280.0</v>
      </c>
      <c r="K216" s="25">
        <f t="shared" si="45"/>
        <v>6550</v>
      </c>
    </row>
    <row r="217" ht="13.5" customHeight="1">
      <c r="A217" s="40" t="s">
        <v>7</v>
      </c>
      <c r="B217" s="40"/>
      <c r="C217" s="40"/>
      <c r="D217" s="10">
        <f t="shared" ref="D217:J217" si="46">SUM(D211:D216)</f>
        <v>1580</v>
      </c>
      <c r="E217" s="10">
        <f t="shared" si="46"/>
        <v>0</v>
      </c>
      <c r="F217" s="10">
        <f t="shared" si="46"/>
        <v>2710</v>
      </c>
      <c r="G217" s="10">
        <f t="shared" si="46"/>
        <v>0</v>
      </c>
      <c r="H217" s="10">
        <f t="shared" si="46"/>
        <v>12480</v>
      </c>
      <c r="I217" s="10">
        <f t="shared" si="46"/>
        <v>0</v>
      </c>
      <c r="J217" s="10">
        <f t="shared" si="46"/>
        <v>970</v>
      </c>
      <c r="K217" s="25">
        <f t="shared" si="45"/>
        <v>17740</v>
      </c>
    </row>
    <row r="218" ht="13.5" customHeight="1"/>
    <row r="219" ht="13.5" customHeight="1">
      <c r="A219" s="48" t="s">
        <v>259</v>
      </c>
    </row>
    <row r="220" ht="13.5" customHeight="1">
      <c r="A220" s="14" t="s">
        <v>25</v>
      </c>
      <c r="B220" s="14" t="s">
        <v>1</v>
      </c>
      <c r="C220" s="14" t="s">
        <v>27</v>
      </c>
      <c r="D220" s="15" t="s">
        <v>2</v>
      </c>
      <c r="E220" s="10" t="s">
        <v>28</v>
      </c>
      <c r="F220" s="16" t="s">
        <v>3</v>
      </c>
      <c r="G220" s="15" t="s">
        <v>4</v>
      </c>
      <c r="H220" s="15" t="s">
        <v>5</v>
      </c>
      <c r="I220" s="15" t="s">
        <v>29</v>
      </c>
      <c r="J220" s="14" t="s">
        <v>30</v>
      </c>
      <c r="K220" s="17" t="s">
        <v>7</v>
      </c>
    </row>
    <row r="221" ht="13.5" customHeight="1">
      <c r="A221" s="18" t="s">
        <v>31</v>
      </c>
      <c r="B221" s="19">
        <v>1.2</v>
      </c>
      <c r="C221" s="20" t="s">
        <v>33</v>
      </c>
      <c r="D221" s="21">
        <v>520.0</v>
      </c>
      <c r="E221" s="36"/>
      <c r="F221" s="36">
        <v>900.0</v>
      </c>
      <c r="G221" s="32"/>
      <c r="H221" s="21">
        <v>620.0</v>
      </c>
      <c r="I221" s="23"/>
      <c r="J221" s="24">
        <v>160.0</v>
      </c>
      <c r="K221" s="25">
        <f t="shared" ref="K221:K227" si="47">SUM(D221:J221)</f>
        <v>2200</v>
      </c>
    </row>
    <row r="222" ht="13.5" customHeight="1">
      <c r="A222" s="26" t="s">
        <v>34</v>
      </c>
      <c r="B222" s="27"/>
      <c r="C222" s="28"/>
      <c r="D222" s="21">
        <v>480.0</v>
      </c>
      <c r="E222" s="36"/>
      <c r="F222" s="37">
        <v>450.0</v>
      </c>
      <c r="G222" s="53"/>
      <c r="H222" s="22">
        <v>5100.0</v>
      </c>
      <c r="I222" s="29"/>
      <c r="J222" s="29">
        <v>300.0</v>
      </c>
      <c r="K222" s="25">
        <f t="shared" si="47"/>
        <v>6330</v>
      </c>
    </row>
    <row r="223" ht="13.5" customHeight="1">
      <c r="A223" s="18" t="s">
        <v>35</v>
      </c>
      <c r="B223" s="30">
        <v>2.0</v>
      </c>
      <c r="C223" s="31" t="s">
        <v>36</v>
      </c>
      <c r="D223" s="21"/>
      <c r="E223" s="36"/>
      <c r="F223" s="36"/>
      <c r="G223" s="21"/>
      <c r="H223" s="21"/>
      <c r="I223" s="21"/>
      <c r="J223" s="24"/>
      <c r="K223" s="25">
        <f t="shared" si="47"/>
        <v>0</v>
      </c>
    </row>
    <row r="224" ht="13.5" customHeight="1">
      <c r="A224" s="26" t="s">
        <v>37</v>
      </c>
      <c r="B224" s="33"/>
      <c r="C224" s="34"/>
      <c r="D224" s="21"/>
      <c r="E224" s="36"/>
      <c r="F224" s="36"/>
      <c r="G224" s="21"/>
      <c r="H224" s="21"/>
      <c r="I224" s="21"/>
      <c r="J224" s="29"/>
      <c r="K224" s="25">
        <f t="shared" si="47"/>
        <v>0</v>
      </c>
    </row>
    <row r="225" ht="14.25" customHeight="1">
      <c r="A225" s="18" t="s">
        <v>38</v>
      </c>
      <c r="B225" s="19" t="s">
        <v>39</v>
      </c>
      <c r="C225" s="19" t="s">
        <v>40</v>
      </c>
      <c r="D225" s="21">
        <v>480.0</v>
      </c>
      <c r="E225" s="36"/>
      <c r="F225" s="36">
        <v>600.0</v>
      </c>
      <c r="G225" s="21"/>
      <c r="H225" s="21">
        <v>520.0</v>
      </c>
      <c r="I225" s="21"/>
      <c r="J225" s="24">
        <v>130.0</v>
      </c>
      <c r="K225" s="25">
        <f t="shared" si="47"/>
        <v>1730</v>
      </c>
      <c r="L225" s="47"/>
      <c r="M225" s="12"/>
    </row>
    <row r="226" ht="13.5" customHeight="1">
      <c r="A226" s="35" t="s">
        <v>41</v>
      </c>
      <c r="B226" s="27"/>
      <c r="C226" s="27"/>
      <c r="D226" s="21">
        <v>280.0</v>
      </c>
      <c r="E226" s="21"/>
      <c r="F226" s="21">
        <v>570.0</v>
      </c>
      <c r="G226" s="21"/>
      <c r="H226" s="21">
        <v>4890.0</v>
      </c>
      <c r="I226" s="21"/>
      <c r="J226" s="21">
        <v>330.0</v>
      </c>
      <c r="K226" s="25">
        <f t="shared" si="47"/>
        <v>6070</v>
      </c>
    </row>
    <row r="227" ht="13.5" customHeight="1">
      <c r="A227" s="40" t="s">
        <v>7</v>
      </c>
      <c r="B227" s="40"/>
      <c r="C227" s="40"/>
      <c r="D227" s="10">
        <f t="shared" ref="D227:J227" si="48">SUM(D221:D226)</f>
        <v>1760</v>
      </c>
      <c r="E227" s="10">
        <f t="shared" si="48"/>
        <v>0</v>
      </c>
      <c r="F227" s="10">
        <f t="shared" si="48"/>
        <v>2520</v>
      </c>
      <c r="G227" s="10">
        <f t="shared" si="48"/>
        <v>0</v>
      </c>
      <c r="H227" s="10">
        <f t="shared" si="48"/>
        <v>11130</v>
      </c>
      <c r="I227" s="10">
        <f t="shared" si="48"/>
        <v>0</v>
      </c>
      <c r="J227" s="10">
        <f t="shared" si="48"/>
        <v>920</v>
      </c>
      <c r="K227" s="25">
        <f t="shared" si="47"/>
        <v>16330</v>
      </c>
    </row>
    <row r="228" ht="13.5" customHeight="1"/>
    <row r="229" ht="13.5" customHeight="1">
      <c r="A229" s="48" t="s">
        <v>260</v>
      </c>
    </row>
    <row r="230" ht="13.5" customHeight="1">
      <c r="A230" s="14" t="s">
        <v>25</v>
      </c>
      <c r="B230" s="14" t="s">
        <v>1</v>
      </c>
      <c r="C230" s="14" t="s">
        <v>27</v>
      </c>
      <c r="D230" s="15" t="s">
        <v>2</v>
      </c>
      <c r="E230" s="10" t="s">
        <v>28</v>
      </c>
      <c r="F230" s="16" t="s">
        <v>3</v>
      </c>
      <c r="G230" s="15" t="s">
        <v>4</v>
      </c>
      <c r="H230" s="14" t="s">
        <v>5</v>
      </c>
      <c r="I230" s="15" t="s">
        <v>29</v>
      </c>
      <c r="J230" s="14" t="s">
        <v>30</v>
      </c>
      <c r="K230" s="17" t="s">
        <v>7</v>
      </c>
    </row>
    <row r="231" ht="13.5" customHeight="1">
      <c r="A231" s="18" t="s">
        <v>31</v>
      </c>
      <c r="B231" s="19" t="s">
        <v>212</v>
      </c>
      <c r="C231" s="20" t="s">
        <v>33</v>
      </c>
      <c r="D231" s="21">
        <v>540.0</v>
      </c>
      <c r="E231" s="36"/>
      <c r="F231" s="36">
        <v>880.0</v>
      </c>
      <c r="G231" s="32"/>
      <c r="H231" s="21">
        <v>610.0</v>
      </c>
      <c r="I231" s="21"/>
      <c r="J231" s="21">
        <v>170.0</v>
      </c>
      <c r="K231" s="25">
        <f t="shared" ref="K231:K237" si="49">SUM(D231:J231)</f>
        <v>2200</v>
      </c>
    </row>
    <row r="232" ht="13.5" customHeight="1">
      <c r="A232" s="26" t="s">
        <v>34</v>
      </c>
      <c r="B232" s="27"/>
      <c r="C232" s="28"/>
      <c r="D232" s="21">
        <v>500.0</v>
      </c>
      <c r="E232" s="36"/>
      <c r="F232" s="36">
        <v>750.0</v>
      </c>
      <c r="G232" s="32"/>
      <c r="H232" s="21">
        <v>850.0</v>
      </c>
      <c r="I232" s="21"/>
      <c r="J232" s="21">
        <v>160.0</v>
      </c>
      <c r="K232" s="25">
        <f t="shared" si="49"/>
        <v>2260</v>
      </c>
    </row>
    <row r="233" ht="13.5" customHeight="1">
      <c r="A233" s="18" t="s">
        <v>35</v>
      </c>
      <c r="B233" s="30">
        <v>2.0</v>
      </c>
      <c r="C233" s="31" t="s">
        <v>36</v>
      </c>
      <c r="D233" s="21"/>
      <c r="E233" s="36"/>
      <c r="F233" s="36"/>
      <c r="G233" s="32"/>
      <c r="H233" s="21"/>
      <c r="I233" s="21"/>
      <c r="J233" s="21"/>
      <c r="K233" s="25">
        <f t="shared" si="49"/>
        <v>0</v>
      </c>
    </row>
    <row r="234" ht="13.5" customHeight="1">
      <c r="A234" s="26" t="s">
        <v>37</v>
      </c>
      <c r="B234" s="33"/>
      <c r="C234" s="34"/>
      <c r="D234" s="21"/>
      <c r="E234" s="36"/>
      <c r="F234" s="36"/>
      <c r="G234" s="32"/>
      <c r="H234" s="21"/>
      <c r="I234" s="21"/>
      <c r="J234" s="21"/>
      <c r="K234" s="25">
        <f t="shared" si="49"/>
        <v>0</v>
      </c>
    </row>
    <row r="235" ht="14.25" customHeight="1">
      <c r="A235" s="18" t="s">
        <v>38</v>
      </c>
      <c r="B235" s="19" t="s">
        <v>39</v>
      </c>
      <c r="C235" s="19" t="s">
        <v>40</v>
      </c>
      <c r="D235" s="21">
        <v>280.0</v>
      </c>
      <c r="E235" s="36"/>
      <c r="F235" s="36">
        <v>580.0</v>
      </c>
      <c r="G235" s="32"/>
      <c r="H235" s="21">
        <v>4770.0</v>
      </c>
      <c r="I235" s="21"/>
      <c r="J235" s="21">
        <v>370.0</v>
      </c>
      <c r="K235" s="25">
        <f t="shared" si="49"/>
        <v>6000</v>
      </c>
      <c r="L235" s="47"/>
      <c r="M235" s="12"/>
    </row>
    <row r="236" ht="13.5" customHeight="1">
      <c r="A236" s="35" t="s">
        <v>41</v>
      </c>
      <c r="B236" s="27"/>
      <c r="C236" s="27"/>
      <c r="D236" s="21">
        <v>280.0</v>
      </c>
      <c r="E236" s="36"/>
      <c r="F236" s="36">
        <v>580.0</v>
      </c>
      <c r="G236" s="38"/>
      <c r="H236" s="21">
        <v>4910.0</v>
      </c>
      <c r="I236" s="29"/>
      <c r="J236" s="39">
        <v>240.0</v>
      </c>
      <c r="K236" s="25">
        <f t="shared" si="49"/>
        <v>6010</v>
      </c>
    </row>
    <row r="237" ht="13.5" customHeight="1">
      <c r="A237" s="40" t="s">
        <v>7</v>
      </c>
      <c r="B237" s="40"/>
      <c r="C237" s="40"/>
      <c r="D237" s="10">
        <f t="shared" ref="D237:J237" si="50">SUM(D231:D236)</f>
        <v>1600</v>
      </c>
      <c r="E237" s="10">
        <f t="shared" si="50"/>
        <v>0</v>
      </c>
      <c r="F237" s="10">
        <f t="shared" si="50"/>
        <v>2790</v>
      </c>
      <c r="G237" s="10">
        <f t="shared" si="50"/>
        <v>0</v>
      </c>
      <c r="H237" s="10">
        <f t="shared" si="50"/>
        <v>11140</v>
      </c>
      <c r="I237" s="10">
        <f t="shared" si="50"/>
        <v>0</v>
      </c>
      <c r="J237" s="10">
        <f t="shared" si="50"/>
        <v>940</v>
      </c>
      <c r="K237" s="25">
        <f t="shared" si="49"/>
        <v>16470</v>
      </c>
    </row>
    <row r="238" ht="13.5" customHeight="1"/>
    <row r="239" ht="13.5" customHeight="1">
      <c r="A239" s="48" t="s">
        <v>261</v>
      </c>
    </row>
    <row r="240" ht="13.5" customHeight="1">
      <c r="A240" s="14" t="s">
        <v>25</v>
      </c>
      <c r="B240" s="14" t="s">
        <v>1</v>
      </c>
      <c r="C240" s="14" t="s">
        <v>27</v>
      </c>
      <c r="D240" s="15" t="s">
        <v>2</v>
      </c>
      <c r="E240" s="10" t="s">
        <v>28</v>
      </c>
      <c r="F240" s="16" t="s">
        <v>3</v>
      </c>
      <c r="G240" s="15" t="s">
        <v>4</v>
      </c>
      <c r="H240" s="15" t="s">
        <v>5</v>
      </c>
      <c r="I240" s="15" t="s">
        <v>29</v>
      </c>
      <c r="J240" s="14" t="s">
        <v>30</v>
      </c>
      <c r="K240" s="17" t="s">
        <v>7</v>
      </c>
    </row>
    <row r="241" ht="13.5" customHeight="1">
      <c r="A241" s="18" t="s">
        <v>31</v>
      </c>
      <c r="B241" s="19">
        <v>1.2</v>
      </c>
      <c r="C241" s="20" t="s">
        <v>33</v>
      </c>
      <c r="D241" s="21">
        <v>530.0</v>
      </c>
      <c r="E241" s="36"/>
      <c r="F241" s="36">
        <v>860.0</v>
      </c>
      <c r="G241" s="32"/>
      <c r="H241" s="21">
        <v>650.0</v>
      </c>
      <c r="I241" s="23"/>
      <c r="J241" s="24">
        <v>210.0</v>
      </c>
      <c r="K241" s="25">
        <f t="shared" ref="K241:K247" si="51">SUM(D241:J241)</f>
        <v>2250</v>
      </c>
    </row>
    <row r="242" ht="13.5" customHeight="1">
      <c r="A242" s="26" t="s">
        <v>34</v>
      </c>
      <c r="B242" s="27"/>
      <c r="C242" s="28"/>
      <c r="D242" s="21">
        <v>520.0</v>
      </c>
      <c r="E242" s="36"/>
      <c r="F242" s="36">
        <v>740.0</v>
      </c>
      <c r="G242" s="32"/>
      <c r="H242" s="21">
        <v>590.0</v>
      </c>
      <c r="I242" s="29"/>
      <c r="J242" s="29">
        <v>170.0</v>
      </c>
      <c r="K242" s="25">
        <f t="shared" si="51"/>
        <v>2020</v>
      </c>
    </row>
    <row r="243" ht="13.5" customHeight="1">
      <c r="A243" s="18" t="s">
        <v>35</v>
      </c>
      <c r="B243" s="30">
        <v>2.0</v>
      </c>
      <c r="C243" s="31" t="s">
        <v>36</v>
      </c>
      <c r="D243" s="21"/>
      <c r="E243" s="36"/>
      <c r="F243" s="36"/>
      <c r="G243" s="32"/>
      <c r="H243" s="21"/>
      <c r="I243" s="23"/>
      <c r="J243" s="24"/>
      <c r="K243" s="25">
        <f t="shared" si="51"/>
        <v>0</v>
      </c>
    </row>
    <row r="244" ht="13.5" customHeight="1">
      <c r="A244" s="26" t="s">
        <v>37</v>
      </c>
      <c r="B244" s="33"/>
      <c r="C244" s="34"/>
      <c r="D244" s="21"/>
      <c r="E244" s="36"/>
      <c r="F244" s="36"/>
      <c r="G244" s="32"/>
      <c r="H244" s="21"/>
      <c r="I244" s="29"/>
      <c r="J244" s="29"/>
      <c r="K244" s="25">
        <f t="shared" si="51"/>
        <v>0</v>
      </c>
    </row>
    <row r="245" ht="14.25" customHeight="1">
      <c r="A245" s="18" t="s">
        <v>38</v>
      </c>
      <c r="B245" s="19" t="s">
        <v>39</v>
      </c>
      <c r="C245" s="19" t="s">
        <v>40</v>
      </c>
      <c r="D245" s="21">
        <v>280.0</v>
      </c>
      <c r="E245" s="36"/>
      <c r="F245" s="36">
        <v>570.0</v>
      </c>
      <c r="G245" s="32"/>
      <c r="H245" s="21">
        <v>4980.0</v>
      </c>
      <c r="I245" s="23"/>
      <c r="J245" s="24">
        <v>310.0</v>
      </c>
      <c r="K245" s="25">
        <f t="shared" si="51"/>
        <v>6140</v>
      </c>
      <c r="L245" s="12"/>
    </row>
    <row r="246" ht="13.5" customHeight="1">
      <c r="A246" s="35" t="s">
        <v>41</v>
      </c>
      <c r="B246" s="27"/>
      <c r="C246" s="27"/>
      <c r="D246" s="21">
        <v>290.0</v>
      </c>
      <c r="E246" s="21"/>
      <c r="F246" s="21">
        <v>750.0</v>
      </c>
      <c r="G246" s="21"/>
      <c r="H246" s="21">
        <v>4670.0</v>
      </c>
      <c r="I246" s="21"/>
      <c r="J246" s="21">
        <v>290.0</v>
      </c>
      <c r="K246" s="25">
        <f t="shared" si="51"/>
        <v>6000</v>
      </c>
    </row>
    <row r="247" ht="13.5" customHeight="1">
      <c r="A247" s="40" t="s">
        <v>7</v>
      </c>
      <c r="B247" s="40"/>
      <c r="C247" s="40"/>
      <c r="D247" s="10">
        <f t="shared" ref="D247:J247" si="52">SUM(D241:D246)</f>
        <v>1620</v>
      </c>
      <c r="E247" s="10">
        <f t="shared" si="52"/>
        <v>0</v>
      </c>
      <c r="F247" s="10">
        <f t="shared" si="52"/>
        <v>2920</v>
      </c>
      <c r="G247" s="10">
        <f t="shared" si="52"/>
        <v>0</v>
      </c>
      <c r="H247" s="10">
        <f t="shared" si="52"/>
        <v>10890</v>
      </c>
      <c r="I247" s="10">
        <f t="shared" si="52"/>
        <v>0</v>
      </c>
      <c r="J247" s="10">
        <f t="shared" si="52"/>
        <v>980</v>
      </c>
      <c r="K247" s="25">
        <f t="shared" si="51"/>
        <v>16410</v>
      </c>
    </row>
    <row r="248" ht="13.5" customHeight="1"/>
    <row r="249" ht="13.5" customHeight="1">
      <c r="A249" s="48" t="s">
        <v>262</v>
      </c>
    </row>
    <row r="250" ht="13.5" customHeight="1">
      <c r="A250" s="14" t="s">
        <v>25</v>
      </c>
      <c r="B250" s="14" t="s">
        <v>1</v>
      </c>
      <c r="C250" s="14" t="s">
        <v>27</v>
      </c>
      <c r="D250" s="15" t="s">
        <v>2</v>
      </c>
      <c r="E250" s="10" t="s">
        <v>28</v>
      </c>
      <c r="F250" s="16" t="s">
        <v>3</v>
      </c>
      <c r="G250" s="15" t="s">
        <v>4</v>
      </c>
      <c r="H250" s="15" t="s">
        <v>5</v>
      </c>
      <c r="I250" s="15" t="s">
        <v>29</v>
      </c>
      <c r="J250" s="14" t="s">
        <v>30</v>
      </c>
      <c r="K250" s="17" t="s">
        <v>7</v>
      </c>
    </row>
    <row r="251" ht="14.25" customHeight="1">
      <c r="A251" s="18" t="s">
        <v>31</v>
      </c>
      <c r="B251" s="19">
        <v>1.2</v>
      </c>
      <c r="C251" s="20" t="s">
        <v>33</v>
      </c>
      <c r="D251" s="21">
        <v>600.0</v>
      </c>
      <c r="E251" s="36"/>
      <c r="F251" s="36">
        <v>800.0</v>
      </c>
      <c r="G251" s="36"/>
      <c r="H251" s="32">
        <v>430.0</v>
      </c>
      <c r="I251" s="23"/>
      <c r="J251" s="24">
        <v>170.0</v>
      </c>
      <c r="K251" s="25">
        <f t="shared" ref="K251:K254" si="53">SUM(D251:J251)</f>
        <v>2000</v>
      </c>
    </row>
    <row r="252" ht="13.5" customHeight="1">
      <c r="A252" s="26" t="s">
        <v>34</v>
      </c>
      <c r="B252" s="27"/>
      <c r="C252" s="28"/>
      <c r="D252" s="21">
        <v>500.0</v>
      </c>
      <c r="E252" s="36"/>
      <c r="F252" s="36">
        <v>860.0</v>
      </c>
      <c r="G252" s="32"/>
      <c r="H252" s="21">
        <v>980.0</v>
      </c>
      <c r="I252" s="29"/>
      <c r="J252" s="29">
        <v>170.0</v>
      </c>
      <c r="K252" s="25">
        <f t="shared" si="53"/>
        <v>2510</v>
      </c>
    </row>
    <row r="253" ht="13.5" customHeight="1">
      <c r="A253" s="18" t="s">
        <v>35</v>
      </c>
      <c r="B253" s="30">
        <v>2.0</v>
      </c>
      <c r="C253" s="31" t="s">
        <v>36</v>
      </c>
      <c r="D253" s="21"/>
      <c r="E253" s="36"/>
      <c r="F253" s="36"/>
      <c r="G253" s="36"/>
      <c r="H253" s="32"/>
      <c r="I253" s="23"/>
      <c r="J253" s="24"/>
      <c r="K253" s="25">
        <f t="shared" si="53"/>
        <v>0</v>
      </c>
    </row>
    <row r="254" ht="13.5" customHeight="1">
      <c r="A254" s="26" t="s">
        <v>37</v>
      </c>
      <c r="B254" s="33"/>
      <c r="C254" s="34"/>
      <c r="D254" s="21"/>
      <c r="E254" s="36"/>
      <c r="F254" s="36"/>
      <c r="G254" s="21"/>
      <c r="H254" s="21"/>
      <c r="I254" s="21"/>
      <c r="J254" s="21"/>
      <c r="K254" s="25">
        <f t="shared" si="53"/>
        <v>0</v>
      </c>
    </row>
    <row r="255" ht="14.25" customHeight="1">
      <c r="A255" s="18" t="s">
        <v>38</v>
      </c>
      <c r="B255" s="19" t="s">
        <v>39</v>
      </c>
      <c r="C255" s="19" t="s">
        <v>40</v>
      </c>
      <c r="D255" s="10">
        <v>300.0</v>
      </c>
      <c r="E255" s="10"/>
      <c r="F255" s="10">
        <v>630.0</v>
      </c>
      <c r="G255" s="10"/>
      <c r="H255" s="10">
        <v>4590.0</v>
      </c>
      <c r="I255" s="10"/>
      <c r="J255" s="10">
        <v>300.0</v>
      </c>
      <c r="K255" s="25">
        <f>SUM(D265:J265)</f>
        <v>6000</v>
      </c>
      <c r="L255" s="47"/>
      <c r="M255" s="12"/>
    </row>
    <row r="256" ht="13.5" customHeight="1">
      <c r="A256" s="35" t="s">
        <v>41</v>
      </c>
      <c r="B256" s="27"/>
      <c r="C256" s="27"/>
      <c r="D256" s="21">
        <v>320.0</v>
      </c>
      <c r="E256" s="21"/>
      <c r="F256" s="21">
        <v>660.0</v>
      </c>
      <c r="G256" s="21"/>
      <c r="H256" s="21">
        <v>4970.0</v>
      </c>
      <c r="I256" s="21"/>
      <c r="J256" s="21">
        <v>280.0</v>
      </c>
      <c r="K256" s="25">
        <f t="shared" ref="K256:K257" si="55">SUM(D256:J256)</f>
        <v>6230</v>
      </c>
    </row>
    <row r="257" ht="13.5" customHeight="1">
      <c r="A257" s="40" t="s">
        <v>7</v>
      </c>
      <c r="B257" s="40"/>
      <c r="C257" s="40"/>
      <c r="D257" s="10">
        <f t="shared" ref="D257:J257" si="54">SUM(D251:D256)</f>
        <v>1720</v>
      </c>
      <c r="E257" s="10">
        <f t="shared" si="54"/>
        <v>0</v>
      </c>
      <c r="F257" s="10">
        <f t="shared" si="54"/>
        <v>2950</v>
      </c>
      <c r="G257" s="10">
        <f t="shared" si="54"/>
        <v>0</v>
      </c>
      <c r="H257" s="10">
        <f t="shared" si="54"/>
        <v>10970</v>
      </c>
      <c r="I257" s="10">
        <f t="shared" si="54"/>
        <v>0</v>
      </c>
      <c r="J257" s="10">
        <f t="shared" si="54"/>
        <v>920</v>
      </c>
      <c r="K257" s="25">
        <f t="shared" si="55"/>
        <v>16560</v>
      </c>
    </row>
    <row r="258" ht="13.5" customHeight="1"/>
    <row r="259" ht="13.5" customHeight="1">
      <c r="A259" s="48" t="s">
        <v>263</v>
      </c>
    </row>
    <row r="260" ht="13.5" customHeight="1">
      <c r="A260" s="14" t="s">
        <v>25</v>
      </c>
      <c r="B260" s="14" t="s">
        <v>1</v>
      </c>
      <c r="C260" s="14" t="s">
        <v>27</v>
      </c>
      <c r="D260" s="15" t="s">
        <v>2</v>
      </c>
      <c r="E260" s="10" t="s">
        <v>28</v>
      </c>
      <c r="F260" s="16" t="s">
        <v>3</v>
      </c>
      <c r="G260" s="15" t="s">
        <v>4</v>
      </c>
      <c r="H260" s="15" t="s">
        <v>5</v>
      </c>
      <c r="I260" s="15" t="s">
        <v>29</v>
      </c>
      <c r="J260" s="14" t="s">
        <v>30</v>
      </c>
      <c r="K260" s="17" t="s">
        <v>7</v>
      </c>
    </row>
    <row r="261" ht="14.25" customHeight="1">
      <c r="A261" s="18" t="s">
        <v>31</v>
      </c>
      <c r="B261" s="19">
        <v>1.2</v>
      </c>
      <c r="C261" s="20" t="s">
        <v>33</v>
      </c>
      <c r="D261" s="21">
        <v>500.0</v>
      </c>
      <c r="E261" s="36"/>
      <c r="F261" s="36">
        <v>860.0</v>
      </c>
      <c r="G261" s="32"/>
      <c r="H261" s="21">
        <v>1030.0</v>
      </c>
      <c r="I261" s="23"/>
      <c r="J261" s="24">
        <v>110.0</v>
      </c>
      <c r="K261" s="25">
        <f t="shared" ref="K261:K264" si="56">SUM(D261:J261)</f>
        <v>2500</v>
      </c>
    </row>
    <row r="262" ht="13.5" customHeight="1">
      <c r="A262" s="26" t="s">
        <v>34</v>
      </c>
      <c r="B262" s="27"/>
      <c r="C262" s="28"/>
      <c r="D262" s="21">
        <v>500.0</v>
      </c>
      <c r="E262" s="36"/>
      <c r="F262" s="36">
        <v>900.0</v>
      </c>
      <c r="G262" s="22"/>
      <c r="H262" s="21">
        <v>800.0</v>
      </c>
      <c r="I262" s="29"/>
      <c r="J262" s="29">
        <v>100.0</v>
      </c>
      <c r="K262" s="25">
        <f t="shared" si="56"/>
        <v>2300</v>
      </c>
    </row>
    <row r="263" ht="13.5" customHeight="1">
      <c r="A263" s="18" t="s">
        <v>35</v>
      </c>
      <c r="B263" s="30">
        <v>2.0</v>
      </c>
      <c r="C263" s="31" t="s">
        <v>36</v>
      </c>
      <c r="D263" s="21"/>
      <c r="E263" s="10"/>
      <c r="F263" s="10"/>
      <c r="G263" s="36"/>
      <c r="H263" s="21"/>
      <c r="I263" s="23"/>
      <c r="J263" s="24"/>
      <c r="K263" s="25">
        <f t="shared" si="56"/>
        <v>0</v>
      </c>
    </row>
    <row r="264" ht="13.5" customHeight="1">
      <c r="A264" s="26" t="s">
        <v>37</v>
      </c>
      <c r="B264" s="33"/>
      <c r="C264" s="34"/>
      <c r="D264" s="21"/>
      <c r="E264" s="36"/>
      <c r="F264" s="36"/>
      <c r="G264" s="22"/>
      <c r="H264" s="21"/>
      <c r="I264" s="29"/>
      <c r="J264" s="29"/>
      <c r="K264" s="25">
        <f t="shared" si="56"/>
        <v>0</v>
      </c>
    </row>
    <row r="265" ht="14.25" customHeight="1">
      <c r="A265" s="18" t="s">
        <v>38</v>
      </c>
      <c r="B265" s="19" t="s">
        <v>39</v>
      </c>
      <c r="C265" s="19" t="s">
        <v>40</v>
      </c>
      <c r="D265" s="21">
        <v>310.0</v>
      </c>
      <c r="E265" s="36"/>
      <c r="F265" s="36">
        <v>560.0</v>
      </c>
      <c r="G265" s="32"/>
      <c r="H265" s="21">
        <v>4920.0</v>
      </c>
      <c r="I265" s="23"/>
      <c r="J265" s="24">
        <v>210.0</v>
      </c>
      <c r="K265" s="25">
        <v>180.0</v>
      </c>
      <c r="L265" s="47"/>
      <c r="M265" s="12"/>
    </row>
    <row r="266" ht="13.5" customHeight="1">
      <c r="A266" s="35" t="s">
        <v>41</v>
      </c>
      <c r="B266" s="27"/>
      <c r="C266" s="27"/>
      <c r="D266" s="21">
        <v>290.0</v>
      </c>
      <c r="E266" s="21"/>
      <c r="F266" s="21">
        <v>560.0</v>
      </c>
      <c r="G266" s="21"/>
      <c r="H266" s="21">
        <v>5000.0</v>
      </c>
      <c r="I266" s="21"/>
      <c r="J266" s="21">
        <v>220.0</v>
      </c>
      <c r="K266" s="25">
        <f t="shared" ref="K266:K267" si="58">SUM(D266:J266)</f>
        <v>6070</v>
      </c>
    </row>
    <row r="267" ht="13.5" customHeight="1">
      <c r="A267" s="40" t="s">
        <v>7</v>
      </c>
      <c r="B267" s="40"/>
      <c r="C267" s="40"/>
      <c r="D267" s="10">
        <f t="shared" ref="D267:J267" si="57">SUM(D261:D266)</f>
        <v>1600</v>
      </c>
      <c r="E267" s="10">
        <f t="shared" si="57"/>
        <v>0</v>
      </c>
      <c r="F267" s="10">
        <f t="shared" si="57"/>
        <v>2880</v>
      </c>
      <c r="G267" s="10">
        <f t="shared" si="57"/>
        <v>0</v>
      </c>
      <c r="H267" s="10">
        <f t="shared" si="57"/>
        <v>11750</v>
      </c>
      <c r="I267" s="10">
        <f t="shared" si="57"/>
        <v>0</v>
      </c>
      <c r="J267" s="10">
        <f t="shared" si="57"/>
        <v>640</v>
      </c>
      <c r="K267" s="25">
        <f t="shared" si="58"/>
        <v>16870</v>
      </c>
    </row>
    <row r="268" ht="13.5" customHeight="1">
      <c r="A268" s="48"/>
    </row>
    <row r="269" ht="13.5" customHeight="1">
      <c r="A269" s="48" t="s">
        <v>264</v>
      </c>
    </row>
    <row r="270" ht="13.5" customHeight="1">
      <c r="A270" s="14" t="s">
        <v>25</v>
      </c>
      <c r="B270" s="14" t="s">
        <v>1</v>
      </c>
      <c r="C270" s="14" t="s">
        <v>27</v>
      </c>
      <c r="D270" s="15" t="s">
        <v>2</v>
      </c>
      <c r="E270" s="16" t="s">
        <v>28</v>
      </c>
      <c r="F270" s="16" t="s">
        <v>3</v>
      </c>
      <c r="G270" s="14" t="s">
        <v>4</v>
      </c>
      <c r="H270" s="15" t="s">
        <v>5</v>
      </c>
      <c r="I270" s="15" t="s">
        <v>29</v>
      </c>
      <c r="J270" s="14" t="s">
        <v>30</v>
      </c>
      <c r="K270" s="17" t="s">
        <v>7</v>
      </c>
    </row>
    <row r="271" ht="13.5" customHeight="1">
      <c r="A271" s="18" t="s">
        <v>31</v>
      </c>
      <c r="B271" s="19">
        <v>1.2</v>
      </c>
      <c r="C271" s="20" t="s">
        <v>33</v>
      </c>
      <c r="D271" s="21">
        <v>500.0</v>
      </c>
      <c r="E271" s="36"/>
      <c r="F271" s="36">
        <v>860.0</v>
      </c>
      <c r="G271" s="32"/>
      <c r="H271" s="21">
        <v>870.0</v>
      </c>
      <c r="I271" s="21"/>
      <c r="J271" s="24">
        <v>170.0</v>
      </c>
      <c r="K271" s="25">
        <f t="shared" ref="K271:K281" si="59">SUM(D271:J271)</f>
        <v>2400</v>
      </c>
    </row>
    <row r="272" ht="13.5" customHeight="1">
      <c r="A272" s="26" t="s">
        <v>34</v>
      </c>
      <c r="B272" s="27"/>
      <c r="C272" s="28"/>
      <c r="D272" s="21">
        <v>500.0</v>
      </c>
      <c r="E272" s="36"/>
      <c r="F272" s="36">
        <v>750.0</v>
      </c>
      <c r="G272" s="22"/>
      <c r="H272" s="21">
        <v>970.0</v>
      </c>
      <c r="I272" s="21"/>
      <c r="J272" s="29">
        <v>140.0</v>
      </c>
      <c r="K272" s="25">
        <f t="shared" si="59"/>
        <v>2360</v>
      </c>
    </row>
    <row r="273" ht="13.5" customHeight="1">
      <c r="A273" s="18" t="s">
        <v>35</v>
      </c>
      <c r="B273" s="30">
        <v>2.0</v>
      </c>
      <c r="C273" s="31" t="s">
        <v>36</v>
      </c>
      <c r="D273" s="21"/>
      <c r="E273" s="36"/>
      <c r="F273" s="36"/>
      <c r="G273" s="32"/>
      <c r="H273" s="21"/>
      <c r="I273" s="21"/>
      <c r="J273" s="24"/>
      <c r="K273" s="25">
        <f t="shared" si="59"/>
        <v>0</v>
      </c>
    </row>
    <row r="274" ht="13.5" customHeight="1">
      <c r="A274" s="26" t="s">
        <v>37</v>
      </c>
      <c r="B274" s="33"/>
      <c r="C274" s="34"/>
      <c r="D274" s="21"/>
      <c r="E274" s="36"/>
      <c r="F274" s="36"/>
      <c r="G274" s="22"/>
      <c r="H274" s="21"/>
      <c r="I274" s="21"/>
      <c r="J274" s="29"/>
      <c r="K274" s="25">
        <f t="shared" si="59"/>
        <v>0</v>
      </c>
    </row>
    <row r="275" ht="15.0" customHeight="1">
      <c r="A275" s="18" t="s">
        <v>38</v>
      </c>
      <c r="B275" s="19" t="s">
        <v>39</v>
      </c>
      <c r="C275" s="19" t="s">
        <v>40</v>
      </c>
      <c r="D275" s="21">
        <v>300.0</v>
      </c>
      <c r="E275" s="41"/>
      <c r="F275" s="41">
        <v>750.0</v>
      </c>
      <c r="G275" s="32"/>
      <c r="H275" s="21">
        <v>4710.0</v>
      </c>
      <c r="I275" s="21"/>
      <c r="J275" s="24">
        <v>340.0</v>
      </c>
      <c r="K275" s="25">
        <f t="shared" si="59"/>
        <v>6100</v>
      </c>
    </row>
    <row r="276" ht="13.5" customHeight="1">
      <c r="A276" s="35" t="s">
        <v>41</v>
      </c>
      <c r="B276" s="27"/>
      <c r="C276" s="27"/>
      <c r="D276" s="21">
        <v>300.0</v>
      </c>
      <c r="E276" s="36"/>
      <c r="F276" s="37">
        <v>570.0</v>
      </c>
      <c r="G276" s="38"/>
      <c r="H276" s="21">
        <v>4950.0</v>
      </c>
      <c r="I276" s="21"/>
      <c r="J276" s="39">
        <v>230.0</v>
      </c>
      <c r="K276" s="25">
        <f t="shared" si="59"/>
        <v>6050</v>
      </c>
    </row>
    <row r="277" ht="13.5" customHeight="1">
      <c r="A277" s="54" t="s">
        <v>100</v>
      </c>
      <c r="B277" s="55"/>
      <c r="C277" s="55"/>
      <c r="D277" s="21"/>
      <c r="E277" s="36"/>
      <c r="F277" s="36"/>
      <c r="G277" s="21"/>
      <c r="H277" s="21"/>
      <c r="I277" s="21"/>
      <c r="J277" s="56"/>
      <c r="K277" s="25">
        <f t="shared" si="59"/>
        <v>0</v>
      </c>
    </row>
    <row r="278" ht="13.5" customHeight="1">
      <c r="A278" s="26" t="s">
        <v>101</v>
      </c>
      <c r="B278" s="7"/>
      <c r="C278" s="7"/>
      <c r="D278" s="21"/>
      <c r="E278" s="36"/>
      <c r="F278" s="37"/>
      <c r="G278" s="22"/>
      <c r="H278" s="21"/>
      <c r="I278" s="29"/>
      <c r="J278" s="29"/>
      <c r="K278" s="25">
        <f t="shared" si="59"/>
        <v>0</v>
      </c>
    </row>
    <row r="279" ht="13.5" customHeight="1">
      <c r="A279" s="18" t="s">
        <v>102</v>
      </c>
      <c r="B279" s="57"/>
      <c r="C279" s="57"/>
      <c r="D279" s="21"/>
      <c r="E279" s="36"/>
      <c r="F279" s="41"/>
      <c r="G279" s="58"/>
      <c r="H279" s="21"/>
      <c r="I279" s="23"/>
      <c r="J279" s="59"/>
      <c r="K279" s="25">
        <f t="shared" si="59"/>
        <v>0</v>
      </c>
    </row>
    <row r="280" ht="13.5" customHeight="1">
      <c r="A280" s="35" t="s">
        <v>103</v>
      </c>
      <c r="B280" s="27"/>
      <c r="C280" s="27"/>
      <c r="D280" s="21"/>
      <c r="E280" s="36"/>
      <c r="F280" s="37"/>
      <c r="G280" s="60"/>
      <c r="H280" s="21"/>
      <c r="I280" s="29"/>
      <c r="J280" s="61"/>
      <c r="K280" s="25">
        <f t="shared" si="59"/>
        <v>0</v>
      </c>
    </row>
    <row r="281" ht="13.5" customHeight="1">
      <c r="A281" s="40" t="s">
        <v>7</v>
      </c>
      <c r="B281" s="40"/>
      <c r="C281" s="40"/>
      <c r="D281" s="10">
        <f t="shared" ref="D281:J281" si="60">SUM(D271:D280)</f>
        <v>1600</v>
      </c>
      <c r="E281" s="10">
        <f t="shared" si="60"/>
        <v>0</v>
      </c>
      <c r="F281" s="10">
        <f t="shared" si="60"/>
        <v>2930</v>
      </c>
      <c r="G281" s="10">
        <f t="shared" si="60"/>
        <v>0</v>
      </c>
      <c r="H281" s="10">
        <f t="shared" si="60"/>
        <v>11500</v>
      </c>
      <c r="I281" s="10">
        <f t="shared" si="60"/>
        <v>0</v>
      </c>
      <c r="J281" s="10">
        <f t="shared" si="60"/>
        <v>880</v>
      </c>
      <c r="K281" s="25">
        <f t="shared" si="59"/>
        <v>16910</v>
      </c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 ht="13.5" customHeight="1">
      <c r="A283" s="48" t="s">
        <v>265</v>
      </c>
    </row>
    <row r="284" ht="13.5" customHeight="1">
      <c r="A284" s="14" t="s">
        <v>25</v>
      </c>
      <c r="B284" s="14" t="s">
        <v>1</v>
      </c>
      <c r="C284" s="14" t="s">
        <v>27</v>
      </c>
      <c r="D284" s="15" t="s">
        <v>2</v>
      </c>
      <c r="E284" s="16" t="s">
        <v>28</v>
      </c>
      <c r="F284" s="16" t="s">
        <v>3</v>
      </c>
      <c r="G284" s="14" t="s">
        <v>4</v>
      </c>
      <c r="H284" s="15" t="s">
        <v>5</v>
      </c>
      <c r="I284" s="15" t="s">
        <v>29</v>
      </c>
      <c r="J284" s="14" t="s">
        <v>30</v>
      </c>
      <c r="K284" s="17" t="s">
        <v>7</v>
      </c>
    </row>
    <row r="285" ht="13.5" customHeight="1">
      <c r="A285" s="18" t="s">
        <v>31</v>
      </c>
      <c r="B285" s="19">
        <v>1.2</v>
      </c>
      <c r="C285" s="20" t="s">
        <v>33</v>
      </c>
      <c r="D285" s="21">
        <v>480.0</v>
      </c>
      <c r="E285" s="36"/>
      <c r="F285" s="36">
        <v>650.0</v>
      </c>
      <c r="G285" s="32"/>
      <c r="H285" s="21">
        <v>980.0</v>
      </c>
      <c r="I285" s="21"/>
      <c r="J285" s="24">
        <v>170.0</v>
      </c>
      <c r="K285" s="25">
        <f t="shared" ref="K285:K295" si="61">SUM(D285:J285)</f>
        <v>2280</v>
      </c>
    </row>
    <row r="286" ht="13.5" customHeight="1">
      <c r="A286" s="26" t="s">
        <v>34</v>
      </c>
      <c r="B286" s="27"/>
      <c r="C286" s="28"/>
      <c r="D286" s="21">
        <v>500.0</v>
      </c>
      <c r="E286" s="36"/>
      <c r="F286" s="36">
        <v>850.0</v>
      </c>
      <c r="G286" s="22"/>
      <c r="H286" s="21">
        <v>960.0</v>
      </c>
      <c r="I286" s="21"/>
      <c r="J286" s="29">
        <v>110.0</v>
      </c>
      <c r="K286" s="25">
        <f t="shared" si="61"/>
        <v>2420</v>
      </c>
    </row>
    <row r="287" ht="13.5" customHeight="1">
      <c r="A287" s="18" t="s">
        <v>35</v>
      </c>
      <c r="B287" s="30">
        <v>2.0</v>
      </c>
      <c r="C287" s="31" t="s">
        <v>36</v>
      </c>
      <c r="D287" s="21"/>
      <c r="E287" s="36"/>
      <c r="F287" s="36"/>
      <c r="G287" s="32"/>
      <c r="H287" s="21"/>
      <c r="I287" s="21"/>
      <c r="J287" s="24"/>
      <c r="K287" s="25">
        <f t="shared" si="61"/>
        <v>0</v>
      </c>
    </row>
    <row r="288" ht="13.5" customHeight="1">
      <c r="A288" s="26" t="s">
        <v>37</v>
      </c>
      <c r="B288" s="33"/>
      <c r="C288" s="34"/>
      <c r="D288" s="21"/>
      <c r="E288" s="36"/>
      <c r="F288" s="36"/>
      <c r="G288" s="22"/>
      <c r="H288" s="21"/>
      <c r="I288" s="21"/>
      <c r="J288" s="29"/>
      <c r="K288" s="25">
        <f t="shared" si="61"/>
        <v>0</v>
      </c>
    </row>
    <row r="289" ht="15.0" customHeight="1">
      <c r="A289" s="18" t="s">
        <v>38</v>
      </c>
      <c r="B289" s="19" t="s">
        <v>39</v>
      </c>
      <c r="C289" s="19" t="s">
        <v>40</v>
      </c>
      <c r="D289" s="21">
        <v>300.0</v>
      </c>
      <c r="E289" s="41"/>
      <c r="F289" s="41">
        <v>650.0</v>
      </c>
      <c r="G289" s="32"/>
      <c r="H289" s="21">
        <v>3780.0</v>
      </c>
      <c r="I289" s="21"/>
      <c r="J289" s="24">
        <v>270.0</v>
      </c>
      <c r="K289" s="25">
        <f t="shared" si="61"/>
        <v>5000</v>
      </c>
    </row>
    <row r="290" ht="13.5" customHeight="1">
      <c r="A290" s="35" t="s">
        <v>41</v>
      </c>
      <c r="B290" s="27"/>
      <c r="C290" s="27"/>
      <c r="D290" s="21">
        <v>350.0</v>
      </c>
      <c r="E290" s="36"/>
      <c r="F290" s="37">
        <v>700.0</v>
      </c>
      <c r="G290" s="38"/>
      <c r="H290" s="21">
        <v>5120.0</v>
      </c>
      <c r="I290" s="21"/>
      <c r="J290" s="39">
        <v>180.0</v>
      </c>
      <c r="K290" s="25">
        <f t="shared" si="61"/>
        <v>6350</v>
      </c>
    </row>
    <row r="291" ht="13.5" customHeight="1">
      <c r="A291" s="54" t="s">
        <v>100</v>
      </c>
      <c r="B291" s="55"/>
      <c r="C291" s="55"/>
      <c r="D291" s="21"/>
      <c r="E291" s="36"/>
      <c r="F291" s="36"/>
      <c r="G291" s="21"/>
      <c r="H291" s="21"/>
      <c r="I291" s="21"/>
      <c r="J291" s="56"/>
      <c r="K291" s="25">
        <f t="shared" si="61"/>
        <v>0</v>
      </c>
    </row>
    <row r="292" ht="13.5" customHeight="1">
      <c r="A292" s="26" t="s">
        <v>101</v>
      </c>
      <c r="B292" s="7"/>
      <c r="C292" s="7"/>
      <c r="D292" s="21"/>
      <c r="E292" s="36"/>
      <c r="F292" s="37"/>
      <c r="G292" s="22"/>
      <c r="H292" s="21"/>
      <c r="I292" s="29"/>
      <c r="J292" s="29"/>
      <c r="K292" s="25">
        <f t="shared" si="61"/>
        <v>0</v>
      </c>
    </row>
    <row r="293" ht="13.5" customHeight="1">
      <c r="A293" s="18" t="s">
        <v>102</v>
      </c>
      <c r="B293" s="57"/>
      <c r="C293" s="57"/>
      <c r="D293" s="21"/>
      <c r="E293" s="36"/>
      <c r="F293" s="41"/>
      <c r="G293" s="58"/>
      <c r="H293" s="21"/>
      <c r="I293" s="23"/>
      <c r="J293" s="59"/>
      <c r="K293" s="25">
        <f t="shared" si="61"/>
        <v>0</v>
      </c>
    </row>
    <row r="294" ht="13.5" customHeight="1">
      <c r="A294" s="35" t="s">
        <v>103</v>
      </c>
      <c r="B294" s="27"/>
      <c r="C294" s="27"/>
      <c r="D294" s="21"/>
      <c r="E294" s="36"/>
      <c r="F294" s="37"/>
      <c r="G294" s="60"/>
      <c r="H294" s="21"/>
      <c r="I294" s="29"/>
      <c r="J294" s="61"/>
      <c r="K294" s="25">
        <f t="shared" si="61"/>
        <v>0</v>
      </c>
    </row>
    <row r="295" ht="13.5" customHeight="1">
      <c r="A295" s="40" t="s">
        <v>7</v>
      </c>
      <c r="B295" s="40"/>
      <c r="C295" s="40"/>
      <c r="D295" s="10">
        <f t="shared" ref="D295:J295" si="62">SUM(D285:D294)</f>
        <v>1630</v>
      </c>
      <c r="E295" s="10">
        <f t="shared" si="62"/>
        <v>0</v>
      </c>
      <c r="F295" s="10">
        <f t="shared" si="62"/>
        <v>2850</v>
      </c>
      <c r="G295" s="10">
        <f t="shared" si="62"/>
        <v>0</v>
      </c>
      <c r="H295" s="10">
        <f t="shared" si="62"/>
        <v>10840</v>
      </c>
      <c r="I295" s="10">
        <f t="shared" si="62"/>
        <v>0</v>
      </c>
      <c r="J295" s="10">
        <f t="shared" si="62"/>
        <v>730</v>
      </c>
      <c r="K295" s="25">
        <f t="shared" si="61"/>
        <v>16050</v>
      </c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 ht="13.5" customHeight="1">
      <c r="A297" s="48"/>
    </row>
    <row r="298" ht="13.5" customHeight="1">
      <c r="A298" s="14" t="s">
        <v>25</v>
      </c>
      <c r="B298" s="14" t="s">
        <v>1</v>
      </c>
      <c r="C298" s="14" t="s">
        <v>27</v>
      </c>
      <c r="D298" s="15" t="s">
        <v>2</v>
      </c>
      <c r="E298" s="16" t="s">
        <v>28</v>
      </c>
      <c r="F298" s="16" t="s">
        <v>3</v>
      </c>
      <c r="G298" s="14" t="s">
        <v>4</v>
      </c>
      <c r="H298" s="15" t="s">
        <v>5</v>
      </c>
      <c r="I298" s="15" t="s">
        <v>29</v>
      </c>
      <c r="J298" s="14" t="s">
        <v>30</v>
      </c>
      <c r="K298" s="17" t="s">
        <v>7</v>
      </c>
    </row>
    <row r="299" ht="13.5" customHeight="1">
      <c r="A299" s="18" t="s">
        <v>31</v>
      </c>
      <c r="B299" s="19" t="s">
        <v>172</v>
      </c>
      <c r="C299" s="20" t="s">
        <v>33</v>
      </c>
      <c r="D299" s="21"/>
      <c r="E299" s="36"/>
      <c r="F299" s="36"/>
      <c r="G299" s="32"/>
      <c r="H299" s="21"/>
      <c r="I299" s="21"/>
      <c r="J299" s="24"/>
      <c r="K299" s="25">
        <f t="shared" ref="K299:K309" si="63">SUM(D299:J299)</f>
        <v>0</v>
      </c>
    </row>
    <row r="300" ht="13.5" customHeight="1">
      <c r="A300" s="26" t="s">
        <v>34</v>
      </c>
      <c r="B300" s="27"/>
      <c r="C300" s="28"/>
      <c r="D300" s="21"/>
      <c r="E300" s="36"/>
      <c r="F300" s="36"/>
      <c r="G300" s="22"/>
      <c r="H300" s="21"/>
      <c r="I300" s="21"/>
      <c r="J300" s="29"/>
      <c r="K300" s="25">
        <f t="shared" si="63"/>
        <v>0</v>
      </c>
    </row>
    <row r="301" ht="13.5" customHeight="1">
      <c r="A301" s="18" t="s">
        <v>35</v>
      </c>
      <c r="B301" s="30">
        <v>2.0</v>
      </c>
      <c r="C301" s="31" t="s">
        <v>36</v>
      </c>
      <c r="D301" s="21"/>
      <c r="E301" s="36"/>
      <c r="F301" s="36"/>
      <c r="G301" s="32"/>
      <c r="H301" s="21"/>
      <c r="I301" s="21"/>
      <c r="J301" s="24"/>
      <c r="K301" s="25">
        <f t="shared" si="63"/>
        <v>0</v>
      </c>
    </row>
    <row r="302" ht="13.5" customHeight="1">
      <c r="A302" s="26" t="s">
        <v>37</v>
      </c>
      <c r="B302" s="33"/>
      <c r="C302" s="34"/>
      <c r="D302" s="21"/>
      <c r="E302" s="36"/>
      <c r="F302" s="36"/>
      <c r="G302" s="22"/>
      <c r="H302" s="21"/>
      <c r="I302" s="21"/>
      <c r="J302" s="29"/>
      <c r="K302" s="25">
        <f t="shared" si="63"/>
        <v>0</v>
      </c>
    </row>
    <row r="303" ht="15.0" customHeight="1">
      <c r="A303" s="18" t="s">
        <v>38</v>
      </c>
      <c r="B303" s="19" t="s">
        <v>39</v>
      </c>
      <c r="C303" s="19" t="s">
        <v>40</v>
      </c>
      <c r="D303" s="21"/>
      <c r="E303" s="41"/>
      <c r="F303" s="41"/>
      <c r="G303" s="32"/>
      <c r="H303" s="21"/>
      <c r="I303" s="21"/>
      <c r="J303" s="24"/>
      <c r="K303" s="25">
        <f t="shared" si="63"/>
        <v>0</v>
      </c>
    </row>
    <row r="304" ht="13.5" customHeight="1">
      <c r="A304" s="35" t="s">
        <v>41</v>
      </c>
      <c r="B304" s="27"/>
      <c r="C304" s="27"/>
      <c r="D304" s="21"/>
      <c r="E304" s="36"/>
      <c r="F304" s="37"/>
      <c r="G304" s="38"/>
      <c r="H304" s="21"/>
      <c r="I304" s="21"/>
      <c r="J304" s="39"/>
      <c r="K304" s="25">
        <f t="shared" si="63"/>
        <v>0</v>
      </c>
    </row>
    <row r="305" ht="13.5" customHeight="1">
      <c r="A305" s="54" t="s">
        <v>100</v>
      </c>
      <c r="B305" s="55"/>
      <c r="C305" s="55"/>
      <c r="D305" s="21"/>
      <c r="E305" s="36"/>
      <c r="F305" s="36"/>
      <c r="G305" s="21"/>
      <c r="H305" s="21"/>
      <c r="I305" s="21"/>
      <c r="J305" s="56"/>
      <c r="K305" s="25">
        <f t="shared" si="63"/>
        <v>0</v>
      </c>
    </row>
    <row r="306" ht="13.5" customHeight="1">
      <c r="A306" s="26" t="s">
        <v>101</v>
      </c>
      <c r="B306" s="7"/>
      <c r="C306" s="7"/>
      <c r="D306" s="21"/>
      <c r="E306" s="36"/>
      <c r="F306" s="37"/>
      <c r="G306" s="22"/>
      <c r="H306" s="21"/>
      <c r="I306" s="29"/>
      <c r="J306" s="29"/>
      <c r="K306" s="25">
        <f t="shared" si="63"/>
        <v>0</v>
      </c>
    </row>
    <row r="307" ht="13.5" customHeight="1">
      <c r="A307" s="18" t="s">
        <v>102</v>
      </c>
      <c r="B307" s="57"/>
      <c r="C307" s="57"/>
      <c r="D307" s="21"/>
      <c r="E307" s="36"/>
      <c r="F307" s="41"/>
      <c r="G307" s="58"/>
      <c r="H307" s="21"/>
      <c r="I307" s="23"/>
      <c r="J307" s="59"/>
      <c r="K307" s="25">
        <f t="shared" si="63"/>
        <v>0</v>
      </c>
    </row>
    <row r="308" ht="13.5" customHeight="1">
      <c r="A308" s="35" t="s">
        <v>103</v>
      </c>
      <c r="B308" s="27"/>
      <c r="C308" s="27"/>
      <c r="D308" s="21"/>
      <c r="E308" s="36"/>
      <c r="F308" s="37"/>
      <c r="G308" s="60"/>
      <c r="H308" s="21"/>
      <c r="I308" s="29"/>
      <c r="J308" s="61"/>
      <c r="K308" s="25">
        <f t="shared" si="63"/>
        <v>0</v>
      </c>
    </row>
    <row r="309" ht="13.5" customHeight="1">
      <c r="A309" s="40" t="s">
        <v>7</v>
      </c>
      <c r="B309" s="40"/>
      <c r="C309" s="40"/>
      <c r="D309" s="10">
        <f t="shared" ref="D309:J309" si="64">SUM(D299:D308)</f>
        <v>0</v>
      </c>
      <c r="E309" s="10">
        <f t="shared" si="64"/>
        <v>0</v>
      </c>
      <c r="F309" s="10">
        <f t="shared" si="64"/>
        <v>0</v>
      </c>
      <c r="G309" s="10">
        <f t="shared" si="64"/>
        <v>0</v>
      </c>
      <c r="H309" s="10">
        <f t="shared" si="64"/>
        <v>0</v>
      </c>
      <c r="I309" s="10">
        <f t="shared" si="64"/>
        <v>0</v>
      </c>
      <c r="J309" s="10">
        <f t="shared" si="64"/>
        <v>0</v>
      </c>
      <c r="K309" s="25">
        <f t="shared" si="63"/>
        <v>0</v>
      </c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 ht="13.5" customHeight="1">
      <c r="A312" s="64" t="s">
        <v>266</v>
      </c>
      <c r="B312" s="65"/>
      <c r="C312" s="65"/>
      <c r="D312" s="5"/>
      <c r="E312" s="10"/>
      <c r="F312" s="10"/>
      <c r="G312" s="10"/>
      <c r="H312" s="10"/>
      <c r="I312" s="10"/>
      <c r="J312" s="10"/>
      <c r="K312" s="10"/>
    </row>
    <row r="313" ht="13.5" customHeight="1">
      <c r="A313" s="15" t="s">
        <v>25</v>
      </c>
      <c r="B313" s="15" t="s">
        <v>1</v>
      </c>
      <c r="C313" s="15" t="s">
        <v>27</v>
      </c>
      <c r="D313" s="15" t="s">
        <v>2</v>
      </c>
      <c r="E313" s="10" t="s">
        <v>28</v>
      </c>
      <c r="F313" s="16" t="s">
        <v>3</v>
      </c>
      <c r="G313" s="15" t="s">
        <v>4</v>
      </c>
      <c r="H313" s="15" t="s">
        <v>5</v>
      </c>
      <c r="I313" s="15" t="s">
        <v>29</v>
      </c>
      <c r="J313" s="15" t="s">
        <v>30</v>
      </c>
      <c r="K313" s="10" t="s">
        <v>7</v>
      </c>
    </row>
    <row r="314" ht="13.5" customHeight="1">
      <c r="A314" s="10" t="s">
        <v>31</v>
      </c>
      <c r="B314" s="19">
        <v>1.2</v>
      </c>
      <c r="C314" s="10" t="s">
        <v>33</v>
      </c>
      <c r="D314" s="21">
        <f t="shared" ref="D314:J314" si="65">D4+D14+D23+D32+D41+D50+D60+D70+D80+D91+D100+D110+D119+D128+D137+D146+D155+D164+D173+D182+D191+D201+D211+D221+D231+D241+D251+D261+D271+D285</f>
        <v>15080</v>
      </c>
      <c r="E314" s="21">
        <f t="shared" si="65"/>
        <v>0</v>
      </c>
      <c r="F314" s="21">
        <f t="shared" si="65"/>
        <v>26450</v>
      </c>
      <c r="G314" s="21">
        <f t="shared" si="65"/>
        <v>0</v>
      </c>
      <c r="H314" s="21">
        <f t="shared" si="65"/>
        <v>25150</v>
      </c>
      <c r="I314" s="21">
        <f t="shared" si="65"/>
        <v>0</v>
      </c>
      <c r="J314" s="21">
        <f t="shared" si="65"/>
        <v>4740</v>
      </c>
      <c r="K314" s="10">
        <f t="shared" ref="K314:K319" si="67">SUM(D314:J314)</f>
        <v>71420</v>
      </c>
    </row>
    <row r="315" ht="13.5" customHeight="1">
      <c r="A315" s="10" t="s">
        <v>34</v>
      </c>
      <c r="B315" s="27"/>
      <c r="C315" s="10"/>
      <c r="D315" s="21">
        <f t="shared" ref="D315:J315" si="66">D5+D15+D24+D33+D42+D51+D61+D71+D81+D92+D101+D111+D120+D129+D138+D147+D156+D165+D174+D183+D192+D202+D212+D222+D232+D242+D252+D262+D272+D286</f>
        <v>13760</v>
      </c>
      <c r="E315" s="21">
        <f t="shared" si="66"/>
        <v>0</v>
      </c>
      <c r="F315" s="21">
        <f t="shared" si="66"/>
        <v>22090</v>
      </c>
      <c r="G315" s="21">
        <f t="shared" si="66"/>
        <v>0</v>
      </c>
      <c r="H315" s="21">
        <f t="shared" si="66"/>
        <v>28720</v>
      </c>
      <c r="I315" s="21">
        <f t="shared" si="66"/>
        <v>0</v>
      </c>
      <c r="J315" s="21">
        <f t="shared" si="66"/>
        <v>3620</v>
      </c>
      <c r="K315" s="10">
        <f t="shared" si="67"/>
        <v>68190</v>
      </c>
    </row>
    <row r="316" ht="13.5" customHeight="1">
      <c r="A316" s="10" t="s">
        <v>35</v>
      </c>
      <c r="B316" s="67">
        <v>2.0</v>
      </c>
      <c r="C316" s="15" t="s">
        <v>36</v>
      </c>
      <c r="D316" s="21">
        <f t="shared" ref="D316:J316" si="68">D6+D16+D25+D34+D43+D52+D62+D72+D82+D93+D102+D112+D121+D130+D139+D148+D157+D166+D175+D184+D193+D203+D213+D223+D233+D243+D253+D263+D273+D287</f>
        <v>0</v>
      </c>
      <c r="E316" s="21">
        <f t="shared" si="68"/>
        <v>0</v>
      </c>
      <c r="F316" s="21">
        <f t="shared" si="68"/>
        <v>0</v>
      </c>
      <c r="G316" s="21">
        <f t="shared" si="68"/>
        <v>0</v>
      </c>
      <c r="H316" s="21">
        <f t="shared" si="68"/>
        <v>0</v>
      </c>
      <c r="I316" s="21">
        <f t="shared" si="68"/>
        <v>0</v>
      </c>
      <c r="J316" s="21">
        <f t="shared" si="68"/>
        <v>0</v>
      </c>
      <c r="K316" s="10">
        <f t="shared" si="67"/>
        <v>0</v>
      </c>
    </row>
    <row r="317" ht="13.5" customHeight="1">
      <c r="A317" s="10" t="s">
        <v>37</v>
      </c>
      <c r="B317" s="67"/>
      <c r="C317" s="15"/>
      <c r="D317" s="21">
        <f t="shared" ref="D317:J317" si="69">D7+D17+D26+D35+D44+D53+D63+D73+D83+D94+D103+D113+D122+D131+D140+D149+D158+D167+D176+D185+D194+D204+D214+D224+D234+D244+D254+D264+D274+D288</f>
        <v>0</v>
      </c>
      <c r="E317" s="21">
        <f t="shared" si="69"/>
        <v>0</v>
      </c>
      <c r="F317" s="21">
        <f t="shared" si="69"/>
        <v>0</v>
      </c>
      <c r="G317" s="21">
        <f t="shared" si="69"/>
        <v>0</v>
      </c>
      <c r="H317" s="21">
        <f t="shared" si="69"/>
        <v>0</v>
      </c>
      <c r="I317" s="21">
        <f t="shared" si="69"/>
        <v>0</v>
      </c>
      <c r="J317" s="21">
        <f t="shared" si="69"/>
        <v>0</v>
      </c>
      <c r="K317" s="10">
        <f t="shared" si="67"/>
        <v>0</v>
      </c>
    </row>
    <row r="318" ht="15.0" customHeight="1">
      <c r="A318" s="10" t="s">
        <v>38</v>
      </c>
      <c r="B318" s="66" t="s">
        <v>39</v>
      </c>
      <c r="C318" s="66" t="s">
        <v>40</v>
      </c>
      <c r="D318" s="21">
        <f t="shared" ref="D318:J318" si="70">D8+D18+D27+D36+D45+D54+D64+D74+D84+D95+D104+D114+D123+D132+D141+D150+D159+D168+D177+D186+D195+D205+D215+D225+D235+D245+D255+D265+D275+D289</f>
        <v>8960</v>
      </c>
      <c r="E318" s="21">
        <f t="shared" si="70"/>
        <v>0</v>
      </c>
      <c r="F318" s="21">
        <f t="shared" si="70"/>
        <v>19150</v>
      </c>
      <c r="G318" s="21">
        <f t="shared" si="70"/>
        <v>0</v>
      </c>
      <c r="H318" s="21">
        <f t="shared" si="70"/>
        <v>129840</v>
      </c>
      <c r="I318" s="21">
        <f t="shared" si="70"/>
        <v>0</v>
      </c>
      <c r="J318" s="21">
        <f t="shared" si="70"/>
        <v>5990</v>
      </c>
      <c r="K318" s="10">
        <f t="shared" si="67"/>
        <v>163940</v>
      </c>
    </row>
    <row r="319" ht="13.5" customHeight="1">
      <c r="A319" s="10" t="s">
        <v>41</v>
      </c>
      <c r="B319" s="7"/>
      <c r="C319" s="7"/>
      <c r="D319" s="21">
        <f t="shared" ref="D319:J319" si="71">D9+D19+D28+D37+D46+D55+D65+D75+D85+D96+D105+D115+D124+D133+D142+D151+D160+D169+D178+D187+D196+D206+D216+D226+D236+D246+D256+D266+D276+D290</f>
        <v>8240</v>
      </c>
      <c r="E319" s="21">
        <f t="shared" si="71"/>
        <v>0</v>
      </c>
      <c r="F319" s="21">
        <f t="shared" si="71"/>
        <v>18360</v>
      </c>
      <c r="G319" s="21">
        <f t="shared" si="71"/>
        <v>0</v>
      </c>
      <c r="H319" s="21">
        <f t="shared" si="71"/>
        <v>143320</v>
      </c>
      <c r="I319" s="21">
        <f t="shared" si="71"/>
        <v>0</v>
      </c>
      <c r="J319" s="21">
        <f t="shared" si="71"/>
        <v>5550</v>
      </c>
      <c r="K319" s="10">
        <f t="shared" si="67"/>
        <v>175470</v>
      </c>
    </row>
    <row r="320" ht="13.5" customHeight="1">
      <c r="A320" s="10" t="s">
        <v>7</v>
      </c>
      <c r="B320" s="10"/>
      <c r="C320" s="10"/>
      <c r="D320" s="21">
        <f t="shared" ref="D320:K320" si="72">SUM(D314:D319)</f>
        <v>46040</v>
      </c>
      <c r="E320" s="21">
        <f t="shared" si="72"/>
        <v>0</v>
      </c>
      <c r="F320" s="21">
        <f t="shared" si="72"/>
        <v>86050</v>
      </c>
      <c r="G320" s="21">
        <f t="shared" si="72"/>
        <v>0</v>
      </c>
      <c r="H320" s="21">
        <f t="shared" si="72"/>
        <v>327030</v>
      </c>
      <c r="I320" s="21">
        <f t="shared" si="72"/>
        <v>0</v>
      </c>
      <c r="J320" s="21">
        <f t="shared" si="72"/>
        <v>19900</v>
      </c>
      <c r="K320" s="21">
        <f t="shared" si="72"/>
        <v>479020</v>
      </c>
    </row>
    <row r="321" ht="13.5" customHeight="1">
      <c r="A321" s="10"/>
      <c r="B321" s="10"/>
      <c r="C321" s="10"/>
      <c r="D321" s="15" t="s">
        <v>2</v>
      </c>
      <c r="E321" s="10" t="s">
        <v>28</v>
      </c>
      <c r="F321" s="16" t="s">
        <v>3</v>
      </c>
      <c r="G321" s="15" t="s">
        <v>4</v>
      </c>
      <c r="H321" s="15" t="s">
        <v>5</v>
      </c>
      <c r="I321" s="15" t="s">
        <v>29</v>
      </c>
      <c r="J321" s="15" t="s">
        <v>30</v>
      </c>
      <c r="K321" s="10" t="s">
        <v>7</v>
      </c>
    </row>
    <row r="322" ht="13.5" customHeight="1">
      <c r="A322" s="10"/>
      <c r="B322" s="66" t="s">
        <v>267</v>
      </c>
      <c r="C322" s="10" t="s">
        <v>33</v>
      </c>
      <c r="D322" s="10">
        <f t="shared" ref="D322:K322" si="73">D314+D315</f>
        <v>28840</v>
      </c>
      <c r="E322" s="10">
        <f t="shared" si="73"/>
        <v>0</v>
      </c>
      <c r="F322" s="10">
        <f t="shared" si="73"/>
        <v>48540</v>
      </c>
      <c r="G322" s="10">
        <f t="shared" si="73"/>
        <v>0</v>
      </c>
      <c r="H322" s="10">
        <f t="shared" si="73"/>
        <v>53870</v>
      </c>
      <c r="I322" s="10">
        <f t="shared" si="73"/>
        <v>0</v>
      </c>
      <c r="J322" s="10">
        <f t="shared" si="73"/>
        <v>8360</v>
      </c>
      <c r="K322" s="10">
        <f t="shared" si="73"/>
        <v>139610</v>
      </c>
      <c r="L322" s="68"/>
    </row>
    <row r="323" ht="13.5" customHeight="1">
      <c r="A323" s="10" t="s">
        <v>7</v>
      </c>
      <c r="B323" s="7"/>
      <c r="C323" s="10"/>
      <c r="D323" s="10"/>
      <c r="E323" s="10"/>
      <c r="F323" s="10"/>
      <c r="G323" s="10"/>
      <c r="H323" s="10"/>
      <c r="I323" s="10"/>
      <c r="J323" s="10"/>
      <c r="K323" s="10"/>
    </row>
    <row r="324" ht="13.5" customHeight="1">
      <c r="A324" s="10"/>
      <c r="B324" s="67">
        <v>2.0</v>
      </c>
      <c r="C324" s="15" t="s">
        <v>36</v>
      </c>
      <c r="D324" s="10">
        <f t="shared" ref="D324:J324" si="74">D316+D317</f>
        <v>0</v>
      </c>
      <c r="E324" s="10">
        <f t="shared" si="74"/>
        <v>0</v>
      </c>
      <c r="F324" s="10">
        <f t="shared" si="74"/>
        <v>0</v>
      </c>
      <c r="G324" s="10">
        <f t="shared" si="74"/>
        <v>0</v>
      </c>
      <c r="H324" s="10">
        <f t="shared" si="74"/>
        <v>0</v>
      </c>
      <c r="I324" s="10">
        <f t="shared" si="74"/>
        <v>0</v>
      </c>
      <c r="J324" s="10">
        <f t="shared" si="74"/>
        <v>0</v>
      </c>
      <c r="K324" s="10">
        <f>SUM(D324:J324)</f>
        <v>0</v>
      </c>
    </row>
    <row r="325" ht="13.5" customHeight="1">
      <c r="A325" s="10"/>
      <c r="B325" s="67"/>
      <c r="C325" s="15"/>
      <c r="D325" s="10"/>
      <c r="E325" s="10"/>
      <c r="F325" s="10"/>
      <c r="G325" s="10"/>
      <c r="H325" s="10"/>
      <c r="I325" s="10"/>
      <c r="J325" s="10"/>
      <c r="K325" s="10"/>
    </row>
    <row r="326" ht="14.25" customHeight="1">
      <c r="A326" s="10"/>
      <c r="B326" s="66" t="s">
        <v>39</v>
      </c>
      <c r="C326" s="66" t="s">
        <v>40</v>
      </c>
      <c r="D326" s="10">
        <f t="shared" ref="D326:J326" si="75">D318+D319</f>
        <v>17200</v>
      </c>
      <c r="E326" s="10">
        <f t="shared" si="75"/>
        <v>0</v>
      </c>
      <c r="F326" s="10">
        <f t="shared" si="75"/>
        <v>37510</v>
      </c>
      <c r="G326" s="10">
        <f t="shared" si="75"/>
        <v>0</v>
      </c>
      <c r="H326" s="10">
        <f t="shared" si="75"/>
        <v>273160</v>
      </c>
      <c r="I326" s="10">
        <f t="shared" si="75"/>
        <v>0</v>
      </c>
      <c r="J326" s="10">
        <f t="shared" si="75"/>
        <v>11540</v>
      </c>
      <c r="K326" s="10">
        <f>SUM(D326:J326)</f>
        <v>339410</v>
      </c>
    </row>
    <row r="327" ht="13.5" customHeight="1">
      <c r="A327" s="10"/>
      <c r="B327" s="7"/>
      <c r="C327" s="7"/>
      <c r="D327" s="10"/>
      <c r="E327" s="10"/>
      <c r="F327" s="10"/>
      <c r="G327" s="10"/>
      <c r="H327" s="10"/>
      <c r="I327" s="10"/>
      <c r="J327" s="10"/>
      <c r="K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f>SUM(K322:K327)</f>
        <v>479020</v>
      </c>
    </row>
    <row r="329" ht="13.5" customHeight="1"/>
    <row r="330" ht="13.5" customHeight="1">
      <c r="D330" s="69"/>
    </row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3">
    <mergeCell ref="B104:B105"/>
    <mergeCell ref="C104:C105"/>
    <mergeCell ref="A108:D108"/>
    <mergeCell ref="B110:B111"/>
    <mergeCell ref="B114:B115"/>
    <mergeCell ref="C114:C115"/>
    <mergeCell ref="A117:D117"/>
    <mergeCell ref="B119:B120"/>
    <mergeCell ref="B123:B124"/>
    <mergeCell ref="C123:C124"/>
    <mergeCell ref="A126:D126"/>
    <mergeCell ref="B128:B129"/>
    <mergeCell ref="C132:C133"/>
    <mergeCell ref="A135:D135"/>
    <mergeCell ref="B132:B133"/>
    <mergeCell ref="B137:B138"/>
    <mergeCell ref="B141:B142"/>
    <mergeCell ref="C141:C142"/>
    <mergeCell ref="A144:D144"/>
    <mergeCell ref="B146:B147"/>
    <mergeCell ref="B150:B151"/>
    <mergeCell ref="C150:C151"/>
    <mergeCell ref="A153:D153"/>
    <mergeCell ref="B155:B156"/>
    <mergeCell ref="B159:B160"/>
    <mergeCell ref="C159:C160"/>
    <mergeCell ref="A162:D162"/>
    <mergeCell ref="B164:B165"/>
    <mergeCell ref="B168:B169"/>
    <mergeCell ref="C168:C169"/>
    <mergeCell ref="A171:D171"/>
    <mergeCell ref="B173:B174"/>
    <mergeCell ref="B177:B178"/>
    <mergeCell ref="C177:C178"/>
    <mergeCell ref="A180:D180"/>
    <mergeCell ref="B186:B187"/>
    <mergeCell ref="C186:C187"/>
    <mergeCell ref="A189:D189"/>
    <mergeCell ref="B191:B192"/>
    <mergeCell ref="B195:B196"/>
    <mergeCell ref="C195:C196"/>
    <mergeCell ref="A199:D199"/>
    <mergeCell ref="B201:B202"/>
    <mergeCell ref="B205:B206"/>
    <mergeCell ref="C205:C206"/>
    <mergeCell ref="A209:D209"/>
    <mergeCell ref="B211:B212"/>
    <mergeCell ref="C215:C216"/>
    <mergeCell ref="A219:D219"/>
    <mergeCell ref="B215:B216"/>
    <mergeCell ref="B221:B222"/>
    <mergeCell ref="B225:B226"/>
    <mergeCell ref="C225:C226"/>
    <mergeCell ref="A229:D229"/>
    <mergeCell ref="B231:B232"/>
    <mergeCell ref="B235:B236"/>
    <mergeCell ref="B255:B256"/>
    <mergeCell ref="C255:C256"/>
    <mergeCell ref="A259:D259"/>
    <mergeCell ref="B261:B262"/>
    <mergeCell ref="C265:C266"/>
    <mergeCell ref="A268:D268"/>
    <mergeCell ref="A269:D269"/>
    <mergeCell ref="C279:C280"/>
    <mergeCell ref="A283:D283"/>
    <mergeCell ref="B265:B266"/>
    <mergeCell ref="B271:B272"/>
    <mergeCell ref="B275:B276"/>
    <mergeCell ref="C275:C276"/>
    <mergeCell ref="B277:B278"/>
    <mergeCell ref="C277:C278"/>
    <mergeCell ref="B279:B280"/>
    <mergeCell ref="B285:B286"/>
    <mergeCell ref="B289:B290"/>
    <mergeCell ref="C289:C290"/>
    <mergeCell ref="B291:B292"/>
    <mergeCell ref="C291:C292"/>
    <mergeCell ref="C293:C294"/>
    <mergeCell ref="A297:D297"/>
    <mergeCell ref="C307:C308"/>
    <mergeCell ref="A312:D312"/>
    <mergeCell ref="B314:B315"/>
    <mergeCell ref="B318:B319"/>
    <mergeCell ref="C318:C319"/>
    <mergeCell ref="B322:B323"/>
    <mergeCell ref="B326:B327"/>
    <mergeCell ref="C326:C327"/>
    <mergeCell ref="B293:B294"/>
    <mergeCell ref="B299:B300"/>
    <mergeCell ref="B303:B304"/>
    <mergeCell ref="C303:C304"/>
    <mergeCell ref="B305:B306"/>
    <mergeCell ref="C305:C306"/>
    <mergeCell ref="B307:B308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9:D89"/>
    <mergeCell ref="B91:B92"/>
    <mergeCell ref="B95:B96"/>
    <mergeCell ref="C95:C96"/>
    <mergeCell ref="A98:D98"/>
    <mergeCell ref="B100:B101"/>
    <mergeCell ref="C235:C236"/>
    <mergeCell ref="A239:D239"/>
    <mergeCell ref="B241:B242"/>
    <mergeCell ref="B245:B246"/>
    <mergeCell ref="C245:C246"/>
    <mergeCell ref="A249:D249"/>
    <mergeCell ref="B251:B252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268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28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>
        <v>1.2</v>
      </c>
      <c r="C4" s="20" t="s">
        <v>33</v>
      </c>
      <c r="D4" s="21">
        <v>510.0</v>
      </c>
      <c r="E4" s="10"/>
      <c r="F4" s="10">
        <v>900.0</v>
      </c>
      <c r="G4" s="22"/>
      <c r="H4" s="21">
        <v>970.0</v>
      </c>
      <c r="I4" s="23"/>
      <c r="J4" s="24">
        <v>140.0</v>
      </c>
      <c r="K4" s="25">
        <f t="shared" ref="K4:K10" si="1">SUM(D4:J4)</f>
        <v>2520</v>
      </c>
    </row>
    <row r="5" ht="15.0" customHeight="1">
      <c r="A5" s="26" t="s">
        <v>34</v>
      </c>
      <c r="B5" s="27"/>
      <c r="C5" s="28"/>
      <c r="D5" s="21">
        <v>490.0</v>
      </c>
      <c r="E5" s="10"/>
      <c r="F5" s="10">
        <v>1000.0</v>
      </c>
      <c r="G5" s="22"/>
      <c r="H5" s="21">
        <v>810.0</v>
      </c>
      <c r="I5" s="29"/>
      <c r="J5" s="29">
        <v>100.0</v>
      </c>
      <c r="K5" s="25">
        <f t="shared" si="1"/>
        <v>2400</v>
      </c>
    </row>
    <row r="6" ht="13.5" customHeight="1">
      <c r="A6" s="18" t="s">
        <v>35</v>
      </c>
      <c r="B6" s="30">
        <v>2.0</v>
      </c>
      <c r="C6" s="31" t="s">
        <v>36</v>
      </c>
      <c r="D6" s="21"/>
      <c r="E6" s="10"/>
      <c r="F6" s="10"/>
      <c r="G6" s="32"/>
      <c r="H6" s="21"/>
      <c r="I6" s="22"/>
      <c r="J6" s="22"/>
      <c r="K6" s="25">
        <f t="shared" si="1"/>
        <v>0</v>
      </c>
    </row>
    <row r="7" ht="13.5" customHeight="1">
      <c r="A7" s="26" t="s">
        <v>37</v>
      </c>
      <c r="B7" s="33"/>
      <c r="C7" s="34"/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300.0</v>
      </c>
      <c r="E8" s="10"/>
      <c r="F8" s="10">
        <v>570.0</v>
      </c>
      <c r="G8" s="22"/>
      <c r="H8" s="21">
        <v>4820.0</v>
      </c>
      <c r="I8" s="29"/>
      <c r="J8" s="29">
        <v>280.0</v>
      </c>
      <c r="K8" s="25">
        <f t="shared" si="1"/>
        <v>5970</v>
      </c>
    </row>
    <row r="9" ht="15.0" customHeight="1">
      <c r="A9" s="35" t="s">
        <v>41</v>
      </c>
      <c r="B9" s="27"/>
      <c r="C9" s="27"/>
      <c r="D9" s="21">
        <v>280.0</v>
      </c>
      <c r="E9" s="36"/>
      <c r="F9" s="37">
        <v>670.0</v>
      </c>
      <c r="G9" s="38"/>
      <c r="H9" s="21">
        <v>5090.0</v>
      </c>
      <c r="I9" s="29"/>
      <c r="J9" s="39">
        <v>200.0</v>
      </c>
      <c r="K9" s="25">
        <f t="shared" si="1"/>
        <v>6240</v>
      </c>
    </row>
    <row r="10" ht="13.5" customHeight="1">
      <c r="A10" s="40" t="s">
        <v>7</v>
      </c>
      <c r="B10" s="40"/>
      <c r="C10" s="40"/>
      <c r="D10" s="10">
        <f t="shared" ref="D10:J10" si="2">SUM(D4:D9)</f>
        <v>1580</v>
      </c>
      <c r="E10" s="10">
        <f t="shared" si="2"/>
        <v>0</v>
      </c>
      <c r="F10" s="10">
        <f t="shared" si="2"/>
        <v>3140</v>
      </c>
      <c r="G10" s="10">
        <f t="shared" si="2"/>
        <v>0</v>
      </c>
      <c r="H10" s="10">
        <f t="shared" si="2"/>
        <v>11690</v>
      </c>
      <c r="I10" s="10">
        <f t="shared" si="2"/>
        <v>0</v>
      </c>
      <c r="J10" s="10">
        <f t="shared" si="2"/>
        <v>720</v>
      </c>
      <c r="K10" s="25">
        <f t="shared" si="1"/>
        <v>17130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269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>
        <v>1.2</v>
      </c>
      <c r="C14" s="20" t="s">
        <v>33</v>
      </c>
      <c r="D14" s="21">
        <v>510.0</v>
      </c>
      <c r="E14" s="10"/>
      <c r="F14" s="36">
        <v>670.0</v>
      </c>
      <c r="G14" s="32"/>
      <c r="H14" s="21">
        <v>650.0</v>
      </c>
      <c r="I14" s="23"/>
      <c r="J14" s="24">
        <v>150.0</v>
      </c>
      <c r="K14" s="25">
        <f t="shared" ref="K14:K20" si="3">SUM(D14:J14)</f>
        <v>1980</v>
      </c>
    </row>
    <row r="15" ht="13.5" customHeight="1">
      <c r="A15" s="26" t="s">
        <v>34</v>
      </c>
      <c r="B15" s="27"/>
      <c r="C15" s="28"/>
      <c r="D15" s="21">
        <v>500.0</v>
      </c>
      <c r="E15" s="10"/>
      <c r="F15" s="36">
        <v>1000.0</v>
      </c>
      <c r="G15" s="22"/>
      <c r="H15" s="21">
        <v>1010.0</v>
      </c>
      <c r="I15" s="29"/>
      <c r="J15" s="29">
        <v>130.0</v>
      </c>
      <c r="K15" s="25">
        <f t="shared" si="3"/>
        <v>2640</v>
      </c>
    </row>
    <row r="16" ht="13.5" customHeight="1">
      <c r="A16" s="18" t="s">
        <v>35</v>
      </c>
      <c r="B16" s="30">
        <v>2.0</v>
      </c>
      <c r="C16" s="31" t="s">
        <v>36</v>
      </c>
      <c r="D16" s="21"/>
      <c r="E16" s="10"/>
      <c r="F16" s="36"/>
      <c r="G16" s="32"/>
      <c r="H16" s="21"/>
      <c r="I16" s="23"/>
      <c r="J16" s="24"/>
      <c r="K16" s="25">
        <f t="shared" si="3"/>
        <v>0</v>
      </c>
    </row>
    <row r="17" ht="13.5" customHeight="1">
      <c r="A17" s="26" t="s">
        <v>37</v>
      </c>
      <c r="B17" s="33"/>
      <c r="C17" s="34"/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300.0</v>
      </c>
      <c r="E18" s="10"/>
      <c r="F18" s="41">
        <v>610.0</v>
      </c>
      <c r="G18" s="32"/>
      <c r="H18" s="21">
        <v>4930.0</v>
      </c>
      <c r="I18" s="23"/>
      <c r="J18" s="24">
        <v>160.0</v>
      </c>
      <c r="K18" s="25">
        <f t="shared" si="3"/>
        <v>6000</v>
      </c>
    </row>
    <row r="19" ht="13.5" customHeight="1">
      <c r="A19" s="35" t="s">
        <v>41</v>
      </c>
      <c r="B19" s="27"/>
      <c r="C19" s="27"/>
      <c r="D19" s="21">
        <v>300.0</v>
      </c>
      <c r="E19" s="36"/>
      <c r="F19" s="37">
        <v>710.0</v>
      </c>
      <c r="G19" s="38"/>
      <c r="H19" s="21">
        <v>4820.0</v>
      </c>
      <c r="I19" s="29"/>
      <c r="J19" s="39">
        <v>220.0</v>
      </c>
      <c r="K19" s="25">
        <f t="shared" si="3"/>
        <v>6050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1610</v>
      </c>
      <c r="E20" s="10">
        <f t="shared" si="4"/>
        <v>0</v>
      </c>
      <c r="F20" s="10">
        <f t="shared" si="4"/>
        <v>2990</v>
      </c>
      <c r="G20" s="10">
        <f t="shared" si="4"/>
        <v>0</v>
      </c>
      <c r="H20" s="10">
        <f t="shared" si="4"/>
        <v>11410</v>
      </c>
      <c r="I20" s="10">
        <f t="shared" si="4"/>
        <v>0</v>
      </c>
      <c r="J20" s="10">
        <f t="shared" si="4"/>
        <v>660</v>
      </c>
      <c r="K20" s="25">
        <f t="shared" si="3"/>
        <v>16670</v>
      </c>
    </row>
    <row r="21" ht="13.5" customHeight="1">
      <c r="A21" s="13" t="s">
        <v>270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>
        <v>1.2</v>
      </c>
      <c r="C23" s="20" t="s">
        <v>33</v>
      </c>
      <c r="D23" s="21">
        <v>500.0</v>
      </c>
      <c r="E23" s="10"/>
      <c r="F23" s="36">
        <v>640.0</v>
      </c>
      <c r="G23" s="32"/>
      <c r="H23" s="21"/>
      <c r="I23" s="23">
        <v>870.0</v>
      </c>
      <c r="J23" s="24">
        <v>160.0</v>
      </c>
      <c r="K23" s="25">
        <f t="shared" ref="K23:K29" si="5">SUM(D23:J23)</f>
        <v>2170</v>
      </c>
    </row>
    <row r="24" ht="13.5" customHeight="1">
      <c r="A24" s="26" t="s">
        <v>34</v>
      </c>
      <c r="B24" s="27"/>
      <c r="C24" s="28"/>
      <c r="D24" s="21">
        <v>510.0</v>
      </c>
      <c r="E24" s="36"/>
      <c r="F24" s="37">
        <v>1000.0</v>
      </c>
      <c r="G24" s="22"/>
      <c r="H24" s="21"/>
      <c r="I24" s="29">
        <v>950.0</v>
      </c>
      <c r="J24" s="29">
        <v>200.0</v>
      </c>
      <c r="K24" s="25">
        <f t="shared" si="5"/>
        <v>2660</v>
      </c>
    </row>
    <row r="25" ht="13.5" customHeight="1">
      <c r="A25" s="18" t="s">
        <v>35</v>
      </c>
      <c r="B25" s="30">
        <v>2.0</v>
      </c>
      <c r="C25" s="31" t="s">
        <v>36</v>
      </c>
      <c r="D25" s="21"/>
      <c r="E25" s="10"/>
      <c r="F25" s="41"/>
      <c r="G25" s="32"/>
      <c r="H25" s="21"/>
      <c r="I25" s="23"/>
      <c r="J25" s="24"/>
      <c r="K25" s="25">
        <f t="shared" si="5"/>
        <v>0</v>
      </c>
    </row>
    <row r="26" ht="13.5" customHeight="1">
      <c r="A26" s="26" t="s">
        <v>37</v>
      </c>
      <c r="B26" s="33"/>
      <c r="C26" s="34"/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340.0</v>
      </c>
      <c r="E27" s="10"/>
      <c r="F27" s="41">
        <v>550.0</v>
      </c>
      <c r="G27" s="32"/>
      <c r="H27" s="21"/>
      <c r="I27" s="23">
        <v>5190.0</v>
      </c>
      <c r="J27" s="24">
        <v>180.0</v>
      </c>
      <c r="K27" s="25">
        <f t="shared" si="5"/>
        <v>6260</v>
      </c>
    </row>
    <row r="28" ht="13.5" customHeight="1">
      <c r="A28" s="35" t="s">
        <v>41</v>
      </c>
      <c r="B28" s="27"/>
      <c r="C28" s="27"/>
      <c r="D28" s="21">
        <v>300.0</v>
      </c>
      <c r="E28" s="10"/>
      <c r="F28" s="36">
        <v>740.0</v>
      </c>
      <c r="G28" s="22"/>
      <c r="H28" s="21"/>
      <c r="I28" s="29">
        <v>4760.0</v>
      </c>
      <c r="J28" s="29">
        <v>170.0</v>
      </c>
      <c r="K28" s="25">
        <f t="shared" si="5"/>
        <v>5970</v>
      </c>
    </row>
    <row r="29" ht="13.5" customHeight="1">
      <c r="A29" s="40" t="s">
        <v>7</v>
      </c>
      <c r="B29" s="40"/>
      <c r="C29" s="40">
        <v>547.0</v>
      </c>
      <c r="D29" s="10">
        <f t="shared" ref="D29:J29" si="6">SUM(D23:D28)</f>
        <v>1650</v>
      </c>
      <c r="E29" s="10">
        <f t="shared" si="6"/>
        <v>0</v>
      </c>
      <c r="F29" s="10">
        <f t="shared" si="6"/>
        <v>2930</v>
      </c>
      <c r="G29" s="10">
        <f t="shared" si="6"/>
        <v>0</v>
      </c>
      <c r="H29" s="10">
        <f t="shared" si="6"/>
        <v>0</v>
      </c>
      <c r="I29" s="10">
        <f t="shared" si="6"/>
        <v>11770</v>
      </c>
      <c r="J29" s="10">
        <f t="shared" si="6"/>
        <v>710</v>
      </c>
      <c r="K29" s="25">
        <f t="shared" si="5"/>
        <v>17060</v>
      </c>
    </row>
    <row r="30" ht="13.5" customHeight="1">
      <c r="A30" s="13" t="s">
        <v>271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>
        <v>1.2</v>
      </c>
      <c r="C32" s="20" t="s">
        <v>33</v>
      </c>
      <c r="D32" s="21">
        <v>520.0</v>
      </c>
      <c r="E32" s="10"/>
      <c r="F32" s="36">
        <v>800.0</v>
      </c>
      <c r="G32" s="32"/>
      <c r="H32" s="21">
        <v>720.0</v>
      </c>
      <c r="I32" s="23"/>
      <c r="J32" s="24">
        <v>120.0</v>
      </c>
      <c r="K32" s="25">
        <f t="shared" ref="K32:K37" si="7">SUM(D32:J32)</f>
        <v>2160</v>
      </c>
    </row>
    <row r="33" ht="13.5" customHeight="1">
      <c r="A33" s="26" t="s">
        <v>34</v>
      </c>
      <c r="B33" s="27"/>
      <c r="C33" s="28"/>
      <c r="D33" s="21">
        <v>500.0</v>
      </c>
      <c r="E33" s="10"/>
      <c r="F33" s="36">
        <v>860.0</v>
      </c>
      <c r="G33" s="22"/>
      <c r="H33" s="21">
        <v>1130.0</v>
      </c>
      <c r="I33" s="21"/>
      <c r="J33" s="29">
        <v>180.0</v>
      </c>
      <c r="K33" s="25">
        <f t="shared" si="7"/>
        <v>2670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7"/>
        <v>0</v>
      </c>
    </row>
    <row r="35" ht="13.5" customHeight="1">
      <c r="A35" s="26" t="s">
        <v>37</v>
      </c>
      <c r="B35" s="33"/>
      <c r="C35" s="34"/>
      <c r="D35" s="21"/>
      <c r="E35" s="10"/>
      <c r="F35" s="36"/>
      <c r="G35" s="38"/>
      <c r="H35" s="21"/>
      <c r="I35" s="21"/>
      <c r="J35" s="29"/>
      <c r="K35" s="25">
        <f t="shared" si="7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300.0</v>
      </c>
      <c r="E36" s="10"/>
      <c r="F36" s="41">
        <v>700.0</v>
      </c>
      <c r="G36" s="32"/>
      <c r="H36" s="21">
        <v>4990.0</v>
      </c>
      <c r="I36" s="21"/>
      <c r="J36" s="24">
        <v>260.0</v>
      </c>
      <c r="K36" s="25">
        <f t="shared" si="7"/>
        <v>6250</v>
      </c>
    </row>
    <row r="37" ht="13.5" customHeight="1">
      <c r="A37" s="35" t="s">
        <v>41</v>
      </c>
      <c r="B37" s="27"/>
      <c r="C37" s="27"/>
      <c r="D37" s="21">
        <v>280.0</v>
      </c>
      <c r="E37" s="36"/>
      <c r="F37" s="37">
        <v>500.0</v>
      </c>
      <c r="G37" s="22"/>
      <c r="H37" s="21">
        <v>5090.0</v>
      </c>
      <c r="I37" s="29"/>
      <c r="J37" s="39">
        <v>200.0</v>
      </c>
      <c r="K37" s="25">
        <f t="shared" si="7"/>
        <v>6070</v>
      </c>
    </row>
    <row r="38" ht="13.5" customHeight="1">
      <c r="A38" s="40" t="s">
        <v>7</v>
      </c>
      <c r="B38" s="40"/>
      <c r="C38" s="40">
        <v>547.0</v>
      </c>
      <c r="D38" s="10">
        <f t="shared" ref="D38:K38" si="8">SUM(D32:D37)</f>
        <v>1600</v>
      </c>
      <c r="E38" s="10">
        <f t="shared" si="8"/>
        <v>0</v>
      </c>
      <c r="F38" s="10">
        <f t="shared" si="8"/>
        <v>2860</v>
      </c>
      <c r="G38" s="10">
        <f t="shared" si="8"/>
        <v>0</v>
      </c>
      <c r="H38" s="10">
        <f t="shared" si="8"/>
        <v>11930</v>
      </c>
      <c r="I38" s="10">
        <f t="shared" si="8"/>
        <v>0</v>
      </c>
      <c r="J38" s="10">
        <f t="shared" si="8"/>
        <v>760</v>
      </c>
      <c r="K38" s="10">
        <f t="shared" si="8"/>
        <v>17150</v>
      </c>
    </row>
    <row r="39" ht="13.5" customHeight="1">
      <c r="A39" s="42" t="s">
        <v>272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1.2</v>
      </c>
      <c r="C41" s="20" t="s">
        <v>33</v>
      </c>
      <c r="D41" s="21">
        <v>510.0</v>
      </c>
      <c r="E41" s="10"/>
      <c r="F41" s="36">
        <v>750.0</v>
      </c>
      <c r="G41" s="32"/>
      <c r="H41" s="21">
        <v>1250.0</v>
      </c>
      <c r="I41" s="21"/>
      <c r="J41" s="24">
        <v>120.0</v>
      </c>
      <c r="K41" s="25">
        <f t="shared" ref="K41:K47" si="9">SUM(D41:J41)</f>
        <v>2630</v>
      </c>
    </row>
    <row r="42" ht="13.5" customHeight="1">
      <c r="A42" s="26" t="s">
        <v>34</v>
      </c>
      <c r="B42" s="27"/>
      <c r="C42" s="28"/>
      <c r="D42" s="21">
        <v>450.0</v>
      </c>
      <c r="E42" s="10"/>
      <c r="F42" s="36">
        <v>800.0</v>
      </c>
      <c r="G42" s="22"/>
      <c r="H42" s="21">
        <v>740.0</v>
      </c>
      <c r="I42" s="21"/>
      <c r="J42" s="29">
        <v>110.0</v>
      </c>
      <c r="K42" s="25">
        <f t="shared" si="9"/>
        <v>2100</v>
      </c>
    </row>
    <row r="43" ht="13.5" customHeight="1">
      <c r="A43" s="18" t="s">
        <v>35</v>
      </c>
      <c r="B43" s="30">
        <v>2.0</v>
      </c>
      <c r="C43" s="31" t="s">
        <v>36</v>
      </c>
      <c r="D43" s="21"/>
      <c r="E43" s="10"/>
      <c r="F43" s="36"/>
      <c r="G43" s="32"/>
      <c r="H43" s="21"/>
      <c r="I43" s="21"/>
      <c r="J43" s="24"/>
      <c r="K43" s="25">
        <f t="shared" si="9"/>
        <v>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9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310.0</v>
      </c>
      <c r="E45" s="10"/>
      <c r="F45" s="41">
        <v>500.0</v>
      </c>
      <c r="G45" s="32"/>
      <c r="H45" s="21">
        <v>5130.0</v>
      </c>
      <c r="I45" s="21"/>
      <c r="J45" s="24">
        <v>180.0</v>
      </c>
      <c r="K45" s="25">
        <f t="shared" si="9"/>
        <v>6120</v>
      </c>
    </row>
    <row r="46" ht="13.5" customHeight="1">
      <c r="A46" s="35" t="s">
        <v>41</v>
      </c>
      <c r="B46" s="27"/>
      <c r="C46" s="27"/>
      <c r="D46" s="21">
        <v>450.0</v>
      </c>
      <c r="E46" s="36"/>
      <c r="F46" s="37">
        <v>800.0</v>
      </c>
      <c r="G46" s="38"/>
      <c r="H46" s="21">
        <v>740.0</v>
      </c>
      <c r="I46" s="21"/>
      <c r="J46" s="39">
        <v>110.0</v>
      </c>
      <c r="K46" s="25">
        <f t="shared" si="9"/>
        <v>2100</v>
      </c>
    </row>
    <row r="47" ht="13.5" customHeight="1">
      <c r="A47" s="40" t="s">
        <v>7</v>
      </c>
      <c r="B47" s="40"/>
      <c r="C47" s="40">
        <v>547.0</v>
      </c>
      <c r="D47" s="10">
        <f t="shared" ref="D47:J47" si="10">SUM(D41:D46)</f>
        <v>1720</v>
      </c>
      <c r="E47" s="10">
        <f t="shared" si="10"/>
        <v>0</v>
      </c>
      <c r="F47" s="10">
        <f t="shared" si="10"/>
        <v>2850</v>
      </c>
      <c r="G47" s="10">
        <f t="shared" si="10"/>
        <v>0</v>
      </c>
      <c r="H47" s="10">
        <f t="shared" si="10"/>
        <v>7860</v>
      </c>
      <c r="I47" s="10">
        <f t="shared" si="10"/>
        <v>0</v>
      </c>
      <c r="J47" s="10">
        <f t="shared" si="10"/>
        <v>520</v>
      </c>
      <c r="K47" s="25">
        <f t="shared" si="9"/>
        <v>12950</v>
      </c>
    </row>
    <row r="48" ht="13.5" customHeight="1">
      <c r="A48" s="13" t="s">
        <v>273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1.2</v>
      </c>
      <c r="C50" s="20" t="s">
        <v>33</v>
      </c>
      <c r="D50" s="21">
        <v>510.0</v>
      </c>
      <c r="E50" s="10"/>
      <c r="F50" s="36">
        <v>700.0</v>
      </c>
      <c r="G50" s="32"/>
      <c r="H50" s="21">
        <v>740.0</v>
      </c>
      <c r="I50" s="21"/>
      <c r="J50" s="24">
        <v>120.0</v>
      </c>
      <c r="K50" s="25">
        <f t="shared" ref="K50:K56" si="11">SUM(D50:J50)</f>
        <v>2070</v>
      </c>
    </row>
    <row r="51" ht="13.5" customHeight="1">
      <c r="A51" s="26" t="s">
        <v>34</v>
      </c>
      <c r="B51" s="27"/>
      <c r="C51" s="28">
        <v>206.0</v>
      </c>
      <c r="D51" s="21">
        <v>500.0</v>
      </c>
      <c r="E51" s="10"/>
      <c r="F51" s="36">
        <v>930.0</v>
      </c>
      <c r="G51" s="22"/>
      <c r="H51" s="21">
        <v>1160.0</v>
      </c>
      <c r="I51" s="21"/>
      <c r="J51" s="29">
        <v>130.0</v>
      </c>
      <c r="K51" s="25">
        <f t="shared" si="11"/>
        <v>2720</v>
      </c>
    </row>
    <row r="52" ht="13.5" customHeight="1">
      <c r="A52" s="18" t="s">
        <v>35</v>
      </c>
      <c r="B52" s="30">
        <v>2.0</v>
      </c>
      <c r="C52" s="31" t="s">
        <v>36</v>
      </c>
      <c r="D52" s="21"/>
      <c r="E52" s="10"/>
      <c r="F52" s="36"/>
      <c r="G52" s="38"/>
      <c r="H52" s="21"/>
      <c r="I52" s="21"/>
      <c r="J52" s="29"/>
      <c r="K52" s="25">
        <f t="shared" si="11"/>
        <v>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1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280.0</v>
      </c>
      <c r="E54" s="10"/>
      <c r="F54" s="41">
        <v>670.0</v>
      </c>
      <c r="G54" s="32"/>
      <c r="H54" s="21">
        <v>4860.0</v>
      </c>
      <c r="I54" s="21"/>
      <c r="J54" s="24">
        <v>250.0</v>
      </c>
      <c r="K54" s="25">
        <f t="shared" si="11"/>
        <v>6060</v>
      </c>
    </row>
    <row r="55" ht="13.5" customHeight="1">
      <c r="A55" s="35" t="s">
        <v>41</v>
      </c>
      <c r="B55" s="27"/>
      <c r="C55" s="27"/>
      <c r="D55" s="21">
        <v>290.0</v>
      </c>
      <c r="E55" s="36"/>
      <c r="F55" s="37">
        <v>700.0</v>
      </c>
      <c r="G55" s="38"/>
      <c r="H55" s="21">
        <v>4940.0</v>
      </c>
      <c r="I55" s="21"/>
      <c r="J55" s="39">
        <v>220.0</v>
      </c>
      <c r="K55" s="25">
        <f t="shared" si="11"/>
        <v>6150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2">SUM(D50:D55)</f>
        <v>1580</v>
      </c>
      <c r="E56" s="10">
        <f t="shared" si="12"/>
        <v>0</v>
      </c>
      <c r="F56" s="10">
        <f t="shared" si="12"/>
        <v>3000</v>
      </c>
      <c r="G56" s="10">
        <f t="shared" si="12"/>
        <v>0</v>
      </c>
      <c r="H56" s="10">
        <f t="shared" si="12"/>
        <v>11700</v>
      </c>
      <c r="I56" s="10">
        <f t="shared" si="12"/>
        <v>0</v>
      </c>
      <c r="J56" s="10">
        <f t="shared" si="12"/>
        <v>720</v>
      </c>
      <c r="K56" s="25">
        <f t="shared" si="11"/>
        <v>17000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274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>
        <v>1.2</v>
      </c>
      <c r="C60" s="20" t="s">
        <v>33</v>
      </c>
      <c r="D60" s="21">
        <v>530.0</v>
      </c>
      <c r="E60" s="10"/>
      <c r="F60" s="36">
        <v>750.0</v>
      </c>
      <c r="G60" s="21"/>
      <c r="H60" s="10">
        <v>650.0</v>
      </c>
      <c r="I60" s="10"/>
      <c r="J60" s="24">
        <v>120.0</v>
      </c>
      <c r="K60" s="25">
        <f t="shared" ref="K60:K66" si="13">SUM(D60:J60)</f>
        <v>2050</v>
      </c>
    </row>
    <row r="61" ht="13.5" customHeight="1">
      <c r="A61" s="26" t="s">
        <v>34</v>
      </c>
      <c r="B61" s="27"/>
      <c r="C61" s="28"/>
      <c r="D61" s="21">
        <v>510.0</v>
      </c>
      <c r="E61" s="10"/>
      <c r="F61" s="36">
        <v>860.0</v>
      </c>
      <c r="G61" s="21"/>
      <c r="H61" s="10">
        <v>1230.0</v>
      </c>
      <c r="I61" s="10"/>
      <c r="J61" s="29">
        <v>160.0</v>
      </c>
      <c r="K61" s="25">
        <f t="shared" si="13"/>
        <v>2760</v>
      </c>
    </row>
    <row r="62" ht="13.5" customHeight="1">
      <c r="A62" s="18" t="s">
        <v>35</v>
      </c>
      <c r="B62" s="30">
        <v>2.0</v>
      </c>
      <c r="C62" s="31" t="s">
        <v>36</v>
      </c>
      <c r="D62" s="21"/>
      <c r="E62" s="10"/>
      <c r="F62" s="36"/>
      <c r="G62" s="21"/>
      <c r="H62" s="10"/>
      <c r="I62" s="10"/>
      <c r="J62" s="24"/>
      <c r="K62" s="25">
        <f t="shared" si="13"/>
        <v>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3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280.0</v>
      </c>
      <c r="E64" s="10"/>
      <c r="F64" s="43">
        <v>700.0</v>
      </c>
      <c r="G64" s="21"/>
      <c r="H64" s="10">
        <v>4960.0</v>
      </c>
      <c r="I64" s="10"/>
      <c r="J64" s="24">
        <v>270.0</v>
      </c>
      <c r="K64" s="25">
        <f t="shared" si="13"/>
        <v>6210</v>
      </c>
    </row>
    <row r="65" ht="13.5" customHeight="1">
      <c r="A65" s="35" t="s">
        <v>41</v>
      </c>
      <c r="B65" s="27"/>
      <c r="C65" s="27"/>
      <c r="D65" s="21">
        <v>260.0</v>
      </c>
      <c r="E65" s="36"/>
      <c r="F65" s="36">
        <v>640.0</v>
      </c>
      <c r="G65" s="21"/>
      <c r="H65" s="10">
        <v>5040.0</v>
      </c>
      <c r="I65" s="10"/>
      <c r="J65" s="39">
        <v>230.0</v>
      </c>
      <c r="K65" s="25">
        <f t="shared" si="13"/>
        <v>6170</v>
      </c>
    </row>
    <row r="66" ht="13.5" customHeight="1">
      <c r="A66" s="40" t="s">
        <v>7</v>
      </c>
      <c r="B66" s="40"/>
      <c r="C66" s="40">
        <v>547.0</v>
      </c>
      <c r="D66" s="10">
        <f t="shared" ref="D66:J66" si="14">SUM(D60:D65)</f>
        <v>1580</v>
      </c>
      <c r="E66" s="10">
        <f t="shared" si="14"/>
        <v>0</v>
      </c>
      <c r="F66" s="10">
        <f t="shared" si="14"/>
        <v>2950</v>
      </c>
      <c r="G66" s="10">
        <f t="shared" si="14"/>
        <v>0</v>
      </c>
      <c r="H66" s="10">
        <f t="shared" si="14"/>
        <v>11880</v>
      </c>
      <c r="I66" s="10">
        <f t="shared" si="14"/>
        <v>0</v>
      </c>
      <c r="J66" s="10">
        <f t="shared" si="14"/>
        <v>780</v>
      </c>
      <c r="K66" s="25">
        <f t="shared" si="13"/>
        <v>17190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275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>
        <v>1.13</v>
      </c>
      <c r="C70" s="20" t="s">
        <v>33</v>
      </c>
      <c r="D70" s="21">
        <v>500.0</v>
      </c>
      <c r="E70" s="10"/>
      <c r="F70" s="36">
        <v>810.0</v>
      </c>
      <c r="G70" s="21"/>
      <c r="H70" s="10">
        <v>570.0</v>
      </c>
      <c r="I70" s="10"/>
      <c r="J70" s="24">
        <v>120.0</v>
      </c>
      <c r="K70" s="25">
        <f t="shared" ref="K70:K76" si="15">SUM(D70:J70)</f>
        <v>2000</v>
      </c>
    </row>
    <row r="71" ht="13.5" customHeight="1">
      <c r="A71" s="26" t="s">
        <v>34</v>
      </c>
      <c r="B71" s="27"/>
      <c r="C71" s="28"/>
      <c r="D71" s="21">
        <v>290.0</v>
      </c>
      <c r="E71" s="10"/>
      <c r="F71" s="36">
        <v>640.0</v>
      </c>
      <c r="G71" s="21"/>
      <c r="H71" s="10">
        <v>5100.0</v>
      </c>
      <c r="I71" s="10"/>
      <c r="J71" s="29">
        <v>190.0</v>
      </c>
      <c r="K71" s="25">
        <f t="shared" si="15"/>
        <v>6220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5"/>
        <v>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5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290.0</v>
      </c>
      <c r="E74" s="10"/>
      <c r="F74" s="10">
        <v>480.0</v>
      </c>
      <c r="G74" s="21"/>
      <c r="H74" s="10">
        <v>4900.0</v>
      </c>
      <c r="I74" s="10"/>
      <c r="J74" s="24">
        <v>230.0</v>
      </c>
      <c r="K74" s="25">
        <f t="shared" si="15"/>
        <v>5900</v>
      </c>
    </row>
    <row r="75" ht="13.5" customHeight="1">
      <c r="A75" s="35" t="s">
        <v>41</v>
      </c>
      <c r="B75" s="27"/>
      <c r="C75" s="27"/>
      <c r="D75" s="21">
        <v>290.0</v>
      </c>
      <c r="E75" s="36"/>
      <c r="F75" s="36">
        <v>640.0</v>
      </c>
      <c r="G75" s="21"/>
      <c r="H75" s="10">
        <v>5100.0</v>
      </c>
      <c r="I75" s="10"/>
      <c r="J75" s="39">
        <v>190.0</v>
      </c>
      <c r="K75" s="25">
        <f t="shared" si="15"/>
        <v>6220</v>
      </c>
    </row>
    <row r="76" ht="13.5" customHeight="1">
      <c r="A76" s="40" t="s">
        <v>7</v>
      </c>
      <c r="B76" s="40"/>
      <c r="C76" s="40">
        <v>547.0</v>
      </c>
      <c r="D76" s="40">
        <f t="shared" ref="D76:J76" si="16">SUM(D70:D75)</f>
        <v>1370</v>
      </c>
      <c r="E76" s="40">
        <f t="shared" si="16"/>
        <v>0</v>
      </c>
      <c r="F76" s="40">
        <f t="shared" si="16"/>
        <v>2570</v>
      </c>
      <c r="G76" s="40">
        <f t="shared" si="16"/>
        <v>0</v>
      </c>
      <c r="H76" s="40">
        <f t="shared" si="16"/>
        <v>15670</v>
      </c>
      <c r="I76" s="40">
        <f t="shared" si="16"/>
        <v>0</v>
      </c>
      <c r="J76" s="40">
        <f t="shared" si="16"/>
        <v>730</v>
      </c>
      <c r="K76" s="25">
        <f t="shared" si="15"/>
        <v>20340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276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>
        <v>1.2</v>
      </c>
      <c r="C80" s="20" t="s">
        <v>33</v>
      </c>
      <c r="D80" s="21">
        <v>480.0</v>
      </c>
      <c r="E80" s="36"/>
      <c r="F80" s="36">
        <v>900.0</v>
      </c>
      <c r="G80" s="22"/>
      <c r="H80" s="21">
        <v>690.0</v>
      </c>
      <c r="I80" s="21"/>
      <c r="J80" s="29">
        <v>130.0</v>
      </c>
      <c r="K80" s="25">
        <f t="shared" ref="K80:K86" si="17">SUM(D80:J80)</f>
        <v>2200</v>
      </c>
    </row>
    <row r="81" ht="13.5" customHeight="1">
      <c r="A81" s="26" t="s">
        <v>34</v>
      </c>
      <c r="B81" s="27"/>
      <c r="C81" s="28"/>
      <c r="D81" s="21">
        <v>530.0</v>
      </c>
      <c r="E81" s="36"/>
      <c r="F81" s="36">
        <v>900.0</v>
      </c>
      <c r="G81" s="22"/>
      <c r="H81" s="21">
        <v>550.0</v>
      </c>
      <c r="I81" s="21"/>
      <c r="J81" s="29">
        <v>110.0</v>
      </c>
      <c r="K81" s="25">
        <f t="shared" si="17"/>
        <v>2090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7"/>
        <v>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7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310.0</v>
      </c>
      <c r="E84" s="41"/>
      <c r="F84" s="41">
        <v>560.0</v>
      </c>
      <c r="G84" s="32"/>
      <c r="H84" s="21">
        <v>5150.0</v>
      </c>
      <c r="I84" s="21"/>
      <c r="J84" s="24">
        <v>220.0</v>
      </c>
      <c r="K84" s="25">
        <f t="shared" si="17"/>
        <v>6240</v>
      </c>
    </row>
    <row r="85" ht="13.5" customHeight="1">
      <c r="A85" s="35" t="s">
        <v>41</v>
      </c>
      <c r="B85" s="27"/>
      <c r="C85" s="27"/>
      <c r="D85" s="21">
        <v>300.0</v>
      </c>
      <c r="E85" s="36"/>
      <c r="F85" s="37">
        <v>620.0</v>
      </c>
      <c r="G85" s="38"/>
      <c r="H85" s="21">
        <v>4990.0</v>
      </c>
      <c r="I85" s="29"/>
      <c r="J85" s="39">
        <v>190.0</v>
      </c>
      <c r="K85" s="25">
        <f t="shared" si="17"/>
        <v>6100</v>
      </c>
    </row>
    <row r="86" ht="13.5" customHeight="1">
      <c r="A86" s="40" t="s">
        <v>7</v>
      </c>
      <c r="B86" s="40"/>
      <c r="C86" s="40">
        <v>547.0</v>
      </c>
      <c r="D86" s="10">
        <f t="shared" ref="D86:J86" si="18">SUM(D80:D85)</f>
        <v>1620</v>
      </c>
      <c r="E86" s="10">
        <f t="shared" si="18"/>
        <v>0</v>
      </c>
      <c r="F86" s="10">
        <f t="shared" si="18"/>
        <v>2980</v>
      </c>
      <c r="G86" s="10">
        <f t="shared" si="18"/>
        <v>0</v>
      </c>
      <c r="H86" s="10">
        <f t="shared" si="18"/>
        <v>11380</v>
      </c>
      <c r="I86" s="10">
        <f t="shared" si="18"/>
        <v>0</v>
      </c>
      <c r="J86" s="10">
        <f t="shared" si="18"/>
        <v>650</v>
      </c>
      <c r="K86" s="25">
        <f t="shared" si="17"/>
        <v>16630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3" t="s">
        <v>277</v>
      </c>
    </row>
    <row r="89" ht="13.5" customHeight="1">
      <c r="A89" s="14" t="s">
        <v>25</v>
      </c>
      <c r="B89" s="14" t="s">
        <v>1</v>
      </c>
      <c r="C89" s="14" t="s">
        <v>27</v>
      </c>
      <c r="D89" s="15" t="s">
        <v>2</v>
      </c>
      <c r="E89" s="10" t="s">
        <v>28</v>
      </c>
      <c r="F89" s="16" t="s">
        <v>3</v>
      </c>
      <c r="G89" s="15" t="s">
        <v>4</v>
      </c>
      <c r="H89" s="15" t="s">
        <v>5</v>
      </c>
      <c r="I89" s="15" t="s">
        <v>29</v>
      </c>
      <c r="J89" s="14" t="s">
        <v>30</v>
      </c>
      <c r="K89" s="17" t="s">
        <v>7</v>
      </c>
    </row>
    <row r="90" ht="14.25" customHeight="1">
      <c r="A90" s="18" t="s">
        <v>31</v>
      </c>
      <c r="B90" s="19">
        <v>1.2</v>
      </c>
      <c r="C90" s="20" t="s">
        <v>33</v>
      </c>
      <c r="D90" s="21">
        <v>400.0</v>
      </c>
      <c r="E90" s="10"/>
      <c r="F90" s="36">
        <v>940.0</v>
      </c>
      <c r="G90" s="32"/>
      <c r="H90" s="21">
        <v>720.0</v>
      </c>
      <c r="I90" s="21"/>
      <c r="J90" s="24">
        <v>100.0</v>
      </c>
      <c r="K90" s="25">
        <f t="shared" ref="K90:K96" si="19">SUM(D90:J90)</f>
        <v>2160</v>
      </c>
    </row>
    <row r="91" ht="13.5" customHeight="1">
      <c r="A91" s="26" t="s">
        <v>34</v>
      </c>
      <c r="B91" s="27"/>
      <c r="C91" s="28"/>
      <c r="D91" s="21">
        <v>340.0</v>
      </c>
      <c r="E91" s="10"/>
      <c r="F91" s="36">
        <v>960.0</v>
      </c>
      <c r="G91" s="32"/>
      <c r="H91" s="21">
        <v>710.0</v>
      </c>
      <c r="I91" s="21"/>
      <c r="J91" s="29">
        <v>100.0</v>
      </c>
      <c r="K91" s="25">
        <f t="shared" si="19"/>
        <v>2110</v>
      </c>
    </row>
    <row r="92" ht="13.5" customHeight="1">
      <c r="A92" s="18" t="s">
        <v>35</v>
      </c>
      <c r="B92" s="30">
        <v>2.0</v>
      </c>
      <c r="C92" s="31" t="s">
        <v>36</v>
      </c>
      <c r="D92" s="21"/>
      <c r="E92" s="10"/>
      <c r="F92" s="36"/>
      <c r="G92" s="32"/>
      <c r="H92" s="21"/>
      <c r="I92" s="21"/>
      <c r="J92" s="24"/>
      <c r="K92" s="25">
        <f t="shared" si="19"/>
        <v>0</v>
      </c>
    </row>
    <row r="93" ht="13.5" customHeight="1">
      <c r="A93" s="26" t="s">
        <v>37</v>
      </c>
      <c r="B93" s="33"/>
      <c r="C93" s="34">
        <v>91.0</v>
      </c>
      <c r="D93" s="21"/>
      <c r="E93" s="10"/>
      <c r="F93" s="36"/>
      <c r="G93" s="32"/>
      <c r="H93" s="21"/>
      <c r="I93" s="21"/>
      <c r="J93" s="29"/>
      <c r="K93" s="25">
        <f t="shared" si="19"/>
        <v>0</v>
      </c>
    </row>
    <row r="94" ht="15.0" customHeight="1">
      <c r="A94" s="18" t="s">
        <v>38</v>
      </c>
      <c r="B94" s="19" t="s">
        <v>39</v>
      </c>
      <c r="C94" s="19" t="s">
        <v>40</v>
      </c>
      <c r="D94" s="21">
        <v>270.0</v>
      </c>
      <c r="E94" s="36"/>
      <c r="F94" s="41">
        <v>560.0</v>
      </c>
      <c r="G94" s="32"/>
      <c r="H94" s="21">
        <v>5130.0</v>
      </c>
      <c r="I94" s="21"/>
      <c r="J94" s="24">
        <v>190.0</v>
      </c>
      <c r="K94" s="25">
        <f t="shared" si="19"/>
        <v>6150</v>
      </c>
    </row>
    <row r="95" ht="13.5" customHeight="1">
      <c r="A95" s="35" t="s">
        <v>41</v>
      </c>
      <c r="B95" s="27"/>
      <c r="C95" s="27"/>
      <c r="D95" s="21">
        <v>340.0</v>
      </c>
      <c r="E95" s="36"/>
      <c r="F95" s="37">
        <v>960.0</v>
      </c>
      <c r="G95" s="38"/>
      <c r="H95" s="21">
        <v>710.0</v>
      </c>
      <c r="I95" s="21"/>
      <c r="J95" s="39">
        <v>100.0</v>
      </c>
      <c r="K95" s="25">
        <f t="shared" si="19"/>
        <v>2110</v>
      </c>
    </row>
    <row r="96" ht="13.5" customHeight="1">
      <c r="A96" s="40" t="s">
        <v>7</v>
      </c>
      <c r="B96" s="40"/>
      <c r="C96" s="40">
        <v>563.0</v>
      </c>
      <c r="D96" s="10">
        <f t="shared" ref="D96:J96" si="20">SUM(D90:D95)</f>
        <v>1350</v>
      </c>
      <c r="E96" s="10">
        <f t="shared" si="20"/>
        <v>0</v>
      </c>
      <c r="F96" s="10">
        <f t="shared" si="20"/>
        <v>3420</v>
      </c>
      <c r="G96" s="10">
        <f t="shared" si="20"/>
        <v>0</v>
      </c>
      <c r="H96" s="10">
        <f t="shared" si="20"/>
        <v>7270</v>
      </c>
      <c r="I96" s="10">
        <f t="shared" si="20"/>
        <v>0</v>
      </c>
      <c r="J96" s="10">
        <f t="shared" si="20"/>
        <v>490</v>
      </c>
      <c r="K96" s="25">
        <f t="shared" si="19"/>
        <v>12530</v>
      </c>
    </row>
    <row r="97" ht="13.5" customHeight="1">
      <c r="A97" s="13" t="s">
        <v>278</v>
      </c>
    </row>
    <row r="98" ht="13.5" customHeight="1">
      <c r="A98" s="14" t="s">
        <v>25</v>
      </c>
      <c r="B98" s="14" t="s">
        <v>1</v>
      </c>
      <c r="C98" s="14" t="s">
        <v>27</v>
      </c>
      <c r="D98" s="15" t="s">
        <v>2</v>
      </c>
      <c r="E98" s="10" t="s">
        <v>28</v>
      </c>
      <c r="F98" s="16" t="s">
        <v>3</v>
      </c>
      <c r="G98" s="15" t="s">
        <v>4</v>
      </c>
      <c r="H98" s="15" t="s">
        <v>5</v>
      </c>
      <c r="I98" s="15" t="s">
        <v>29</v>
      </c>
      <c r="J98" s="14" t="s">
        <v>30</v>
      </c>
      <c r="K98" s="10" t="s">
        <v>7</v>
      </c>
    </row>
    <row r="99" ht="14.25" customHeight="1">
      <c r="A99" s="18" t="s">
        <v>31</v>
      </c>
      <c r="B99" s="19">
        <v>1.2</v>
      </c>
      <c r="C99" s="20" t="s">
        <v>33</v>
      </c>
      <c r="D99" s="21"/>
      <c r="E99" s="10"/>
      <c r="F99" s="36"/>
      <c r="G99" s="32"/>
      <c r="H99" s="21">
        <v>2000.0</v>
      </c>
      <c r="I99" s="21"/>
      <c r="J99" s="21"/>
      <c r="K99" s="10">
        <f t="shared" ref="K99:K105" si="21">SUM(D99:J99)</f>
        <v>2000</v>
      </c>
    </row>
    <row r="100" ht="13.5" customHeight="1">
      <c r="A100" s="26" t="s">
        <v>34</v>
      </c>
      <c r="B100" s="27"/>
      <c r="C100" s="28"/>
      <c r="D100" s="21">
        <v>500.0</v>
      </c>
      <c r="E100" s="10"/>
      <c r="F100" s="36">
        <v>940.0</v>
      </c>
      <c r="G100" s="32"/>
      <c r="H100" s="21">
        <v>680.0</v>
      </c>
      <c r="I100" s="21"/>
      <c r="J100" s="21">
        <v>140.0</v>
      </c>
      <c r="K100" s="10">
        <f t="shared" si="21"/>
        <v>2260</v>
      </c>
    </row>
    <row r="101" ht="13.5" customHeight="1">
      <c r="A101" s="18" t="s">
        <v>35</v>
      </c>
      <c r="B101" s="30">
        <v>2.0</v>
      </c>
      <c r="C101" s="31" t="s">
        <v>36</v>
      </c>
      <c r="D101" s="21"/>
      <c r="E101" s="10"/>
      <c r="F101" s="36"/>
      <c r="G101" s="32"/>
      <c r="H101" s="21"/>
      <c r="I101" s="21"/>
      <c r="J101" s="21"/>
      <c r="K101" s="10">
        <f t="shared" si="21"/>
        <v>0</v>
      </c>
    </row>
    <row r="102" ht="13.5" customHeight="1">
      <c r="A102" s="26" t="s">
        <v>37</v>
      </c>
      <c r="B102" s="33"/>
      <c r="C102" s="34">
        <v>91.0</v>
      </c>
      <c r="D102" s="21"/>
      <c r="E102" s="10"/>
      <c r="F102" s="36"/>
      <c r="G102" s="32"/>
      <c r="H102" s="21"/>
      <c r="I102" s="21"/>
      <c r="J102" s="21"/>
      <c r="K102" s="10">
        <f t="shared" si="21"/>
        <v>0</v>
      </c>
    </row>
    <row r="103" ht="14.25" customHeight="1">
      <c r="A103" s="18" t="s">
        <v>38</v>
      </c>
      <c r="B103" s="19" t="s">
        <v>39</v>
      </c>
      <c r="C103" s="19" t="s">
        <v>40</v>
      </c>
      <c r="D103" s="21"/>
      <c r="E103" s="36"/>
      <c r="F103" s="41"/>
      <c r="G103" s="32"/>
      <c r="H103" s="21">
        <v>4000.0</v>
      </c>
      <c r="I103" s="21"/>
      <c r="J103" s="21"/>
      <c r="K103" s="10">
        <f t="shared" si="21"/>
        <v>4000</v>
      </c>
    </row>
    <row r="104" ht="13.5" customHeight="1">
      <c r="A104" s="35" t="s">
        <v>41</v>
      </c>
      <c r="B104" s="27"/>
      <c r="C104" s="27"/>
      <c r="D104" s="21">
        <v>280.0</v>
      </c>
      <c r="E104" s="36"/>
      <c r="F104" s="37">
        <v>940.0</v>
      </c>
      <c r="G104" s="38"/>
      <c r="H104" s="21">
        <v>680.0</v>
      </c>
      <c r="I104" s="21"/>
      <c r="J104" s="21">
        <v>140.0</v>
      </c>
      <c r="K104" s="10">
        <f t="shared" si="21"/>
        <v>2040</v>
      </c>
    </row>
    <row r="105" ht="13.5" customHeight="1">
      <c r="A105" s="40" t="s">
        <v>7</v>
      </c>
      <c r="B105" s="40"/>
      <c r="C105" s="40">
        <v>563.0</v>
      </c>
      <c r="D105" s="10">
        <f t="shared" ref="D105:J105" si="22">SUM(D99:D104)</f>
        <v>780</v>
      </c>
      <c r="E105" s="10">
        <f t="shared" si="22"/>
        <v>0</v>
      </c>
      <c r="F105" s="10">
        <f t="shared" si="22"/>
        <v>1880</v>
      </c>
      <c r="G105" s="10">
        <f t="shared" si="22"/>
        <v>0</v>
      </c>
      <c r="H105" s="10">
        <f t="shared" si="22"/>
        <v>7360</v>
      </c>
      <c r="I105" s="10">
        <f t="shared" si="22"/>
        <v>0</v>
      </c>
      <c r="J105" s="10">
        <f t="shared" si="22"/>
        <v>280</v>
      </c>
      <c r="K105" s="10">
        <f t="shared" si="21"/>
        <v>10300</v>
      </c>
    </row>
    <row r="106" ht="13.5" customHeight="1">
      <c r="A106" s="14"/>
      <c r="B106" s="14"/>
      <c r="C106" s="14"/>
      <c r="D106" s="14"/>
      <c r="E106" s="14"/>
      <c r="F106" s="14"/>
      <c r="G106" s="15"/>
      <c r="H106" s="15"/>
      <c r="I106" s="15"/>
      <c r="J106" s="10"/>
      <c r="K106" s="10"/>
    </row>
    <row r="107" ht="13.5" customHeight="1">
      <c r="A107" s="45" t="s">
        <v>279</v>
      </c>
    </row>
    <row r="108" ht="13.5" customHeight="1">
      <c r="A108" s="14" t="s">
        <v>25</v>
      </c>
      <c r="B108" s="14" t="s">
        <v>1</v>
      </c>
      <c r="C108" s="14" t="s">
        <v>27</v>
      </c>
      <c r="D108" s="15" t="s">
        <v>2</v>
      </c>
      <c r="E108" s="10" t="s">
        <v>28</v>
      </c>
      <c r="F108" s="16" t="s">
        <v>3</v>
      </c>
      <c r="G108" s="15" t="s">
        <v>4</v>
      </c>
      <c r="H108" s="15" t="s">
        <v>5</v>
      </c>
      <c r="I108" s="15" t="s">
        <v>29</v>
      </c>
      <c r="J108" s="14" t="s">
        <v>30</v>
      </c>
      <c r="K108" s="17" t="s">
        <v>7</v>
      </c>
    </row>
    <row r="109" ht="14.25" customHeight="1">
      <c r="A109" s="18" t="s">
        <v>31</v>
      </c>
      <c r="B109" s="19">
        <v>1.2</v>
      </c>
      <c r="C109" s="20" t="s">
        <v>33</v>
      </c>
      <c r="D109" s="21">
        <v>460.0</v>
      </c>
      <c r="E109" s="10"/>
      <c r="F109" s="10">
        <v>750.0</v>
      </c>
      <c r="G109" s="32"/>
      <c r="H109" s="21">
        <v>930.0</v>
      </c>
      <c r="I109" s="21"/>
      <c r="J109" s="21">
        <v>140.0</v>
      </c>
      <c r="K109" s="25">
        <f t="shared" ref="K109:K115" si="23">SUM(D109:J109)</f>
        <v>2280</v>
      </c>
    </row>
    <row r="110" ht="13.5" customHeight="1">
      <c r="A110" s="26" t="s">
        <v>34</v>
      </c>
      <c r="B110" s="27"/>
      <c r="C110" s="28"/>
      <c r="D110" s="21">
        <v>520.0</v>
      </c>
      <c r="E110" s="10"/>
      <c r="F110" s="10">
        <v>880.0</v>
      </c>
      <c r="G110" s="32"/>
      <c r="H110" s="21">
        <v>890.0</v>
      </c>
      <c r="I110" s="21"/>
      <c r="J110" s="21">
        <v>150.0</v>
      </c>
      <c r="K110" s="25">
        <f t="shared" si="23"/>
        <v>2440</v>
      </c>
    </row>
    <row r="111" ht="13.5" customHeight="1">
      <c r="A111" s="18" t="s">
        <v>35</v>
      </c>
      <c r="B111" s="30"/>
      <c r="C111" s="31" t="s">
        <v>36</v>
      </c>
      <c r="D111" s="21"/>
      <c r="E111" s="10"/>
      <c r="F111" s="10"/>
      <c r="G111" s="32"/>
      <c r="H111" s="21"/>
      <c r="I111" s="21"/>
      <c r="J111" s="21"/>
      <c r="K111" s="25">
        <f t="shared" si="23"/>
        <v>0</v>
      </c>
    </row>
    <row r="112" ht="13.5" customHeight="1">
      <c r="A112" s="26" t="s">
        <v>37</v>
      </c>
      <c r="B112" s="33"/>
      <c r="C112" s="34">
        <v>91.0</v>
      </c>
      <c r="D112" s="21"/>
      <c r="E112" s="10"/>
      <c r="F112" s="36"/>
      <c r="G112" s="32"/>
      <c r="H112" s="21"/>
      <c r="I112" s="21"/>
      <c r="J112" s="21"/>
      <c r="K112" s="25">
        <f t="shared" si="23"/>
        <v>0</v>
      </c>
    </row>
    <row r="113" ht="15.0" customHeight="1">
      <c r="A113" s="18" t="s">
        <v>38</v>
      </c>
      <c r="B113" s="19" t="s">
        <v>39</v>
      </c>
      <c r="C113" s="19" t="s">
        <v>40</v>
      </c>
      <c r="D113" s="21">
        <v>300.0</v>
      </c>
      <c r="E113" s="36"/>
      <c r="F113" s="41">
        <v>550.0</v>
      </c>
      <c r="G113" s="32"/>
      <c r="H113" s="21">
        <v>5070.0</v>
      </c>
      <c r="I113" s="21"/>
      <c r="J113" s="21">
        <v>240.0</v>
      </c>
      <c r="K113" s="25">
        <f t="shared" si="23"/>
        <v>6160</v>
      </c>
    </row>
    <row r="114" ht="13.5" customHeight="1">
      <c r="A114" s="35" t="s">
        <v>41</v>
      </c>
      <c r="B114" s="27"/>
      <c r="C114" s="27"/>
      <c r="D114" s="21">
        <v>520.0</v>
      </c>
      <c r="E114" s="36"/>
      <c r="F114" s="41">
        <v>880.0</v>
      </c>
      <c r="G114" s="32"/>
      <c r="H114" s="21">
        <v>890.0</v>
      </c>
      <c r="I114" s="21"/>
      <c r="J114" s="21">
        <v>150.0</v>
      </c>
      <c r="K114" s="25">
        <f t="shared" si="23"/>
        <v>2440</v>
      </c>
    </row>
    <row r="115" ht="13.5" customHeight="1">
      <c r="A115" s="40" t="s">
        <v>7</v>
      </c>
      <c r="B115" s="40"/>
      <c r="C115" s="40">
        <v>563.0</v>
      </c>
      <c r="D115" s="10">
        <f t="shared" ref="D115:J115" si="24">SUM(D109:D114)</f>
        <v>1800</v>
      </c>
      <c r="E115" s="10">
        <f t="shared" si="24"/>
        <v>0</v>
      </c>
      <c r="F115" s="10">
        <f t="shared" si="24"/>
        <v>3060</v>
      </c>
      <c r="G115" s="10">
        <f t="shared" si="24"/>
        <v>0</v>
      </c>
      <c r="H115" s="10">
        <f t="shared" si="24"/>
        <v>7780</v>
      </c>
      <c r="I115" s="10">
        <f t="shared" si="24"/>
        <v>0</v>
      </c>
      <c r="J115" s="10">
        <f t="shared" si="24"/>
        <v>680</v>
      </c>
      <c r="K115" s="25">
        <f t="shared" si="23"/>
        <v>13320</v>
      </c>
    </row>
    <row r="116" ht="13.5" customHeight="1">
      <c r="A116" s="13" t="s">
        <v>280</v>
      </c>
    </row>
    <row r="117" ht="13.5" customHeight="1">
      <c r="A117" s="14" t="s">
        <v>25</v>
      </c>
      <c r="B117" s="14" t="s">
        <v>1</v>
      </c>
      <c r="C117" s="14" t="s">
        <v>27</v>
      </c>
      <c r="D117" s="15" t="s">
        <v>2</v>
      </c>
      <c r="E117" s="10" t="s">
        <v>28</v>
      </c>
      <c r="F117" s="16" t="s">
        <v>3</v>
      </c>
      <c r="G117" s="15" t="s">
        <v>4</v>
      </c>
      <c r="H117" s="15" t="s">
        <v>5</v>
      </c>
      <c r="I117" s="15" t="s">
        <v>29</v>
      </c>
      <c r="J117" s="14" t="s">
        <v>30</v>
      </c>
      <c r="K117" s="17" t="s">
        <v>7</v>
      </c>
    </row>
    <row r="118" ht="14.25" customHeight="1">
      <c r="A118" s="18" t="s">
        <v>31</v>
      </c>
      <c r="B118" s="19">
        <v>1.2</v>
      </c>
      <c r="C118" s="20" t="s">
        <v>33</v>
      </c>
      <c r="D118" s="21">
        <v>510.0</v>
      </c>
      <c r="E118" s="10"/>
      <c r="F118" s="36">
        <v>750.0</v>
      </c>
      <c r="G118" s="32"/>
      <c r="H118" s="21">
        <v>670.0</v>
      </c>
      <c r="I118" s="21"/>
      <c r="J118" s="21">
        <v>170.0</v>
      </c>
      <c r="K118" s="25">
        <f t="shared" ref="K118:K124" si="25">SUM(D118:J118)</f>
        <v>2100</v>
      </c>
    </row>
    <row r="119" ht="13.5" customHeight="1">
      <c r="A119" s="26" t="s">
        <v>34</v>
      </c>
      <c r="B119" s="27"/>
      <c r="C119" s="28">
        <v>130.0</v>
      </c>
      <c r="D119" s="21">
        <v>510.0</v>
      </c>
      <c r="E119" s="10"/>
      <c r="F119" s="36">
        <v>980.0</v>
      </c>
      <c r="G119" s="32"/>
      <c r="H119" s="21">
        <v>850.0</v>
      </c>
      <c r="I119" s="21"/>
      <c r="J119" s="21">
        <v>110.0</v>
      </c>
      <c r="K119" s="25">
        <f t="shared" si="25"/>
        <v>2450</v>
      </c>
    </row>
    <row r="120" ht="13.5" customHeight="1">
      <c r="A120" s="18" t="s">
        <v>35</v>
      </c>
      <c r="B120" s="30">
        <v>2.0</v>
      </c>
      <c r="C120" s="31" t="s">
        <v>36</v>
      </c>
      <c r="D120" s="21"/>
      <c r="E120" s="10"/>
      <c r="F120" s="36"/>
      <c r="G120" s="32"/>
      <c r="H120" s="21"/>
      <c r="I120" s="21"/>
      <c r="J120" s="21"/>
      <c r="K120" s="25">
        <f t="shared" si="25"/>
        <v>0</v>
      </c>
    </row>
    <row r="121" ht="13.5" customHeight="1">
      <c r="A121" s="26" t="s">
        <v>37</v>
      </c>
      <c r="B121" s="33"/>
      <c r="C121" s="34">
        <v>91.0</v>
      </c>
      <c r="D121" s="21"/>
      <c r="E121" s="10"/>
      <c r="F121" s="36"/>
      <c r="G121" s="32"/>
      <c r="H121" s="21"/>
      <c r="I121" s="21"/>
      <c r="J121" s="21"/>
      <c r="K121" s="25">
        <f t="shared" si="25"/>
        <v>0</v>
      </c>
    </row>
    <row r="122" ht="15.0" customHeight="1">
      <c r="A122" s="18" t="s">
        <v>38</v>
      </c>
      <c r="B122" s="19" t="s">
        <v>39</v>
      </c>
      <c r="C122" s="19" t="s">
        <v>40</v>
      </c>
      <c r="D122" s="21">
        <v>310.0</v>
      </c>
      <c r="E122" s="36"/>
      <c r="F122" s="41">
        <v>580.0</v>
      </c>
      <c r="G122" s="44"/>
      <c r="H122" s="44">
        <v>5090.0</v>
      </c>
      <c r="I122" s="23"/>
      <c r="J122" s="23">
        <v>200.0</v>
      </c>
      <c r="K122" s="25">
        <f t="shared" si="25"/>
        <v>6180</v>
      </c>
    </row>
    <row r="123" ht="13.5" customHeight="1">
      <c r="A123" s="35" t="s">
        <v>41</v>
      </c>
      <c r="B123" s="27"/>
      <c r="C123" s="27"/>
      <c r="D123" s="21">
        <v>300.0</v>
      </c>
      <c r="E123" s="36"/>
      <c r="F123" s="37">
        <v>560.0</v>
      </c>
      <c r="G123" s="38"/>
      <c r="H123" s="21">
        <v>5260.0</v>
      </c>
      <c r="I123" s="29"/>
      <c r="J123" s="39">
        <v>200.0</v>
      </c>
      <c r="K123" s="25">
        <f t="shared" si="25"/>
        <v>6320</v>
      </c>
    </row>
    <row r="124" ht="13.5" customHeight="1">
      <c r="A124" s="40" t="s">
        <v>7</v>
      </c>
      <c r="B124" s="40"/>
      <c r="C124" s="40">
        <v>563.0</v>
      </c>
      <c r="D124" s="10">
        <f t="shared" ref="D124:J124" si="26">SUM(D118:D123)</f>
        <v>1630</v>
      </c>
      <c r="E124" s="10">
        <f t="shared" si="26"/>
        <v>0</v>
      </c>
      <c r="F124" s="10">
        <f t="shared" si="26"/>
        <v>2870</v>
      </c>
      <c r="G124" s="10">
        <f t="shared" si="26"/>
        <v>0</v>
      </c>
      <c r="H124" s="10">
        <f t="shared" si="26"/>
        <v>11870</v>
      </c>
      <c r="I124" s="10">
        <f t="shared" si="26"/>
        <v>0</v>
      </c>
      <c r="J124" s="10">
        <f t="shared" si="26"/>
        <v>680</v>
      </c>
      <c r="K124" s="25">
        <f t="shared" si="25"/>
        <v>17050</v>
      </c>
    </row>
    <row r="125" ht="13.5" customHeight="1">
      <c r="A125" s="13" t="s">
        <v>281</v>
      </c>
    </row>
    <row r="126" ht="13.5" customHeight="1">
      <c r="A126" s="14" t="s">
        <v>25</v>
      </c>
      <c r="B126" s="14" t="s">
        <v>1</v>
      </c>
      <c r="C126" s="14" t="s">
        <v>27</v>
      </c>
      <c r="D126" s="15" t="s">
        <v>2</v>
      </c>
      <c r="E126" s="10" t="s">
        <v>28</v>
      </c>
      <c r="F126" s="16" t="s">
        <v>3</v>
      </c>
      <c r="G126" s="15" t="s">
        <v>4</v>
      </c>
      <c r="H126" s="15" t="s">
        <v>5</v>
      </c>
      <c r="I126" s="15" t="s">
        <v>29</v>
      </c>
      <c r="J126" s="14" t="s">
        <v>30</v>
      </c>
      <c r="K126" s="17" t="s">
        <v>7</v>
      </c>
    </row>
    <row r="127" ht="13.5" customHeight="1">
      <c r="A127" s="18" t="s">
        <v>31</v>
      </c>
      <c r="B127" s="19">
        <v>1.2</v>
      </c>
      <c r="C127" s="20" t="s">
        <v>33</v>
      </c>
      <c r="D127" s="21">
        <v>510.0</v>
      </c>
      <c r="E127" s="36"/>
      <c r="F127" s="36">
        <v>900.0</v>
      </c>
      <c r="G127" s="32"/>
      <c r="H127" s="21">
        <v>610.0</v>
      </c>
      <c r="I127" s="21"/>
      <c r="J127" s="21">
        <v>150.0</v>
      </c>
      <c r="K127" s="25">
        <f t="shared" ref="K127:K133" si="27">SUM(D127:J127)</f>
        <v>2170</v>
      </c>
    </row>
    <row r="128" ht="13.5" customHeight="1">
      <c r="A128" s="26" t="s">
        <v>34</v>
      </c>
      <c r="B128" s="27"/>
      <c r="C128" s="28">
        <v>130.0</v>
      </c>
      <c r="D128" s="21">
        <v>500.0</v>
      </c>
      <c r="E128" s="36"/>
      <c r="F128" s="36">
        <v>750.0</v>
      </c>
      <c r="G128" s="32"/>
      <c r="H128" s="21">
        <v>930.0</v>
      </c>
      <c r="I128" s="21"/>
      <c r="J128" s="21">
        <v>110.0</v>
      </c>
      <c r="K128" s="25">
        <f t="shared" si="27"/>
        <v>2290</v>
      </c>
    </row>
    <row r="129" ht="13.5" customHeight="1">
      <c r="A129" s="18" t="s">
        <v>35</v>
      </c>
      <c r="B129" s="30">
        <v>2.0</v>
      </c>
      <c r="C129" s="31" t="s">
        <v>36</v>
      </c>
      <c r="D129" s="21"/>
      <c r="E129" s="36"/>
      <c r="F129" s="36"/>
      <c r="G129" s="32"/>
      <c r="H129" s="21"/>
      <c r="I129" s="21"/>
      <c r="J129" s="21"/>
      <c r="K129" s="25">
        <f t="shared" si="27"/>
        <v>0</v>
      </c>
    </row>
    <row r="130" ht="13.5" customHeight="1">
      <c r="A130" s="26" t="s">
        <v>37</v>
      </c>
      <c r="B130" s="33"/>
      <c r="C130" s="34">
        <v>91.0</v>
      </c>
      <c r="D130" s="21"/>
      <c r="E130" s="36"/>
      <c r="F130" s="36"/>
      <c r="G130" s="32"/>
      <c r="H130" s="21"/>
      <c r="I130" s="21"/>
      <c r="J130" s="21"/>
      <c r="K130" s="25">
        <f t="shared" si="27"/>
        <v>0</v>
      </c>
    </row>
    <row r="131" ht="15.0" customHeight="1">
      <c r="A131" s="18" t="s">
        <v>38</v>
      </c>
      <c r="B131" s="19" t="s">
        <v>39</v>
      </c>
      <c r="C131" s="19" t="s">
        <v>40</v>
      </c>
      <c r="D131" s="21">
        <v>300.0</v>
      </c>
      <c r="E131" s="36"/>
      <c r="F131" s="36">
        <v>760.0</v>
      </c>
      <c r="G131" s="21"/>
      <c r="H131" s="21">
        <v>4940.0</v>
      </c>
      <c r="I131" s="21"/>
      <c r="J131" s="21">
        <v>200.0</v>
      </c>
      <c r="K131" s="25">
        <f t="shared" si="27"/>
        <v>6200</v>
      </c>
    </row>
    <row r="132" ht="13.5" customHeight="1">
      <c r="A132" s="35" t="s">
        <v>41</v>
      </c>
      <c r="B132" s="27"/>
      <c r="C132" s="27"/>
      <c r="D132" s="21">
        <v>500.0</v>
      </c>
      <c r="E132" s="36"/>
      <c r="F132" s="36">
        <v>750.0</v>
      </c>
      <c r="G132" s="21"/>
      <c r="H132" s="21">
        <v>930.0</v>
      </c>
      <c r="I132" s="21"/>
      <c r="J132" s="21">
        <v>110.0</v>
      </c>
      <c r="K132" s="25">
        <f t="shared" si="27"/>
        <v>2290</v>
      </c>
    </row>
    <row r="133" ht="13.5" customHeight="1">
      <c r="A133" s="40" t="s">
        <v>7</v>
      </c>
      <c r="B133" s="40"/>
      <c r="C133" s="40">
        <v>563.0</v>
      </c>
      <c r="D133" s="10">
        <f t="shared" ref="D133:J133" si="28">SUM(D127:D132)</f>
        <v>1810</v>
      </c>
      <c r="E133" s="10">
        <f t="shared" si="28"/>
        <v>0</v>
      </c>
      <c r="F133" s="10">
        <f t="shared" si="28"/>
        <v>3160</v>
      </c>
      <c r="G133" s="10">
        <f t="shared" si="28"/>
        <v>0</v>
      </c>
      <c r="H133" s="10">
        <f t="shared" si="28"/>
        <v>7410</v>
      </c>
      <c r="I133" s="10">
        <f t="shared" si="28"/>
        <v>0</v>
      </c>
      <c r="J133" s="10">
        <f t="shared" si="28"/>
        <v>570</v>
      </c>
      <c r="K133" s="25">
        <f t="shared" si="27"/>
        <v>12950</v>
      </c>
    </row>
    <row r="134" ht="13.5" customHeight="1">
      <c r="A134" s="46" t="s">
        <v>282</v>
      </c>
    </row>
    <row r="135" ht="13.5" customHeight="1">
      <c r="A135" s="14" t="s">
        <v>25</v>
      </c>
      <c r="B135" s="14" t="s">
        <v>1</v>
      </c>
      <c r="C135" s="14" t="s">
        <v>27</v>
      </c>
      <c r="D135" s="15" t="s">
        <v>2</v>
      </c>
      <c r="E135" s="10" t="s">
        <v>28</v>
      </c>
      <c r="F135" s="16" t="s">
        <v>3</v>
      </c>
      <c r="G135" s="15" t="s">
        <v>4</v>
      </c>
      <c r="H135" s="15" t="s">
        <v>5</v>
      </c>
      <c r="I135" s="15" t="s">
        <v>29</v>
      </c>
      <c r="J135" s="14" t="s">
        <v>30</v>
      </c>
      <c r="K135" s="17" t="s">
        <v>7</v>
      </c>
    </row>
    <row r="136" ht="13.5" customHeight="1">
      <c r="A136" s="18" t="s">
        <v>31</v>
      </c>
      <c r="B136" s="19">
        <v>1.2</v>
      </c>
      <c r="C136" s="20" t="s">
        <v>33</v>
      </c>
      <c r="D136" s="21">
        <v>500.0</v>
      </c>
      <c r="E136" s="36"/>
      <c r="F136" s="36">
        <v>970.0</v>
      </c>
      <c r="G136" s="32"/>
      <c r="H136" s="21">
        <v>700.0</v>
      </c>
      <c r="I136" s="21"/>
      <c r="J136" s="21">
        <v>160.0</v>
      </c>
      <c r="K136" s="25">
        <f t="shared" ref="K136:K142" si="29">SUM(D136:J136)</f>
        <v>2330</v>
      </c>
    </row>
    <row r="137" ht="13.5" customHeight="1">
      <c r="A137" s="26" t="s">
        <v>34</v>
      </c>
      <c r="B137" s="27"/>
      <c r="C137" s="28">
        <v>130.0</v>
      </c>
      <c r="D137" s="21">
        <v>280.0</v>
      </c>
      <c r="E137" s="36"/>
      <c r="F137" s="36">
        <v>700.0</v>
      </c>
      <c r="G137" s="32"/>
      <c r="H137" s="21">
        <v>5630.0</v>
      </c>
      <c r="I137" s="21"/>
      <c r="J137" s="21">
        <v>220.0</v>
      </c>
      <c r="K137" s="25">
        <f t="shared" si="29"/>
        <v>6830</v>
      </c>
    </row>
    <row r="138" ht="13.5" customHeight="1">
      <c r="A138" s="18" t="s">
        <v>35</v>
      </c>
      <c r="B138" s="30">
        <v>2.0</v>
      </c>
      <c r="C138" s="31" t="s">
        <v>36</v>
      </c>
      <c r="D138" s="21"/>
      <c r="E138" s="36"/>
      <c r="F138" s="36"/>
      <c r="G138" s="32"/>
      <c r="H138" s="21"/>
      <c r="I138" s="21"/>
      <c r="J138" s="21"/>
      <c r="K138" s="25">
        <f t="shared" si="29"/>
        <v>0</v>
      </c>
    </row>
    <row r="139" ht="13.5" customHeight="1">
      <c r="A139" s="26" t="s">
        <v>37</v>
      </c>
      <c r="B139" s="33"/>
      <c r="C139" s="34">
        <v>91.0</v>
      </c>
      <c r="D139" s="21"/>
      <c r="E139" s="36"/>
      <c r="F139" s="36"/>
      <c r="G139" s="32"/>
      <c r="H139" s="21"/>
      <c r="I139" s="21"/>
      <c r="J139" s="21"/>
      <c r="K139" s="25">
        <f t="shared" si="29"/>
        <v>0</v>
      </c>
    </row>
    <row r="140" ht="15.0" customHeight="1">
      <c r="A140" s="18" t="s">
        <v>38</v>
      </c>
      <c r="B140" s="19" t="s">
        <v>39</v>
      </c>
      <c r="C140" s="19" t="s">
        <v>40</v>
      </c>
      <c r="D140" s="44">
        <v>290.0</v>
      </c>
      <c r="E140" s="41"/>
      <c r="F140" s="41">
        <v>560.0</v>
      </c>
      <c r="G140" s="44"/>
      <c r="H140" s="44">
        <v>5760.0</v>
      </c>
      <c r="I140" s="23"/>
      <c r="J140" s="24">
        <v>190.0</v>
      </c>
      <c r="K140" s="25">
        <f t="shared" si="29"/>
        <v>6800</v>
      </c>
      <c r="L140" s="47"/>
      <c r="M140" s="12"/>
    </row>
    <row r="141" ht="13.5" customHeight="1">
      <c r="A141" s="35" t="s">
        <v>41</v>
      </c>
      <c r="B141" s="27"/>
      <c r="C141" s="27"/>
      <c r="D141" s="21">
        <v>280.0</v>
      </c>
      <c r="E141" s="36"/>
      <c r="F141" s="36">
        <v>700.0</v>
      </c>
      <c r="G141" s="21"/>
      <c r="H141" s="21">
        <v>5630.0</v>
      </c>
      <c r="I141" s="29"/>
      <c r="J141" s="39">
        <v>220.0</v>
      </c>
      <c r="K141" s="25">
        <f t="shared" si="29"/>
        <v>6830</v>
      </c>
    </row>
    <row r="142" ht="13.5" customHeight="1">
      <c r="A142" s="40" t="s">
        <v>7</v>
      </c>
      <c r="B142" s="40"/>
      <c r="C142" s="40">
        <v>563.0</v>
      </c>
      <c r="D142" s="10">
        <f t="shared" ref="D142:J142" si="30">SUM(D136:D141)</f>
        <v>1350</v>
      </c>
      <c r="E142" s="10">
        <f t="shared" si="30"/>
        <v>0</v>
      </c>
      <c r="F142" s="10">
        <f t="shared" si="30"/>
        <v>2930</v>
      </c>
      <c r="G142" s="10">
        <f t="shared" si="30"/>
        <v>0</v>
      </c>
      <c r="H142" s="10">
        <f t="shared" si="30"/>
        <v>17720</v>
      </c>
      <c r="I142" s="10">
        <f t="shared" si="30"/>
        <v>0</v>
      </c>
      <c r="J142" s="10">
        <f t="shared" si="30"/>
        <v>790</v>
      </c>
      <c r="K142" s="25">
        <f t="shared" si="29"/>
        <v>22790</v>
      </c>
    </row>
    <row r="143" ht="13.5" customHeight="1">
      <c r="A143" s="48" t="s">
        <v>283</v>
      </c>
    </row>
    <row r="144" ht="13.5" customHeight="1">
      <c r="A144" s="14" t="s">
        <v>25</v>
      </c>
      <c r="B144" s="14" t="s">
        <v>1</v>
      </c>
      <c r="C144" s="14" t="s">
        <v>27</v>
      </c>
      <c r="D144" s="15" t="s">
        <v>2</v>
      </c>
      <c r="E144" s="10" t="s">
        <v>28</v>
      </c>
      <c r="F144" s="16" t="s">
        <v>3</v>
      </c>
      <c r="G144" s="15" t="s">
        <v>4</v>
      </c>
      <c r="H144" s="15" t="s">
        <v>5</v>
      </c>
      <c r="I144" s="15" t="s">
        <v>29</v>
      </c>
      <c r="J144" s="14" t="s">
        <v>30</v>
      </c>
      <c r="K144" s="17" t="s">
        <v>7</v>
      </c>
    </row>
    <row r="145" ht="15.0" customHeight="1">
      <c r="A145" s="18" t="s">
        <v>31</v>
      </c>
      <c r="B145" s="19">
        <v>1.2</v>
      </c>
      <c r="C145" s="20" t="s">
        <v>33</v>
      </c>
      <c r="D145" s="21">
        <v>500.0</v>
      </c>
      <c r="E145" s="36"/>
      <c r="F145" s="36">
        <v>840.0</v>
      </c>
      <c r="G145" s="32"/>
      <c r="H145" s="21">
        <v>750.0</v>
      </c>
      <c r="I145" s="23"/>
      <c r="J145" s="24">
        <v>160.0</v>
      </c>
      <c r="K145" s="25">
        <f t="shared" ref="K145:K151" si="31">SUM(D145:J145)</f>
        <v>2250</v>
      </c>
    </row>
    <row r="146" ht="13.5" customHeight="1">
      <c r="A146" s="26" t="s">
        <v>34</v>
      </c>
      <c r="B146" s="27"/>
      <c r="C146" s="28">
        <v>130.0</v>
      </c>
      <c r="D146" s="21">
        <v>500.0</v>
      </c>
      <c r="E146" s="36"/>
      <c r="F146" s="36">
        <v>940.0</v>
      </c>
      <c r="G146" s="32"/>
      <c r="H146" s="21">
        <v>690.0</v>
      </c>
      <c r="I146" s="21"/>
      <c r="J146" s="29">
        <v>130.0</v>
      </c>
      <c r="K146" s="25">
        <f t="shared" si="31"/>
        <v>2260</v>
      </c>
    </row>
    <row r="147" ht="13.5" customHeight="1">
      <c r="A147" s="18" t="s">
        <v>35</v>
      </c>
      <c r="B147" s="30">
        <v>2.0</v>
      </c>
      <c r="C147" s="31" t="s">
        <v>36</v>
      </c>
      <c r="D147" s="21"/>
      <c r="E147" s="36"/>
      <c r="F147" s="41"/>
      <c r="G147" s="32"/>
      <c r="H147" s="21"/>
      <c r="I147" s="21"/>
      <c r="J147" s="24"/>
      <c r="K147" s="25">
        <f t="shared" si="31"/>
        <v>0</v>
      </c>
    </row>
    <row r="148" ht="13.5" customHeight="1">
      <c r="A148" s="26" t="s">
        <v>37</v>
      </c>
      <c r="B148" s="33"/>
      <c r="C148" s="34">
        <v>91.0</v>
      </c>
      <c r="D148" s="21"/>
      <c r="E148" s="21"/>
      <c r="F148" s="21"/>
      <c r="G148" s="21"/>
      <c r="H148" s="21"/>
      <c r="I148" s="21"/>
      <c r="J148" s="21"/>
      <c r="K148" s="25">
        <f t="shared" si="31"/>
        <v>0</v>
      </c>
    </row>
    <row r="149" ht="14.25" customHeight="1">
      <c r="A149" s="18" t="s">
        <v>38</v>
      </c>
      <c r="B149" s="19" t="s">
        <v>39</v>
      </c>
      <c r="C149" s="19" t="s">
        <v>40</v>
      </c>
      <c r="D149" s="21">
        <v>330.0</v>
      </c>
      <c r="E149" s="36"/>
      <c r="F149" s="41">
        <v>600.0</v>
      </c>
      <c r="G149" s="32"/>
      <c r="H149" s="21">
        <v>5670.0</v>
      </c>
      <c r="I149" s="21"/>
      <c r="J149" s="24">
        <v>250.0</v>
      </c>
      <c r="K149" s="25">
        <f t="shared" si="31"/>
        <v>6850</v>
      </c>
      <c r="L149" s="47"/>
      <c r="M149" s="12"/>
    </row>
    <row r="150" ht="13.5" customHeight="1">
      <c r="A150" s="35" t="s">
        <v>41</v>
      </c>
      <c r="B150" s="27"/>
      <c r="C150" s="27"/>
      <c r="D150" s="21">
        <v>300.0</v>
      </c>
      <c r="E150" s="21"/>
      <c r="F150" s="21">
        <v>720.0</v>
      </c>
      <c r="G150" s="21"/>
      <c r="H150" s="21">
        <v>5630.0</v>
      </c>
      <c r="I150" s="21"/>
      <c r="J150" s="21">
        <v>220.0</v>
      </c>
      <c r="K150" s="25">
        <f t="shared" si="31"/>
        <v>6870</v>
      </c>
    </row>
    <row r="151" ht="13.5" customHeight="1">
      <c r="A151" s="40" t="s">
        <v>7</v>
      </c>
      <c r="B151" s="40"/>
      <c r="C151" s="40">
        <v>563.0</v>
      </c>
      <c r="D151" s="10">
        <f t="shared" ref="D151:J151" si="32">SUM(D145:D150)</f>
        <v>1630</v>
      </c>
      <c r="E151" s="10">
        <f t="shared" si="32"/>
        <v>0</v>
      </c>
      <c r="F151" s="10">
        <f t="shared" si="32"/>
        <v>3100</v>
      </c>
      <c r="G151" s="10">
        <f t="shared" si="32"/>
        <v>0</v>
      </c>
      <c r="H151" s="10">
        <f t="shared" si="32"/>
        <v>12740</v>
      </c>
      <c r="I151" s="10">
        <f t="shared" si="32"/>
        <v>0</v>
      </c>
      <c r="J151" s="10">
        <f t="shared" si="32"/>
        <v>760</v>
      </c>
      <c r="K151" s="25">
        <f t="shared" si="31"/>
        <v>18230</v>
      </c>
    </row>
    <row r="152" ht="13.5" customHeight="1">
      <c r="A152" s="48" t="s">
        <v>284</v>
      </c>
    </row>
    <row r="153" ht="13.5" customHeight="1">
      <c r="A153" s="14" t="s">
        <v>25</v>
      </c>
      <c r="B153" s="14" t="s">
        <v>1</v>
      </c>
      <c r="C153" s="14" t="s">
        <v>27</v>
      </c>
      <c r="D153" s="15" t="s">
        <v>2</v>
      </c>
      <c r="E153" s="10" t="s">
        <v>28</v>
      </c>
      <c r="F153" s="16" t="s">
        <v>3</v>
      </c>
      <c r="G153" s="15" t="s">
        <v>4</v>
      </c>
      <c r="H153" s="15" t="s">
        <v>5</v>
      </c>
      <c r="I153" s="15" t="s">
        <v>29</v>
      </c>
      <c r="J153" s="14" t="s">
        <v>30</v>
      </c>
      <c r="K153" s="17" t="s">
        <v>7</v>
      </c>
      <c r="L153" s="49" t="s">
        <v>285</v>
      </c>
      <c r="M153" s="70"/>
    </row>
    <row r="154" ht="13.5" customHeight="1">
      <c r="A154" s="18" t="s">
        <v>31</v>
      </c>
      <c r="B154" s="19">
        <v>1.2</v>
      </c>
      <c r="C154" s="20" t="s">
        <v>33</v>
      </c>
      <c r="D154" s="21">
        <v>500.0</v>
      </c>
      <c r="E154" s="36"/>
      <c r="F154" s="36">
        <v>850.0</v>
      </c>
      <c r="G154" s="32"/>
      <c r="H154" s="21">
        <v>1140.0</v>
      </c>
      <c r="I154" s="21"/>
      <c r="J154" s="21">
        <v>160.0</v>
      </c>
      <c r="K154" s="25">
        <f t="shared" ref="K154:K160" si="33">SUM(D154:J154)</f>
        <v>2650</v>
      </c>
    </row>
    <row r="155" ht="13.5" customHeight="1">
      <c r="A155" s="26" t="s">
        <v>34</v>
      </c>
      <c r="B155" s="27"/>
      <c r="C155" s="28"/>
      <c r="D155" s="21">
        <v>500.0</v>
      </c>
      <c r="E155" s="36"/>
      <c r="F155" s="36">
        <v>1000.0</v>
      </c>
      <c r="G155" s="32"/>
      <c r="H155" s="21">
        <v>940.0</v>
      </c>
      <c r="I155" s="21"/>
      <c r="J155" s="21">
        <v>130.0</v>
      </c>
      <c r="K155" s="25">
        <f t="shared" si="33"/>
        <v>2570</v>
      </c>
    </row>
    <row r="156" ht="13.5" customHeight="1">
      <c r="A156" s="18" t="s">
        <v>35</v>
      </c>
      <c r="B156" s="30">
        <v>2.0</v>
      </c>
      <c r="C156" s="31" t="s">
        <v>36</v>
      </c>
      <c r="D156" s="21"/>
      <c r="E156" s="36"/>
      <c r="F156" s="36"/>
      <c r="G156" s="32"/>
      <c r="H156" s="21"/>
      <c r="I156" s="21"/>
      <c r="J156" s="21"/>
      <c r="K156" s="25">
        <f t="shared" si="33"/>
        <v>0</v>
      </c>
    </row>
    <row r="157" ht="13.5" customHeight="1">
      <c r="A157" s="26" t="s">
        <v>37</v>
      </c>
      <c r="B157" s="33"/>
      <c r="C157" s="34"/>
      <c r="D157" s="21"/>
      <c r="E157" s="36"/>
      <c r="F157" s="36"/>
      <c r="G157" s="32"/>
      <c r="H157" s="21"/>
      <c r="I157" s="21"/>
      <c r="J157" s="21"/>
      <c r="K157" s="25">
        <f t="shared" si="33"/>
        <v>0</v>
      </c>
    </row>
    <row r="158" ht="14.25" customHeight="1">
      <c r="A158" s="18" t="s">
        <v>38</v>
      </c>
      <c r="B158" s="19" t="s">
        <v>39</v>
      </c>
      <c r="C158" s="19" t="s">
        <v>40</v>
      </c>
      <c r="D158" s="21">
        <v>290.0</v>
      </c>
      <c r="E158" s="36"/>
      <c r="F158" s="36">
        <v>600.0</v>
      </c>
      <c r="G158" s="21"/>
      <c r="H158" s="21">
        <v>5720.0</v>
      </c>
      <c r="I158" s="21"/>
      <c r="J158" s="21">
        <v>260.0</v>
      </c>
      <c r="K158" s="25">
        <f t="shared" si="33"/>
        <v>6870</v>
      </c>
      <c r="L158" s="47"/>
      <c r="M158" s="12"/>
    </row>
    <row r="159" ht="13.5" customHeight="1">
      <c r="A159" s="35" t="s">
        <v>41</v>
      </c>
      <c r="B159" s="27"/>
      <c r="C159" s="27"/>
      <c r="D159" s="21">
        <v>160.0</v>
      </c>
      <c r="E159" s="21"/>
      <c r="F159" s="21">
        <v>420.0</v>
      </c>
      <c r="G159" s="21"/>
      <c r="H159" s="21">
        <v>2400.0</v>
      </c>
      <c r="I159" s="21"/>
      <c r="J159" s="21">
        <v>120.0</v>
      </c>
      <c r="K159" s="25">
        <f t="shared" si="33"/>
        <v>3100</v>
      </c>
    </row>
    <row r="160" ht="13.5" customHeight="1">
      <c r="A160" s="40" t="s">
        <v>7</v>
      </c>
      <c r="B160" s="40"/>
      <c r="C160" s="40"/>
      <c r="D160" s="10">
        <f t="shared" ref="D160:J160" si="34">SUM(D154:D159)</f>
        <v>1450</v>
      </c>
      <c r="E160" s="10">
        <f t="shared" si="34"/>
        <v>0</v>
      </c>
      <c r="F160" s="10">
        <f t="shared" si="34"/>
        <v>2870</v>
      </c>
      <c r="G160" s="10">
        <f t="shared" si="34"/>
        <v>0</v>
      </c>
      <c r="H160" s="10">
        <f t="shared" si="34"/>
        <v>10200</v>
      </c>
      <c r="I160" s="10">
        <f t="shared" si="34"/>
        <v>0</v>
      </c>
      <c r="J160" s="10">
        <f t="shared" si="34"/>
        <v>670</v>
      </c>
      <c r="K160" s="25">
        <f t="shared" si="33"/>
        <v>15190</v>
      </c>
    </row>
    <row r="161" ht="13.5" customHeight="1">
      <c r="A161" s="48" t="s">
        <v>286</v>
      </c>
    </row>
    <row r="162" ht="13.5" customHeight="1">
      <c r="A162" s="14" t="s">
        <v>25</v>
      </c>
      <c r="B162" s="14" t="s">
        <v>1</v>
      </c>
      <c r="C162" s="14" t="s">
        <v>27</v>
      </c>
      <c r="D162" s="15" t="s">
        <v>2</v>
      </c>
      <c r="E162" s="10" t="s">
        <v>28</v>
      </c>
      <c r="F162" s="16" t="s">
        <v>3</v>
      </c>
      <c r="G162" s="15" t="s">
        <v>4</v>
      </c>
      <c r="H162" s="15" t="s">
        <v>5</v>
      </c>
      <c r="I162" s="15" t="s">
        <v>29</v>
      </c>
      <c r="J162" s="14" t="s">
        <v>30</v>
      </c>
      <c r="K162" s="17" t="s">
        <v>7</v>
      </c>
    </row>
    <row r="163" ht="13.5" customHeight="1">
      <c r="A163" s="18" t="s">
        <v>31</v>
      </c>
      <c r="B163" s="19">
        <v>1.2</v>
      </c>
      <c r="C163" s="20" t="s">
        <v>33</v>
      </c>
      <c r="D163" s="21">
        <v>500.0</v>
      </c>
      <c r="E163" s="36"/>
      <c r="F163" s="36">
        <v>910.0</v>
      </c>
      <c r="G163" s="32"/>
      <c r="H163" s="21">
        <v>850.0</v>
      </c>
      <c r="I163" s="21"/>
      <c r="J163" s="24">
        <v>100.0</v>
      </c>
      <c r="K163" s="25">
        <f t="shared" ref="K163:K169" si="35">SUM(D163:J163)</f>
        <v>2360</v>
      </c>
    </row>
    <row r="164" ht="13.5" customHeight="1">
      <c r="A164" s="26" t="s">
        <v>34</v>
      </c>
      <c r="B164" s="27"/>
      <c r="C164" s="28"/>
      <c r="D164" s="21">
        <v>510.0</v>
      </c>
      <c r="E164" s="36"/>
      <c r="F164" s="36">
        <v>900.0</v>
      </c>
      <c r="G164" s="32"/>
      <c r="H164" s="21">
        <v>1060.0</v>
      </c>
      <c r="I164" s="21"/>
      <c r="J164" s="29">
        <v>100.0</v>
      </c>
      <c r="K164" s="25">
        <f t="shared" si="35"/>
        <v>2570</v>
      </c>
    </row>
    <row r="165" ht="13.5" customHeight="1">
      <c r="A165" s="18" t="s">
        <v>35</v>
      </c>
      <c r="B165" s="30">
        <v>2.0</v>
      </c>
      <c r="C165" s="31" t="s">
        <v>36</v>
      </c>
      <c r="D165" s="21"/>
      <c r="E165" s="36"/>
      <c r="F165" s="36"/>
      <c r="G165" s="32"/>
      <c r="H165" s="21"/>
      <c r="I165" s="21"/>
      <c r="J165" s="24"/>
      <c r="K165" s="25">
        <f t="shared" si="35"/>
        <v>0</v>
      </c>
    </row>
    <row r="166" ht="13.5" customHeight="1">
      <c r="A166" s="26" t="s">
        <v>37</v>
      </c>
      <c r="B166" s="33"/>
      <c r="C166" s="34"/>
      <c r="D166" s="21"/>
      <c r="E166" s="36"/>
      <c r="F166" s="36"/>
      <c r="G166" s="21"/>
      <c r="H166" s="21"/>
      <c r="I166" s="21"/>
      <c r="J166" s="29"/>
      <c r="K166" s="25">
        <f t="shared" si="35"/>
        <v>0</v>
      </c>
    </row>
    <row r="167" ht="14.25" customHeight="1">
      <c r="A167" s="18" t="s">
        <v>38</v>
      </c>
      <c r="B167" s="19" t="s">
        <v>39</v>
      </c>
      <c r="C167" s="19" t="s">
        <v>40</v>
      </c>
      <c r="D167" s="21">
        <v>290.0</v>
      </c>
      <c r="E167" s="36"/>
      <c r="F167" s="36">
        <v>750.0</v>
      </c>
      <c r="G167" s="21"/>
      <c r="H167" s="21">
        <v>5590.0</v>
      </c>
      <c r="I167" s="21"/>
      <c r="J167" s="21">
        <v>200.0</v>
      </c>
      <c r="K167" s="25">
        <f t="shared" si="35"/>
        <v>6830</v>
      </c>
      <c r="L167" s="47"/>
      <c r="M167" s="12"/>
    </row>
    <row r="168" ht="13.5" customHeight="1">
      <c r="A168" s="35" t="s">
        <v>41</v>
      </c>
      <c r="B168" s="27"/>
      <c r="C168" s="27"/>
      <c r="D168" s="21">
        <v>280.0</v>
      </c>
      <c r="E168" s="21"/>
      <c r="F168" s="21">
        <v>670.0</v>
      </c>
      <c r="G168" s="21"/>
      <c r="H168" s="21">
        <v>5830.0</v>
      </c>
      <c r="I168" s="21"/>
      <c r="J168" s="21">
        <v>180.0</v>
      </c>
      <c r="K168" s="25">
        <f t="shared" si="35"/>
        <v>6960</v>
      </c>
    </row>
    <row r="169" ht="13.5" customHeight="1">
      <c r="A169" s="40" t="s">
        <v>7</v>
      </c>
      <c r="B169" s="40"/>
      <c r="C169" s="40"/>
      <c r="D169" s="10">
        <f t="shared" ref="D169:J169" si="36">SUM(D163:D168)</f>
        <v>1580</v>
      </c>
      <c r="E169" s="10">
        <f t="shared" si="36"/>
        <v>0</v>
      </c>
      <c r="F169" s="10">
        <f t="shared" si="36"/>
        <v>3230</v>
      </c>
      <c r="G169" s="10">
        <f t="shared" si="36"/>
        <v>0</v>
      </c>
      <c r="H169" s="10">
        <f t="shared" si="36"/>
        <v>13330</v>
      </c>
      <c r="I169" s="10">
        <f t="shared" si="36"/>
        <v>0</v>
      </c>
      <c r="J169" s="10">
        <f t="shared" si="36"/>
        <v>580</v>
      </c>
      <c r="K169" s="25">
        <f t="shared" si="35"/>
        <v>18720</v>
      </c>
    </row>
    <row r="170" ht="13.5" customHeight="1">
      <c r="A170" s="48" t="s">
        <v>287</v>
      </c>
    </row>
    <row r="171" ht="13.5" customHeight="1">
      <c r="A171" s="14"/>
      <c r="B171" s="14" t="s">
        <v>1</v>
      </c>
      <c r="C171" s="14" t="s">
        <v>27</v>
      </c>
      <c r="D171" s="15" t="s">
        <v>2</v>
      </c>
      <c r="E171" s="10" t="s">
        <v>28</v>
      </c>
      <c r="F171" s="16" t="s">
        <v>3</v>
      </c>
      <c r="G171" s="15" t="s">
        <v>4</v>
      </c>
      <c r="H171" s="15" t="s">
        <v>5</v>
      </c>
      <c r="I171" s="15" t="s">
        <v>77</v>
      </c>
      <c r="J171" s="14" t="s">
        <v>30</v>
      </c>
      <c r="K171" s="17" t="s">
        <v>7</v>
      </c>
    </row>
    <row r="172" ht="13.5" customHeight="1">
      <c r="A172" s="18" t="s">
        <v>31</v>
      </c>
      <c r="B172" s="19">
        <v>1.2</v>
      </c>
      <c r="C172" s="20" t="s">
        <v>33</v>
      </c>
      <c r="D172" s="21">
        <v>490.0</v>
      </c>
      <c r="E172" s="36"/>
      <c r="F172" s="36">
        <v>1000.0</v>
      </c>
      <c r="G172" s="32"/>
      <c r="H172" s="21">
        <v>950.0</v>
      </c>
      <c r="I172" s="21"/>
      <c r="J172" s="24">
        <v>160.0</v>
      </c>
      <c r="K172" s="25">
        <f t="shared" ref="K172:K178" si="37">SUM(D172:J172)</f>
        <v>2600</v>
      </c>
    </row>
    <row r="173" ht="13.5" customHeight="1">
      <c r="A173" s="26" t="s">
        <v>34</v>
      </c>
      <c r="B173" s="27"/>
      <c r="C173" s="28"/>
      <c r="D173" s="21">
        <v>500.0</v>
      </c>
      <c r="E173" s="36"/>
      <c r="F173" s="36">
        <v>1000.0</v>
      </c>
      <c r="G173" s="32"/>
      <c r="H173" s="21">
        <v>910.0</v>
      </c>
      <c r="I173" s="21"/>
      <c r="J173" s="24">
        <v>190.0</v>
      </c>
      <c r="K173" s="25">
        <f t="shared" si="37"/>
        <v>2600</v>
      </c>
    </row>
    <row r="174" ht="13.5" customHeight="1">
      <c r="A174" s="18" t="s">
        <v>35</v>
      </c>
      <c r="B174" s="30">
        <v>2.0</v>
      </c>
      <c r="C174" s="31" t="s">
        <v>36</v>
      </c>
      <c r="D174" s="21"/>
      <c r="E174" s="36"/>
      <c r="F174" s="41"/>
      <c r="G174" s="32"/>
      <c r="H174" s="21"/>
      <c r="I174" s="21"/>
      <c r="J174" s="24"/>
      <c r="K174" s="25">
        <f t="shared" si="37"/>
        <v>0</v>
      </c>
    </row>
    <row r="175" ht="13.5" customHeight="1">
      <c r="A175" s="26" t="s">
        <v>37</v>
      </c>
      <c r="B175" s="33"/>
      <c r="C175" s="34"/>
      <c r="D175" s="21"/>
      <c r="E175" s="36"/>
      <c r="F175" s="41"/>
      <c r="G175" s="32"/>
      <c r="H175" s="21"/>
      <c r="I175" s="21"/>
      <c r="J175" s="29"/>
      <c r="K175" s="25">
        <f t="shared" si="37"/>
        <v>0</v>
      </c>
    </row>
    <row r="176" ht="14.25" customHeight="1">
      <c r="A176" s="18" t="s">
        <v>38</v>
      </c>
      <c r="B176" s="19" t="s">
        <v>39</v>
      </c>
      <c r="C176" s="19" t="s">
        <v>40</v>
      </c>
      <c r="D176" s="21">
        <v>300.0</v>
      </c>
      <c r="E176" s="36"/>
      <c r="F176" s="36">
        <v>500.0</v>
      </c>
      <c r="G176" s="21"/>
      <c r="H176" s="21">
        <v>5940.0</v>
      </c>
      <c r="I176" s="21"/>
      <c r="J176" s="21">
        <v>200.0</v>
      </c>
      <c r="K176" s="25">
        <f t="shared" si="37"/>
        <v>6940</v>
      </c>
      <c r="L176" s="47"/>
      <c r="M176" s="12"/>
    </row>
    <row r="177" ht="13.5" customHeight="1">
      <c r="A177" s="35" t="s">
        <v>41</v>
      </c>
      <c r="B177" s="27"/>
      <c r="C177" s="27"/>
      <c r="D177" s="21">
        <v>300.0</v>
      </c>
      <c r="E177" s="36"/>
      <c r="F177" s="36">
        <v>550.0</v>
      </c>
      <c r="G177" s="21"/>
      <c r="H177" s="21">
        <v>5990.0</v>
      </c>
      <c r="I177" s="21"/>
      <c r="J177" s="21">
        <v>220.0</v>
      </c>
      <c r="K177" s="25">
        <f t="shared" si="37"/>
        <v>7060</v>
      </c>
    </row>
    <row r="178" ht="13.5" customHeight="1">
      <c r="A178" s="40" t="s">
        <v>7</v>
      </c>
      <c r="B178" s="40"/>
      <c r="C178" s="40"/>
      <c r="D178" s="10">
        <f t="shared" ref="D178:J178" si="38">SUM(D172:D177)</f>
        <v>1590</v>
      </c>
      <c r="E178" s="10">
        <f t="shared" si="38"/>
        <v>0</v>
      </c>
      <c r="F178" s="10">
        <f t="shared" si="38"/>
        <v>3050</v>
      </c>
      <c r="G178" s="10">
        <f t="shared" si="38"/>
        <v>0</v>
      </c>
      <c r="H178" s="10">
        <f t="shared" si="38"/>
        <v>13790</v>
      </c>
      <c r="I178" s="10">
        <f t="shared" si="38"/>
        <v>0</v>
      </c>
      <c r="J178" s="10">
        <f t="shared" si="38"/>
        <v>770</v>
      </c>
      <c r="K178" s="25">
        <f t="shared" si="37"/>
        <v>19200</v>
      </c>
    </row>
    <row r="179" ht="13.5" customHeight="1">
      <c r="A179" s="48" t="s">
        <v>288</v>
      </c>
    </row>
    <row r="180" ht="13.5" customHeight="1">
      <c r="A180" s="14" t="s">
        <v>25</v>
      </c>
      <c r="B180" s="14" t="s">
        <v>1</v>
      </c>
      <c r="C180" s="14" t="s">
        <v>27</v>
      </c>
      <c r="D180" s="15" t="s">
        <v>2</v>
      </c>
      <c r="E180" s="10" t="s">
        <v>28</v>
      </c>
      <c r="F180" s="16" t="s">
        <v>3</v>
      </c>
      <c r="G180" s="15" t="s">
        <v>4</v>
      </c>
      <c r="H180" s="15" t="s">
        <v>5</v>
      </c>
      <c r="I180" s="15" t="s">
        <v>77</v>
      </c>
      <c r="J180" s="14" t="s">
        <v>30</v>
      </c>
      <c r="K180" s="17" t="s">
        <v>7</v>
      </c>
    </row>
    <row r="181" ht="13.5" customHeight="1">
      <c r="A181" s="18" t="s">
        <v>31</v>
      </c>
      <c r="B181" s="43">
        <v>1.2</v>
      </c>
      <c r="C181" s="20" t="s">
        <v>33</v>
      </c>
      <c r="D181" s="21">
        <v>310.0</v>
      </c>
      <c r="E181" s="36"/>
      <c r="F181" s="41">
        <v>530.0</v>
      </c>
      <c r="G181" s="32"/>
      <c r="H181" s="21">
        <v>770.0</v>
      </c>
      <c r="I181" s="21"/>
      <c r="J181" s="24">
        <v>60.0</v>
      </c>
      <c r="K181" s="25">
        <f t="shared" ref="K181:K187" si="39">SUM(D181:J181)</f>
        <v>1670</v>
      </c>
    </row>
    <row r="182" ht="13.5" customHeight="1">
      <c r="A182" s="26" t="s">
        <v>34</v>
      </c>
      <c r="C182" s="28"/>
      <c r="D182" s="21">
        <v>330.0</v>
      </c>
      <c r="E182" s="36"/>
      <c r="F182" s="41">
        <v>560.0</v>
      </c>
      <c r="G182" s="32"/>
      <c r="H182" s="21">
        <v>5390.0</v>
      </c>
      <c r="I182" s="21"/>
      <c r="J182" s="29">
        <v>230.0</v>
      </c>
      <c r="K182" s="25">
        <f t="shared" si="39"/>
        <v>6510</v>
      </c>
    </row>
    <row r="183" ht="13.5" customHeight="1">
      <c r="A183" s="18" t="s">
        <v>35</v>
      </c>
      <c r="B183" s="30">
        <v>2.0</v>
      </c>
      <c r="C183" s="31" t="s">
        <v>36</v>
      </c>
      <c r="D183" s="21"/>
      <c r="E183" s="36"/>
      <c r="F183" s="41"/>
      <c r="G183" s="32"/>
      <c r="H183" s="21"/>
      <c r="I183" s="21"/>
      <c r="J183" s="24"/>
      <c r="K183" s="25">
        <f t="shared" si="39"/>
        <v>0</v>
      </c>
    </row>
    <row r="184" ht="13.5" customHeight="1">
      <c r="A184" s="26" t="s">
        <v>37</v>
      </c>
      <c r="B184" s="33"/>
      <c r="C184" s="34"/>
      <c r="D184" s="21"/>
      <c r="E184" s="36"/>
      <c r="F184" s="41"/>
      <c r="G184" s="32"/>
      <c r="H184" s="21"/>
      <c r="I184" s="21"/>
      <c r="J184" s="29"/>
      <c r="K184" s="25">
        <f t="shared" si="39"/>
        <v>0</v>
      </c>
    </row>
    <row r="185" ht="14.25" customHeight="1">
      <c r="A185" s="18" t="s">
        <v>38</v>
      </c>
      <c r="B185" s="19" t="s">
        <v>39</v>
      </c>
      <c r="C185" s="19" t="s">
        <v>40</v>
      </c>
      <c r="D185" s="21">
        <v>280.0</v>
      </c>
      <c r="E185" s="36"/>
      <c r="F185" s="36">
        <v>600.0</v>
      </c>
      <c r="G185" s="21"/>
      <c r="H185" s="21">
        <v>5530.0</v>
      </c>
      <c r="I185" s="21"/>
      <c r="J185" s="21">
        <v>250.0</v>
      </c>
      <c r="K185" s="25">
        <f t="shared" si="39"/>
        <v>6660</v>
      </c>
      <c r="L185" s="47"/>
      <c r="M185" s="12"/>
    </row>
    <row r="186" ht="13.5" customHeight="1">
      <c r="A186" s="35" t="s">
        <v>41</v>
      </c>
      <c r="B186" s="27"/>
      <c r="C186" s="27"/>
      <c r="D186" s="21">
        <v>330.0</v>
      </c>
      <c r="E186" s="21"/>
      <c r="F186" s="21">
        <v>560.0</v>
      </c>
      <c r="G186" s="21"/>
      <c r="H186" s="21">
        <v>5390.0</v>
      </c>
      <c r="I186" s="21"/>
      <c r="J186" s="21">
        <v>230.0</v>
      </c>
      <c r="K186" s="25">
        <f t="shared" si="39"/>
        <v>6510</v>
      </c>
    </row>
    <row r="187" ht="13.5" customHeight="1">
      <c r="A187" s="40" t="s">
        <v>7</v>
      </c>
      <c r="B187" s="40"/>
      <c r="C187" s="40"/>
      <c r="D187" s="10">
        <f t="shared" ref="D187:J187" si="40">SUM(D181:D186)</f>
        <v>1250</v>
      </c>
      <c r="E187" s="10">
        <f t="shared" si="40"/>
        <v>0</v>
      </c>
      <c r="F187" s="10">
        <f t="shared" si="40"/>
        <v>2250</v>
      </c>
      <c r="G187" s="10">
        <f t="shared" si="40"/>
        <v>0</v>
      </c>
      <c r="H187" s="10">
        <f t="shared" si="40"/>
        <v>17080</v>
      </c>
      <c r="I187" s="10">
        <f t="shared" si="40"/>
        <v>0</v>
      </c>
      <c r="J187" s="10">
        <f t="shared" si="40"/>
        <v>770</v>
      </c>
      <c r="K187" s="25">
        <f t="shared" si="39"/>
        <v>21350</v>
      </c>
    </row>
    <row r="188" ht="13.5" customHeight="1">
      <c r="A188" s="48" t="s">
        <v>289</v>
      </c>
    </row>
    <row r="189" ht="13.5" customHeight="1">
      <c r="A189" s="14" t="s">
        <v>25</v>
      </c>
      <c r="B189" s="14" t="s">
        <v>1</v>
      </c>
      <c r="C189" s="14" t="s">
        <v>27</v>
      </c>
      <c r="D189" s="15" t="s">
        <v>2</v>
      </c>
      <c r="E189" s="10" t="s">
        <v>28</v>
      </c>
      <c r="F189" s="16" t="s">
        <v>3</v>
      </c>
      <c r="G189" s="15" t="s">
        <v>4</v>
      </c>
      <c r="H189" s="15" t="s">
        <v>5</v>
      </c>
      <c r="I189" s="15" t="s">
        <v>82</v>
      </c>
      <c r="J189" s="14" t="s">
        <v>30</v>
      </c>
      <c r="K189" s="17" t="s">
        <v>7</v>
      </c>
    </row>
    <row r="190" ht="13.5" customHeight="1">
      <c r="A190" s="18" t="s">
        <v>31</v>
      </c>
      <c r="B190" s="19">
        <v>1.2</v>
      </c>
      <c r="C190" s="20" t="s">
        <v>33</v>
      </c>
      <c r="D190" s="21"/>
      <c r="E190" s="36"/>
      <c r="F190" s="36">
        <v>1000.0</v>
      </c>
      <c r="G190" s="32"/>
      <c r="H190" s="21">
        <v>920.0</v>
      </c>
      <c r="I190" s="21"/>
      <c r="J190" s="50">
        <v>140.0</v>
      </c>
      <c r="K190" s="25">
        <f t="shared" ref="K190:K196" si="41">SUM(D190:J190)</f>
        <v>2060</v>
      </c>
    </row>
    <row r="191" ht="13.5" customHeight="1">
      <c r="A191" s="26" t="s">
        <v>34</v>
      </c>
      <c r="B191" s="27"/>
      <c r="C191" s="28"/>
      <c r="D191" s="21">
        <v>500.0</v>
      </c>
      <c r="E191" s="36"/>
      <c r="F191" s="36">
        <v>970.0</v>
      </c>
      <c r="G191" s="32"/>
      <c r="H191" s="21">
        <v>870.0</v>
      </c>
      <c r="I191" s="21"/>
      <c r="J191" s="51">
        <v>120.0</v>
      </c>
      <c r="K191" s="25">
        <f t="shared" si="41"/>
        <v>2460</v>
      </c>
    </row>
    <row r="192" ht="13.5" customHeight="1">
      <c r="A192" s="18" t="s">
        <v>35</v>
      </c>
      <c r="B192" s="30">
        <v>2.0</v>
      </c>
      <c r="C192" s="31" t="s">
        <v>36</v>
      </c>
      <c r="D192" s="21"/>
      <c r="E192" s="36"/>
      <c r="F192" s="36"/>
      <c r="G192" s="32"/>
      <c r="H192" s="21"/>
      <c r="I192" s="21"/>
      <c r="J192" s="50"/>
      <c r="K192" s="25">
        <f t="shared" si="41"/>
        <v>0</v>
      </c>
    </row>
    <row r="193" ht="13.5" customHeight="1">
      <c r="A193" s="26" t="s">
        <v>37</v>
      </c>
      <c r="B193" s="33"/>
      <c r="C193" s="34"/>
      <c r="D193" s="10"/>
      <c r="E193" s="10"/>
      <c r="F193" s="10"/>
      <c r="G193" s="32"/>
      <c r="H193" s="10"/>
      <c r="I193" s="10"/>
      <c r="J193" s="52"/>
      <c r="K193" s="25">
        <f t="shared" si="41"/>
        <v>0</v>
      </c>
    </row>
    <row r="194" ht="14.25" customHeight="1">
      <c r="A194" s="18" t="s">
        <v>38</v>
      </c>
      <c r="B194" s="19" t="s">
        <v>39</v>
      </c>
      <c r="C194" s="19" t="s">
        <v>40</v>
      </c>
      <c r="D194" s="21">
        <v>300.0</v>
      </c>
      <c r="E194" s="36"/>
      <c r="F194" s="36">
        <v>560.0</v>
      </c>
      <c r="G194" s="21"/>
      <c r="H194" s="21">
        <v>5610.0</v>
      </c>
      <c r="I194" s="21"/>
      <c r="J194" s="21">
        <v>160.0</v>
      </c>
      <c r="K194" s="25">
        <f t="shared" si="41"/>
        <v>6630</v>
      </c>
      <c r="L194" s="47"/>
      <c r="M194" s="12"/>
    </row>
    <row r="195" ht="13.5" customHeight="1">
      <c r="A195" s="35" t="s">
        <v>41</v>
      </c>
      <c r="B195" s="27"/>
      <c r="C195" s="27"/>
      <c r="D195" s="21">
        <v>300.0</v>
      </c>
      <c r="E195" s="21"/>
      <c r="F195" s="21">
        <v>600.0</v>
      </c>
      <c r="G195" s="21"/>
      <c r="H195" s="21">
        <v>5340.0</v>
      </c>
      <c r="I195" s="21"/>
      <c r="J195" s="21">
        <v>200.0</v>
      </c>
      <c r="K195" s="25">
        <f t="shared" si="41"/>
        <v>6440</v>
      </c>
    </row>
    <row r="196" ht="13.5" customHeight="1">
      <c r="A196" s="40" t="s">
        <v>7</v>
      </c>
      <c r="B196" s="40"/>
      <c r="C196" s="40"/>
      <c r="D196" s="10">
        <f t="shared" ref="D196:J196" si="42">SUM(D190:D195)</f>
        <v>1100</v>
      </c>
      <c r="E196" s="10">
        <f t="shared" si="42"/>
        <v>0</v>
      </c>
      <c r="F196" s="10">
        <f t="shared" si="42"/>
        <v>3130</v>
      </c>
      <c r="G196" s="10">
        <f t="shared" si="42"/>
        <v>0</v>
      </c>
      <c r="H196" s="10">
        <f t="shared" si="42"/>
        <v>12740</v>
      </c>
      <c r="I196" s="10">
        <f t="shared" si="42"/>
        <v>0</v>
      </c>
      <c r="J196" s="10">
        <f t="shared" si="42"/>
        <v>620</v>
      </c>
      <c r="K196" s="25">
        <f t="shared" si="41"/>
        <v>17590</v>
      </c>
    </row>
    <row r="197" ht="13.5" customHeight="1"/>
    <row r="198" ht="13.5" customHeight="1">
      <c r="A198" s="48" t="s">
        <v>290</v>
      </c>
    </row>
    <row r="199" ht="13.5" customHeight="1">
      <c r="A199" s="14" t="s">
        <v>25</v>
      </c>
      <c r="B199" s="14" t="s">
        <v>1</v>
      </c>
      <c r="C199" s="14" t="s">
        <v>27</v>
      </c>
      <c r="D199" s="15" t="s">
        <v>2</v>
      </c>
      <c r="E199" s="10" t="s">
        <v>28</v>
      </c>
      <c r="F199" s="16" t="s">
        <v>3</v>
      </c>
      <c r="G199" s="15" t="s">
        <v>4</v>
      </c>
      <c r="H199" s="15" t="s">
        <v>5</v>
      </c>
      <c r="I199" s="15" t="s">
        <v>29</v>
      </c>
      <c r="J199" s="14" t="s">
        <v>30</v>
      </c>
      <c r="K199" s="17" t="s">
        <v>7</v>
      </c>
    </row>
    <row r="200" ht="13.5" customHeight="1">
      <c r="A200" s="18" t="s">
        <v>31</v>
      </c>
      <c r="B200" s="19">
        <v>1.2</v>
      </c>
      <c r="C200" s="20" t="s">
        <v>33</v>
      </c>
      <c r="D200" s="21">
        <v>500.0</v>
      </c>
      <c r="E200" s="36"/>
      <c r="F200" s="41">
        <v>1000.0</v>
      </c>
      <c r="G200" s="32"/>
      <c r="H200" s="21">
        <v>960.0</v>
      </c>
      <c r="I200" s="21"/>
      <c r="J200" s="24"/>
      <c r="K200" s="25">
        <f t="shared" ref="K200:K206" si="43">SUM(D200:J200)</f>
        <v>2460</v>
      </c>
    </row>
    <row r="201" ht="13.5" customHeight="1">
      <c r="A201" s="26" t="s">
        <v>34</v>
      </c>
      <c r="B201" s="27"/>
      <c r="C201" s="28"/>
      <c r="D201" s="21">
        <v>470.0</v>
      </c>
      <c r="E201" s="36"/>
      <c r="F201" s="41">
        <v>800.0</v>
      </c>
      <c r="G201" s="32"/>
      <c r="H201" s="21">
        <v>1060.0</v>
      </c>
      <c r="I201" s="21"/>
      <c r="J201" s="29">
        <v>200.0</v>
      </c>
      <c r="K201" s="25">
        <f t="shared" si="43"/>
        <v>2530</v>
      </c>
    </row>
    <row r="202" ht="13.5" customHeight="1">
      <c r="A202" s="18" t="s">
        <v>35</v>
      </c>
      <c r="B202" s="30">
        <v>2.0</v>
      </c>
      <c r="C202" s="31" t="s">
        <v>36</v>
      </c>
      <c r="D202" s="21"/>
      <c r="E202" s="41"/>
      <c r="F202" s="10"/>
      <c r="G202" s="32"/>
      <c r="H202" s="21"/>
      <c r="I202" s="24"/>
      <c r="J202" s="24"/>
      <c r="K202" s="25">
        <f t="shared" si="43"/>
        <v>0</v>
      </c>
    </row>
    <row r="203" ht="13.5" customHeight="1">
      <c r="A203" s="26" t="s">
        <v>37</v>
      </c>
      <c r="B203" s="33"/>
      <c r="C203" s="34"/>
      <c r="D203" s="21"/>
      <c r="E203" s="36"/>
      <c r="F203" s="36"/>
      <c r="G203" s="32"/>
      <c r="H203" s="21"/>
      <c r="I203" s="29"/>
      <c r="J203" s="29"/>
      <c r="K203" s="25">
        <f t="shared" si="43"/>
        <v>0</v>
      </c>
    </row>
    <row r="204" ht="14.25" customHeight="1">
      <c r="A204" s="18" t="s">
        <v>38</v>
      </c>
      <c r="B204" s="19" t="s">
        <v>39</v>
      </c>
      <c r="C204" s="19" t="s">
        <v>40</v>
      </c>
      <c r="D204" s="21">
        <v>290.0</v>
      </c>
      <c r="E204" s="36"/>
      <c r="F204" s="36">
        <v>600.0</v>
      </c>
      <c r="G204" s="21"/>
      <c r="H204" s="21">
        <v>5680.0</v>
      </c>
      <c r="I204" s="21"/>
      <c r="J204" s="24"/>
      <c r="K204" s="25">
        <f t="shared" si="43"/>
        <v>6570</v>
      </c>
      <c r="L204" s="47" t="s">
        <v>291</v>
      </c>
      <c r="M204" s="12"/>
    </row>
    <row r="205" ht="13.5" customHeight="1">
      <c r="A205" s="35" t="s">
        <v>41</v>
      </c>
      <c r="B205" s="27"/>
      <c r="C205" s="27"/>
      <c r="D205" s="21">
        <v>280.0</v>
      </c>
      <c r="E205" s="36"/>
      <c r="F205" s="36">
        <v>650.0</v>
      </c>
      <c r="G205" s="21"/>
      <c r="H205" s="21">
        <v>5350.0</v>
      </c>
      <c r="I205" s="21"/>
      <c r="J205" s="39">
        <v>270.0</v>
      </c>
      <c r="K205" s="25">
        <f t="shared" si="43"/>
        <v>6550</v>
      </c>
    </row>
    <row r="206" ht="13.5" customHeight="1">
      <c r="A206" s="40" t="s">
        <v>7</v>
      </c>
      <c r="B206" s="40"/>
      <c r="C206" s="40"/>
      <c r="D206" s="10">
        <f t="shared" ref="D206:J206" si="44">SUM(D200:D205)</f>
        <v>1540</v>
      </c>
      <c r="E206" s="10">
        <f t="shared" si="44"/>
        <v>0</v>
      </c>
      <c r="F206" s="10">
        <f t="shared" si="44"/>
        <v>3050</v>
      </c>
      <c r="G206" s="10">
        <f t="shared" si="44"/>
        <v>0</v>
      </c>
      <c r="H206" s="10">
        <f t="shared" si="44"/>
        <v>13050</v>
      </c>
      <c r="I206" s="10">
        <f t="shared" si="44"/>
        <v>0</v>
      </c>
      <c r="J206" s="10">
        <f t="shared" si="44"/>
        <v>470</v>
      </c>
      <c r="K206" s="25">
        <f t="shared" si="43"/>
        <v>18110</v>
      </c>
    </row>
    <row r="207" ht="13.5" customHeight="1"/>
    <row r="208" ht="13.5" customHeight="1">
      <c r="A208" s="48" t="s">
        <v>292</v>
      </c>
    </row>
    <row r="209" ht="13.5" customHeight="1">
      <c r="A209" s="14"/>
      <c r="B209" s="14" t="s">
        <v>1</v>
      </c>
      <c r="C209" s="14" t="s">
        <v>27</v>
      </c>
      <c r="D209" s="15" t="s">
        <v>2</v>
      </c>
      <c r="E209" s="10" t="s">
        <v>28</v>
      </c>
      <c r="F209" s="16" t="s">
        <v>3</v>
      </c>
      <c r="G209" s="15" t="s">
        <v>4</v>
      </c>
      <c r="H209" s="15" t="s">
        <v>5</v>
      </c>
      <c r="I209" s="15" t="s">
        <v>29</v>
      </c>
      <c r="J209" s="14" t="s">
        <v>30</v>
      </c>
      <c r="K209" s="17" t="s">
        <v>7</v>
      </c>
    </row>
    <row r="210" ht="13.5" customHeight="1">
      <c r="A210" s="18" t="s">
        <v>31</v>
      </c>
      <c r="B210" s="19">
        <v>1.2</v>
      </c>
      <c r="C210" s="20" t="s">
        <v>33</v>
      </c>
      <c r="D210" s="21">
        <v>600.0</v>
      </c>
      <c r="E210" s="36"/>
      <c r="F210" s="36">
        <v>830.0</v>
      </c>
      <c r="G210" s="32"/>
      <c r="H210" s="21">
        <v>860.0</v>
      </c>
      <c r="I210" s="23"/>
      <c r="J210" s="24">
        <v>160.0</v>
      </c>
      <c r="K210" s="25">
        <f t="shared" ref="K210:K216" si="45">SUM(D210:J210)</f>
        <v>2450</v>
      </c>
    </row>
    <row r="211" ht="13.5" customHeight="1">
      <c r="A211" s="26" t="s">
        <v>34</v>
      </c>
      <c r="B211" s="27"/>
      <c r="C211" s="28"/>
      <c r="D211" s="21">
        <v>500.0</v>
      </c>
      <c r="E211" s="36"/>
      <c r="F211" s="37">
        <v>870.0</v>
      </c>
      <c r="G211" s="53"/>
      <c r="H211" s="22">
        <v>950.0</v>
      </c>
      <c r="I211" s="29"/>
      <c r="J211" s="29">
        <v>130.0</v>
      </c>
      <c r="K211" s="25">
        <f t="shared" si="45"/>
        <v>2450</v>
      </c>
    </row>
    <row r="212" ht="13.5" customHeight="1">
      <c r="A212" s="18" t="s">
        <v>35</v>
      </c>
      <c r="B212" s="30">
        <v>2.0</v>
      </c>
      <c r="C212" s="31" t="s">
        <v>36</v>
      </c>
      <c r="D212" s="21"/>
      <c r="E212" s="36"/>
      <c r="F212" s="36"/>
      <c r="G212" s="21"/>
      <c r="H212" s="21"/>
      <c r="I212" s="21"/>
      <c r="J212" s="24"/>
      <c r="K212" s="25">
        <f t="shared" si="45"/>
        <v>0</v>
      </c>
    </row>
    <row r="213" ht="13.5" customHeight="1">
      <c r="A213" s="26" t="s">
        <v>37</v>
      </c>
      <c r="B213" s="33"/>
      <c r="C213" s="34"/>
      <c r="D213" s="21"/>
      <c r="E213" s="36"/>
      <c r="F213" s="36"/>
      <c r="G213" s="21"/>
      <c r="H213" s="21"/>
      <c r="I213" s="21"/>
      <c r="J213" s="29"/>
      <c r="K213" s="25">
        <f t="shared" si="45"/>
        <v>0</v>
      </c>
    </row>
    <row r="214" ht="14.25" customHeight="1">
      <c r="A214" s="18" t="s">
        <v>38</v>
      </c>
      <c r="B214" s="19" t="s">
        <v>39</v>
      </c>
      <c r="C214" s="19" t="s">
        <v>40</v>
      </c>
      <c r="D214" s="21">
        <v>310.0</v>
      </c>
      <c r="E214" s="36"/>
      <c r="F214" s="36">
        <v>580.0</v>
      </c>
      <c r="G214" s="21"/>
      <c r="H214" s="21">
        <v>5420.0</v>
      </c>
      <c r="I214" s="21"/>
      <c r="J214" s="24">
        <v>250.0</v>
      </c>
      <c r="K214" s="25">
        <f t="shared" si="45"/>
        <v>6560</v>
      </c>
      <c r="L214" s="47"/>
      <c r="M214" s="12"/>
    </row>
    <row r="215" ht="13.5" customHeight="1">
      <c r="A215" s="35" t="s">
        <v>41</v>
      </c>
      <c r="B215" s="27"/>
      <c r="C215" s="27"/>
      <c r="D215" s="21">
        <v>300.0</v>
      </c>
      <c r="E215" s="21"/>
      <c r="F215" s="21">
        <v>760.0</v>
      </c>
      <c r="G215" s="21"/>
      <c r="H215" s="21">
        <v>5150.0</v>
      </c>
      <c r="I215" s="21"/>
      <c r="J215" s="21">
        <v>180.0</v>
      </c>
      <c r="K215" s="25">
        <f t="shared" si="45"/>
        <v>6390</v>
      </c>
    </row>
    <row r="216" ht="13.5" customHeight="1">
      <c r="A216" s="40" t="s">
        <v>7</v>
      </c>
      <c r="B216" s="40"/>
      <c r="C216" s="40"/>
      <c r="D216" s="10">
        <f t="shared" ref="D216:J216" si="46">SUM(D210:D215)</f>
        <v>1710</v>
      </c>
      <c r="E216" s="10">
        <f t="shared" si="46"/>
        <v>0</v>
      </c>
      <c r="F216" s="10">
        <f t="shared" si="46"/>
        <v>3040</v>
      </c>
      <c r="G216" s="10">
        <f t="shared" si="46"/>
        <v>0</v>
      </c>
      <c r="H216" s="10">
        <f t="shared" si="46"/>
        <v>12380</v>
      </c>
      <c r="I216" s="10">
        <f t="shared" si="46"/>
        <v>0</v>
      </c>
      <c r="J216" s="10">
        <f t="shared" si="46"/>
        <v>720</v>
      </c>
      <c r="K216" s="25">
        <f t="shared" si="45"/>
        <v>17850</v>
      </c>
    </row>
    <row r="217" ht="13.5" customHeight="1"/>
    <row r="218" ht="13.5" customHeight="1">
      <c r="A218" s="48" t="s">
        <v>293</v>
      </c>
    </row>
    <row r="219" ht="13.5" customHeight="1">
      <c r="A219" s="14" t="s">
        <v>25</v>
      </c>
      <c r="B219" s="14" t="s">
        <v>1</v>
      </c>
      <c r="C219" s="14" t="s">
        <v>27</v>
      </c>
      <c r="D219" s="15" t="s">
        <v>2</v>
      </c>
      <c r="E219" s="10" t="s">
        <v>28</v>
      </c>
      <c r="F219" s="16" t="s">
        <v>3</v>
      </c>
      <c r="G219" s="15" t="s">
        <v>4</v>
      </c>
      <c r="H219" s="15" t="s">
        <v>5</v>
      </c>
      <c r="I219" s="15" t="s">
        <v>29</v>
      </c>
      <c r="J219" s="14" t="s">
        <v>30</v>
      </c>
      <c r="K219" s="17" t="s">
        <v>7</v>
      </c>
    </row>
    <row r="220" ht="13.5" customHeight="1">
      <c r="A220" s="18" t="s">
        <v>31</v>
      </c>
      <c r="B220" s="19">
        <v>1.2</v>
      </c>
      <c r="C220" s="20" t="s">
        <v>33</v>
      </c>
      <c r="D220" s="21">
        <v>510.0</v>
      </c>
      <c r="E220" s="36"/>
      <c r="F220" s="36">
        <v>800.0</v>
      </c>
      <c r="G220" s="32"/>
      <c r="H220" s="21">
        <v>800.0</v>
      </c>
      <c r="I220" s="23"/>
      <c r="J220" s="24">
        <v>140.0</v>
      </c>
      <c r="K220" s="25">
        <f t="shared" ref="K220:K226" si="47">SUM(D220:J220)</f>
        <v>2250</v>
      </c>
    </row>
    <row r="221" ht="13.5" customHeight="1">
      <c r="A221" s="26" t="s">
        <v>34</v>
      </c>
      <c r="B221" s="27"/>
      <c r="C221" s="28"/>
      <c r="D221" s="21">
        <v>500.0</v>
      </c>
      <c r="E221" s="36"/>
      <c r="F221" s="37">
        <v>860.0</v>
      </c>
      <c r="G221" s="53"/>
      <c r="H221" s="22">
        <v>860.0</v>
      </c>
      <c r="I221" s="29"/>
      <c r="J221" s="29">
        <v>100.0</v>
      </c>
      <c r="K221" s="25">
        <f t="shared" si="47"/>
        <v>2320</v>
      </c>
    </row>
    <row r="222" ht="13.5" customHeight="1">
      <c r="A222" s="18" t="s">
        <v>35</v>
      </c>
      <c r="B222" s="30">
        <v>2.0</v>
      </c>
      <c r="C222" s="31" t="s">
        <v>36</v>
      </c>
      <c r="D222" s="21"/>
      <c r="E222" s="36"/>
      <c r="F222" s="36"/>
      <c r="G222" s="21"/>
      <c r="H222" s="21"/>
      <c r="I222" s="21"/>
      <c r="J222" s="24"/>
      <c r="K222" s="25">
        <f t="shared" si="47"/>
        <v>0</v>
      </c>
    </row>
    <row r="223" ht="13.5" customHeight="1">
      <c r="A223" s="26" t="s">
        <v>37</v>
      </c>
      <c r="B223" s="33"/>
      <c r="C223" s="34"/>
      <c r="D223" s="21"/>
      <c r="E223" s="36"/>
      <c r="F223" s="36"/>
      <c r="G223" s="21"/>
      <c r="H223" s="21"/>
      <c r="I223" s="21"/>
      <c r="J223" s="29"/>
      <c r="K223" s="25">
        <f t="shared" si="47"/>
        <v>0</v>
      </c>
    </row>
    <row r="224" ht="14.25" customHeight="1">
      <c r="A224" s="18" t="s">
        <v>38</v>
      </c>
      <c r="B224" s="19" t="s">
        <v>39</v>
      </c>
      <c r="C224" s="19" t="s">
        <v>40</v>
      </c>
      <c r="D224" s="21">
        <v>280.0</v>
      </c>
      <c r="E224" s="36"/>
      <c r="F224" s="36">
        <v>630.0</v>
      </c>
      <c r="G224" s="21"/>
      <c r="H224" s="21">
        <v>5220.0</v>
      </c>
      <c r="I224" s="21"/>
      <c r="J224" s="24">
        <v>200.0</v>
      </c>
      <c r="K224" s="25">
        <f t="shared" si="47"/>
        <v>6330</v>
      </c>
      <c r="L224" s="47"/>
      <c r="M224" s="12"/>
    </row>
    <row r="225" ht="13.5" customHeight="1">
      <c r="A225" s="35" t="s">
        <v>41</v>
      </c>
      <c r="B225" s="27"/>
      <c r="C225" s="27"/>
      <c r="D225" s="21">
        <v>280.0</v>
      </c>
      <c r="E225" s="21"/>
      <c r="F225" s="21">
        <v>580.0</v>
      </c>
      <c r="G225" s="21"/>
      <c r="H225" s="21">
        <v>5410.0</v>
      </c>
      <c r="I225" s="21"/>
      <c r="J225" s="21">
        <v>180.0</v>
      </c>
      <c r="K225" s="25">
        <f t="shared" si="47"/>
        <v>6450</v>
      </c>
    </row>
    <row r="226" ht="13.5" customHeight="1">
      <c r="A226" s="40" t="s">
        <v>7</v>
      </c>
      <c r="B226" s="40"/>
      <c r="C226" s="40"/>
      <c r="D226" s="10">
        <f t="shared" ref="D226:J226" si="48">SUM(D220:D225)</f>
        <v>1570</v>
      </c>
      <c r="E226" s="10">
        <f t="shared" si="48"/>
        <v>0</v>
      </c>
      <c r="F226" s="10">
        <f t="shared" si="48"/>
        <v>2870</v>
      </c>
      <c r="G226" s="10">
        <f t="shared" si="48"/>
        <v>0</v>
      </c>
      <c r="H226" s="10">
        <f t="shared" si="48"/>
        <v>12290</v>
      </c>
      <c r="I226" s="10">
        <f t="shared" si="48"/>
        <v>0</v>
      </c>
      <c r="J226" s="10">
        <f t="shared" si="48"/>
        <v>620</v>
      </c>
      <c r="K226" s="25">
        <f t="shared" si="47"/>
        <v>17350</v>
      </c>
    </row>
    <row r="227" ht="13.5" customHeight="1"/>
    <row r="228" ht="13.5" customHeight="1">
      <c r="A228" s="48" t="s">
        <v>294</v>
      </c>
    </row>
    <row r="229" ht="13.5" customHeight="1">
      <c r="A229" s="14" t="s">
        <v>25</v>
      </c>
      <c r="B229" s="14" t="s">
        <v>1</v>
      </c>
      <c r="C229" s="14" t="s">
        <v>27</v>
      </c>
      <c r="D229" s="15" t="s">
        <v>2</v>
      </c>
      <c r="E229" s="10" t="s">
        <v>28</v>
      </c>
      <c r="F229" s="16" t="s">
        <v>3</v>
      </c>
      <c r="G229" s="15" t="s">
        <v>4</v>
      </c>
      <c r="H229" s="14" t="s">
        <v>5</v>
      </c>
      <c r="I229" s="15" t="s">
        <v>29</v>
      </c>
      <c r="J229" s="14" t="s">
        <v>30</v>
      </c>
      <c r="K229" s="17" t="s">
        <v>7</v>
      </c>
    </row>
    <row r="230" ht="13.5" customHeight="1">
      <c r="A230" s="18" t="s">
        <v>31</v>
      </c>
      <c r="B230" s="19">
        <v>1.2</v>
      </c>
      <c r="C230" s="20" t="s">
        <v>33</v>
      </c>
      <c r="D230" s="21">
        <v>500.0</v>
      </c>
      <c r="E230" s="36"/>
      <c r="F230" s="36">
        <v>800.0</v>
      </c>
      <c r="G230" s="32"/>
      <c r="H230" s="21">
        <v>1060.0</v>
      </c>
      <c r="I230" s="21"/>
      <c r="J230" s="21">
        <v>90.0</v>
      </c>
      <c r="K230" s="25">
        <f t="shared" ref="K230:K236" si="49">SUM(D230:J230)</f>
        <v>2450</v>
      </c>
    </row>
    <row r="231" ht="13.5" customHeight="1">
      <c r="A231" s="26" t="s">
        <v>34</v>
      </c>
      <c r="B231" s="27"/>
      <c r="C231" s="28"/>
      <c r="D231" s="21">
        <v>500.0</v>
      </c>
      <c r="E231" s="36"/>
      <c r="F231" s="36">
        <v>900.0</v>
      </c>
      <c r="G231" s="32"/>
      <c r="H231" s="21">
        <v>950.0</v>
      </c>
      <c r="I231" s="21"/>
      <c r="J231" s="21">
        <v>110.0</v>
      </c>
      <c r="K231" s="25">
        <f t="shared" si="49"/>
        <v>2460</v>
      </c>
    </row>
    <row r="232" ht="13.5" customHeight="1">
      <c r="A232" s="18" t="s">
        <v>35</v>
      </c>
      <c r="B232" s="30">
        <v>2.0</v>
      </c>
      <c r="C232" s="31" t="s">
        <v>36</v>
      </c>
      <c r="D232" s="21"/>
      <c r="E232" s="36"/>
      <c r="F232" s="36"/>
      <c r="G232" s="32"/>
      <c r="H232" s="21"/>
      <c r="I232" s="21"/>
      <c r="J232" s="21"/>
      <c r="K232" s="25">
        <f t="shared" si="49"/>
        <v>0</v>
      </c>
    </row>
    <row r="233" ht="13.5" customHeight="1">
      <c r="A233" s="26" t="s">
        <v>37</v>
      </c>
      <c r="B233" s="33"/>
      <c r="C233" s="34"/>
      <c r="D233" s="21"/>
      <c r="E233" s="36"/>
      <c r="F233" s="36"/>
      <c r="G233" s="32"/>
      <c r="H233" s="21"/>
      <c r="I233" s="21"/>
      <c r="J233" s="21"/>
      <c r="K233" s="25">
        <f t="shared" si="49"/>
        <v>0</v>
      </c>
    </row>
    <row r="234" ht="14.25" customHeight="1">
      <c r="A234" s="18" t="s">
        <v>38</v>
      </c>
      <c r="B234" s="19" t="s">
        <v>39</v>
      </c>
      <c r="C234" s="19" t="s">
        <v>40</v>
      </c>
      <c r="D234" s="21">
        <v>290.0</v>
      </c>
      <c r="E234" s="36"/>
      <c r="F234" s="36">
        <v>560.0</v>
      </c>
      <c r="G234" s="32"/>
      <c r="H234" s="21">
        <v>5470.0</v>
      </c>
      <c r="I234" s="21"/>
      <c r="J234" s="21">
        <v>220.0</v>
      </c>
      <c r="K234" s="25">
        <f t="shared" si="49"/>
        <v>6540</v>
      </c>
      <c r="L234" s="47"/>
      <c r="M234" s="12"/>
    </row>
    <row r="235" ht="13.5" customHeight="1">
      <c r="A235" s="35" t="s">
        <v>41</v>
      </c>
      <c r="B235" s="27"/>
      <c r="C235" s="27"/>
      <c r="D235" s="21">
        <v>280.0</v>
      </c>
      <c r="E235" s="36"/>
      <c r="F235" s="36">
        <v>510.0</v>
      </c>
      <c r="G235" s="38"/>
      <c r="H235" s="21">
        <v>5550.0</v>
      </c>
      <c r="I235" s="29"/>
      <c r="J235" s="39">
        <v>220.0</v>
      </c>
      <c r="K235" s="25">
        <f t="shared" si="49"/>
        <v>6560</v>
      </c>
    </row>
    <row r="236" ht="13.5" customHeight="1">
      <c r="A236" s="40" t="s">
        <v>7</v>
      </c>
      <c r="B236" s="40"/>
      <c r="C236" s="40"/>
      <c r="D236" s="10">
        <f t="shared" ref="D236:J236" si="50">SUM(D230:D235)</f>
        <v>1570</v>
      </c>
      <c r="E236" s="10">
        <f t="shared" si="50"/>
        <v>0</v>
      </c>
      <c r="F236" s="10">
        <f t="shared" si="50"/>
        <v>2770</v>
      </c>
      <c r="G236" s="10">
        <f t="shared" si="50"/>
        <v>0</v>
      </c>
      <c r="H236" s="10">
        <f t="shared" si="50"/>
        <v>13030</v>
      </c>
      <c r="I236" s="10">
        <f t="shared" si="50"/>
        <v>0</v>
      </c>
      <c r="J236" s="10">
        <f t="shared" si="50"/>
        <v>640</v>
      </c>
      <c r="K236" s="25">
        <f t="shared" si="49"/>
        <v>18010</v>
      </c>
    </row>
    <row r="237" ht="13.5" customHeight="1"/>
    <row r="238" ht="13.5" customHeight="1">
      <c r="A238" s="48" t="s">
        <v>295</v>
      </c>
    </row>
    <row r="239" ht="13.5" customHeight="1">
      <c r="A239" s="14" t="s">
        <v>25</v>
      </c>
      <c r="B239" s="14" t="s">
        <v>1</v>
      </c>
      <c r="C239" s="14" t="s">
        <v>27</v>
      </c>
      <c r="D239" s="15" t="s">
        <v>2</v>
      </c>
      <c r="E239" s="10" t="s">
        <v>28</v>
      </c>
      <c r="F239" s="16" t="s">
        <v>3</v>
      </c>
      <c r="G239" s="15" t="s">
        <v>4</v>
      </c>
      <c r="H239" s="15" t="s">
        <v>5</v>
      </c>
      <c r="I239" s="15" t="s">
        <v>29</v>
      </c>
      <c r="J239" s="14" t="s">
        <v>30</v>
      </c>
      <c r="K239" s="17" t="s">
        <v>7</v>
      </c>
    </row>
    <row r="240" ht="13.5" customHeight="1">
      <c r="A240" s="18" t="s">
        <v>31</v>
      </c>
      <c r="B240" s="19">
        <v>1.2</v>
      </c>
      <c r="C240" s="20" t="s">
        <v>33</v>
      </c>
      <c r="D240" s="21">
        <v>490.0</v>
      </c>
      <c r="E240" s="36"/>
      <c r="F240" s="36">
        <v>900.0</v>
      </c>
      <c r="G240" s="32"/>
      <c r="H240" s="21">
        <v>820.0</v>
      </c>
      <c r="I240" s="23"/>
      <c r="J240" s="24">
        <v>130.0</v>
      </c>
      <c r="K240" s="25">
        <f t="shared" ref="K240:K246" si="51">SUM(D240:J240)</f>
        <v>2340</v>
      </c>
    </row>
    <row r="241" ht="13.5" customHeight="1">
      <c r="A241" s="26" t="s">
        <v>34</v>
      </c>
      <c r="B241" s="27"/>
      <c r="C241" s="28"/>
      <c r="D241" s="21">
        <v>520.0</v>
      </c>
      <c r="E241" s="36"/>
      <c r="F241" s="36">
        <v>860.0</v>
      </c>
      <c r="G241" s="32"/>
      <c r="H241" s="21">
        <v>1010.0</v>
      </c>
      <c r="I241" s="29"/>
      <c r="J241" s="29">
        <v>160.0</v>
      </c>
      <c r="K241" s="25">
        <f t="shared" si="51"/>
        <v>2550</v>
      </c>
    </row>
    <row r="242" ht="13.5" customHeight="1">
      <c r="A242" s="18" t="s">
        <v>35</v>
      </c>
      <c r="B242" s="30">
        <v>2.0</v>
      </c>
      <c r="C242" s="31" t="s">
        <v>36</v>
      </c>
      <c r="D242" s="21"/>
      <c r="E242" s="36"/>
      <c r="F242" s="36"/>
      <c r="G242" s="32"/>
      <c r="H242" s="21"/>
      <c r="I242" s="23"/>
      <c r="J242" s="24"/>
      <c r="K242" s="25">
        <f t="shared" si="51"/>
        <v>0</v>
      </c>
    </row>
    <row r="243" ht="13.5" customHeight="1">
      <c r="A243" s="26" t="s">
        <v>37</v>
      </c>
      <c r="B243" s="33"/>
      <c r="C243" s="34"/>
      <c r="D243" s="21"/>
      <c r="E243" s="36"/>
      <c r="F243" s="36"/>
      <c r="G243" s="32"/>
      <c r="H243" s="21"/>
      <c r="I243" s="29"/>
      <c r="J243" s="29"/>
      <c r="K243" s="25">
        <f t="shared" si="51"/>
        <v>0</v>
      </c>
    </row>
    <row r="244" ht="14.25" customHeight="1">
      <c r="A244" s="18" t="s">
        <v>38</v>
      </c>
      <c r="B244" s="19" t="s">
        <v>39</v>
      </c>
      <c r="C244" s="19" t="s">
        <v>40</v>
      </c>
      <c r="D244" s="21">
        <v>300.0</v>
      </c>
      <c r="E244" s="36"/>
      <c r="F244" s="36">
        <v>500.0</v>
      </c>
      <c r="G244" s="32"/>
      <c r="H244" s="21">
        <v>5560.0</v>
      </c>
      <c r="I244" s="23"/>
      <c r="J244" s="24">
        <v>180.0</v>
      </c>
      <c r="K244" s="25">
        <f t="shared" si="51"/>
        <v>6540</v>
      </c>
      <c r="L244" s="12"/>
    </row>
    <row r="245" ht="13.5" customHeight="1">
      <c r="A245" s="35" t="s">
        <v>41</v>
      </c>
      <c r="B245" s="27"/>
      <c r="C245" s="27"/>
      <c r="D245" s="21">
        <v>320.0</v>
      </c>
      <c r="E245" s="21"/>
      <c r="F245" s="21">
        <v>560.0</v>
      </c>
      <c r="G245" s="21"/>
      <c r="H245" s="21">
        <v>5430.0</v>
      </c>
      <c r="I245" s="21"/>
      <c r="J245" s="21">
        <v>240.0</v>
      </c>
      <c r="K245" s="25">
        <f t="shared" si="51"/>
        <v>6550</v>
      </c>
    </row>
    <row r="246" ht="13.5" customHeight="1">
      <c r="A246" s="40" t="s">
        <v>7</v>
      </c>
      <c r="B246" s="40"/>
      <c r="C246" s="40"/>
      <c r="D246" s="10">
        <f t="shared" ref="D246:J246" si="52">SUM(D240:D245)</f>
        <v>1630</v>
      </c>
      <c r="E246" s="10">
        <f t="shared" si="52"/>
        <v>0</v>
      </c>
      <c r="F246" s="10">
        <f t="shared" si="52"/>
        <v>2820</v>
      </c>
      <c r="G246" s="10">
        <f t="shared" si="52"/>
        <v>0</v>
      </c>
      <c r="H246" s="10">
        <f t="shared" si="52"/>
        <v>12820</v>
      </c>
      <c r="I246" s="10">
        <f t="shared" si="52"/>
        <v>0</v>
      </c>
      <c r="J246" s="10">
        <f t="shared" si="52"/>
        <v>710</v>
      </c>
      <c r="K246" s="25">
        <f t="shared" si="51"/>
        <v>17980</v>
      </c>
    </row>
    <row r="247" ht="13.5" customHeight="1"/>
    <row r="248" ht="13.5" customHeight="1">
      <c r="A248" s="48" t="s">
        <v>296</v>
      </c>
    </row>
    <row r="249" ht="13.5" customHeight="1">
      <c r="A249" s="14" t="s">
        <v>25</v>
      </c>
      <c r="B249" s="14" t="s">
        <v>1</v>
      </c>
      <c r="C249" s="14" t="s">
        <v>27</v>
      </c>
      <c r="D249" s="15" t="s">
        <v>2</v>
      </c>
      <c r="E249" s="10" t="s">
        <v>28</v>
      </c>
      <c r="F249" s="16" t="s">
        <v>3</v>
      </c>
      <c r="G249" s="15" t="s">
        <v>4</v>
      </c>
      <c r="H249" s="15" t="s">
        <v>5</v>
      </c>
      <c r="I249" s="15" t="s">
        <v>29</v>
      </c>
      <c r="J249" s="14" t="s">
        <v>30</v>
      </c>
      <c r="K249" s="17" t="s">
        <v>7</v>
      </c>
    </row>
    <row r="250" ht="14.25" customHeight="1">
      <c r="A250" s="18" t="s">
        <v>31</v>
      </c>
      <c r="B250" s="19">
        <v>1.2</v>
      </c>
      <c r="C250" s="20" t="s">
        <v>33</v>
      </c>
      <c r="D250" s="21">
        <v>480.0</v>
      </c>
      <c r="E250" s="36"/>
      <c r="F250" s="36">
        <v>800.0</v>
      </c>
      <c r="G250" s="36"/>
      <c r="H250" s="32">
        <v>650.0</v>
      </c>
      <c r="I250" s="23"/>
      <c r="J250" s="24">
        <v>250.0</v>
      </c>
      <c r="K250" s="25">
        <f t="shared" ref="K250:K253" si="53">SUM(D250:J250)</f>
        <v>2180</v>
      </c>
    </row>
    <row r="251" ht="13.5" customHeight="1">
      <c r="A251" s="26" t="s">
        <v>34</v>
      </c>
      <c r="B251" s="27"/>
      <c r="C251" s="28"/>
      <c r="D251" s="21">
        <v>500.0</v>
      </c>
      <c r="E251" s="36"/>
      <c r="F251" s="36"/>
      <c r="G251" s="32"/>
      <c r="H251" s="36">
        <v>1210.0</v>
      </c>
      <c r="I251" s="32"/>
      <c r="J251" s="21">
        <v>130.0</v>
      </c>
      <c r="K251" s="25">
        <f t="shared" si="53"/>
        <v>1840</v>
      </c>
    </row>
    <row r="252" ht="13.5" customHeight="1">
      <c r="A252" s="18" t="s">
        <v>35</v>
      </c>
      <c r="B252" s="30">
        <v>2.0</v>
      </c>
      <c r="C252" s="31" t="s">
        <v>36</v>
      </c>
      <c r="D252" s="21"/>
      <c r="E252" s="36"/>
      <c r="F252" s="36"/>
      <c r="G252" s="36"/>
      <c r="H252" s="32"/>
      <c r="I252" s="23"/>
      <c r="J252" s="24"/>
      <c r="K252" s="25">
        <f t="shared" si="53"/>
        <v>0</v>
      </c>
    </row>
    <row r="253" ht="13.5" customHeight="1">
      <c r="A253" s="26" t="s">
        <v>37</v>
      </c>
      <c r="B253" s="33"/>
      <c r="C253" s="34"/>
      <c r="D253" s="21"/>
      <c r="E253" s="36"/>
      <c r="F253" s="36"/>
      <c r="G253" s="21"/>
      <c r="H253" s="21"/>
      <c r="I253" s="21"/>
      <c r="J253" s="21"/>
      <c r="K253" s="25">
        <f t="shared" si="53"/>
        <v>0</v>
      </c>
    </row>
    <row r="254" ht="14.25" customHeight="1">
      <c r="A254" s="18" t="s">
        <v>38</v>
      </c>
      <c r="B254" s="19" t="s">
        <v>39</v>
      </c>
      <c r="C254" s="19" t="s">
        <v>40</v>
      </c>
      <c r="D254" s="10">
        <v>280.0</v>
      </c>
      <c r="E254" s="10"/>
      <c r="F254" s="10"/>
      <c r="G254" s="10"/>
      <c r="H254" s="10">
        <v>5650.0</v>
      </c>
      <c r="I254" s="10"/>
      <c r="J254" s="10">
        <v>230.0</v>
      </c>
      <c r="K254" s="25">
        <f>SUM(D264:J264)</f>
        <v>6020</v>
      </c>
      <c r="L254" s="47"/>
      <c r="M254" s="12"/>
    </row>
    <row r="255" ht="13.5" customHeight="1">
      <c r="A255" s="35" t="s">
        <v>41</v>
      </c>
      <c r="B255" s="27"/>
      <c r="C255" s="27"/>
      <c r="D255" s="21">
        <v>280.0</v>
      </c>
      <c r="E255" s="21"/>
      <c r="F255" s="21"/>
      <c r="G255" s="21"/>
      <c r="H255" s="21">
        <v>5730.0</v>
      </c>
      <c r="I255" s="21"/>
      <c r="J255" s="21">
        <v>160.0</v>
      </c>
      <c r="K255" s="25">
        <f t="shared" ref="K255:K256" si="55">SUM(D255:J255)</f>
        <v>6170</v>
      </c>
    </row>
    <row r="256" ht="13.5" customHeight="1">
      <c r="A256" s="40" t="s">
        <v>7</v>
      </c>
      <c r="B256" s="40"/>
      <c r="C256" s="40"/>
      <c r="D256" s="10">
        <f t="shared" ref="D256:J256" si="54">SUM(D250:D255)</f>
        <v>1540</v>
      </c>
      <c r="E256" s="10">
        <f t="shared" si="54"/>
        <v>0</v>
      </c>
      <c r="F256" s="10">
        <f t="shared" si="54"/>
        <v>800</v>
      </c>
      <c r="G256" s="10">
        <f t="shared" si="54"/>
        <v>0</v>
      </c>
      <c r="H256" s="10">
        <f t="shared" si="54"/>
        <v>13240</v>
      </c>
      <c r="I256" s="10">
        <f t="shared" si="54"/>
        <v>0</v>
      </c>
      <c r="J256" s="10">
        <f t="shared" si="54"/>
        <v>770</v>
      </c>
      <c r="K256" s="25">
        <f t="shared" si="55"/>
        <v>16350</v>
      </c>
    </row>
    <row r="257" ht="13.5" customHeight="1"/>
    <row r="258" ht="13.5" customHeight="1">
      <c r="A258" s="48" t="s">
        <v>297</v>
      </c>
    </row>
    <row r="259" ht="13.5" customHeight="1">
      <c r="A259" s="14" t="s">
        <v>25</v>
      </c>
      <c r="B259" s="14" t="s">
        <v>1</v>
      </c>
      <c r="C259" s="14" t="s">
        <v>27</v>
      </c>
      <c r="D259" s="15" t="s">
        <v>2</v>
      </c>
      <c r="E259" s="10" t="s">
        <v>28</v>
      </c>
      <c r="F259" s="16" t="s">
        <v>3</v>
      </c>
      <c r="G259" s="15" t="s">
        <v>4</v>
      </c>
      <c r="H259" s="15" t="s">
        <v>5</v>
      </c>
      <c r="I259" s="15" t="s">
        <v>29</v>
      </c>
      <c r="J259" s="14" t="s">
        <v>30</v>
      </c>
      <c r="K259" s="17" t="s">
        <v>7</v>
      </c>
    </row>
    <row r="260" ht="14.25" customHeight="1">
      <c r="A260" s="18" t="s">
        <v>31</v>
      </c>
      <c r="B260" s="19">
        <v>1.2</v>
      </c>
      <c r="C260" s="20" t="s">
        <v>33</v>
      </c>
      <c r="D260" s="21">
        <v>510.0</v>
      </c>
      <c r="E260" s="36"/>
      <c r="F260" s="36">
        <v>800.0</v>
      </c>
      <c r="G260" s="32"/>
      <c r="H260" s="21">
        <v>610.0</v>
      </c>
      <c r="I260" s="23"/>
      <c r="J260" s="24">
        <v>120.0</v>
      </c>
      <c r="K260" s="25">
        <f t="shared" ref="K260:K263" si="56">SUM(D260:J260)</f>
        <v>2040</v>
      </c>
    </row>
    <row r="261" ht="13.5" customHeight="1">
      <c r="A261" s="26" t="s">
        <v>34</v>
      </c>
      <c r="B261" s="27"/>
      <c r="C261" s="28"/>
      <c r="D261" s="21">
        <v>480.0</v>
      </c>
      <c r="E261" s="36"/>
      <c r="F261" s="36">
        <v>650.0</v>
      </c>
      <c r="G261" s="22"/>
      <c r="H261" s="21">
        <v>650.0</v>
      </c>
      <c r="I261" s="29"/>
      <c r="J261" s="29">
        <v>120.0</v>
      </c>
      <c r="K261" s="25">
        <f t="shared" si="56"/>
        <v>1900</v>
      </c>
    </row>
    <row r="262" ht="13.5" customHeight="1">
      <c r="A262" s="18" t="s">
        <v>35</v>
      </c>
      <c r="B262" s="30">
        <v>2.0</v>
      </c>
      <c r="C262" s="31" t="s">
        <v>36</v>
      </c>
      <c r="D262" s="21"/>
      <c r="E262" s="10"/>
      <c r="F262" s="10"/>
      <c r="G262" s="36"/>
      <c r="H262" s="21"/>
      <c r="I262" s="23"/>
      <c r="J262" s="24"/>
      <c r="K262" s="25">
        <f t="shared" si="56"/>
        <v>0</v>
      </c>
    </row>
    <row r="263" ht="13.5" customHeight="1">
      <c r="A263" s="26" t="s">
        <v>37</v>
      </c>
      <c r="B263" s="33"/>
      <c r="C263" s="34"/>
      <c r="D263" s="21"/>
      <c r="E263" s="36"/>
      <c r="F263" s="36"/>
      <c r="G263" s="22"/>
      <c r="H263" s="21"/>
      <c r="I263" s="29"/>
      <c r="J263" s="29"/>
      <c r="K263" s="25">
        <f t="shared" si="56"/>
        <v>0</v>
      </c>
    </row>
    <row r="264" ht="14.25" customHeight="1">
      <c r="A264" s="18" t="s">
        <v>38</v>
      </c>
      <c r="B264" s="19" t="s">
        <v>39</v>
      </c>
      <c r="C264" s="19" t="s">
        <v>40</v>
      </c>
      <c r="D264" s="21">
        <v>280.0</v>
      </c>
      <c r="E264" s="36"/>
      <c r="F264" s="36">
        <v>450.0</v>
      </c>
      <c r="G264" s="32"/>
      <c r="H264" s="21">
        <v>5030.0</v>
      </c>
      <c r="I264" s="23"/>
      <c r="J264" s="24">
        <v>260.0</v>
      </c>
      <c r="K264" s="25">
        <v>180.0</v>
      </c>
      <c r="L264" s="47"/>
      <c r="M264" s="12"/>
    </row>
    <row r="265" ht="13.5" customHeight="1">
      <c r="A265" s="35" t="s">
        <v>41</v>
      </c>
      <c r="B265" s="27"/>
      <c r="C265" s="27"/>
      <c r="D265" s="21">
        <v>330.0</v>
      </c>
      <c r="E265" s="21"/>
      <c r="F265" s="21">
        <v>550.0</v>
      </c>
      <c r="G265" s="21"/>
      <c r="H265" s="21">
        <v>4960.0</v>
      </c>
      <c r="I265" s="21"/>
      <c r="J265" s="21">
        <v>210.0</v>
      </c>
      <c r="K265" s="25">
        <f t="shared" ref="K265:K266" si="58">SUM(D265:J265)</f>
        <v>6050</v>
      </c>
    </row>
    <row r="266" ht="13.5" customHeight="1">
      <c r="A266" s="40" t="s">
        <v>7</v>
      </c>
      <c r="B266" s="40"/>
      <c r="C266" s="40"/>
      <c r="D266" s="10">
        <f t="shared" ref="D266:J266" si="57">SUM(D260:D265)</f>
        <v>1600</v>
      </c>
      <c r="E266" s="10">
        <f t="shared" si="57"/>
        <v>0</v>
      </c>
      <c r="F266" s="10">
        <f t="shared" si="57"/>
        <v>2450</v>
      </c>
      <c r="G266" s="10">
        <f t="shared" si="57"/>
        <v>0</v>
      </c>
      <c r="H266" s="10">
        <f t="shared" si="57"/>
        <v>11250</v>
      </c>
      <c r="I266" s="10">
        <f t="shared" si="57"/>
        <v>0</v>
      </c>
      <c r="J266" s="10">
        <f t="shared" si="57"/>
        <v>710</v>
      </c>
      <c r="K266" s="25">
        <f t="shared" si="58"/>
        <v>16010</v>
      </c>
    </row>
    <row r="267" ht="13.5" customHeight="1">
      <c r="A267" s="48"/>
    </row>
    <row r="268" ht="13.5" customHeight="1">
      <c r="A268" s="48" t="s">
        <v>298</v>
      </c>
    </row>
    <row r="269" ht="13.5" customHeight="1">
      <c r="A269" s="14" t="s">
        <v>25</v>
      </c>
      <c r="B269" s="14" t="s">
        <v>1</v>
      </c>
      <c r="C269" s="14" t="s">
        <v>27</v>
      </c>
      <c r="D269" s="15" t="s">
        <v>2</v>
      </c>
      <c r="E269" s="16" t="s">
        <v>28</v>
      </c>
      <c r="F269" s="16" t="s">
        <v>3</v>
      </c>
      <c r="G269" s="14" t="s">
        <v>4</v>
      </c>
      <c r="H269" s="15" t="s">
        <v>5</v>
      </c>
      <c r="I269" s="15" t="s">
        <v>29</v>
      </c>
      <c r="J269" s="14" t="s">
        <v>30</v>
      </c>
      <c r="K269" s="17" t="s">
        <v>7</v>
      </c>
    </row>
    <row r="270" ht="13.5" customHeight="1">
      <c r="A270" s="18" t="s">
        <v>31</v>
      </c>
      <c r="B270" s="19">
        <v>1.2</v>
      </c>
      <c r="C270" s="20" t="s">
        <v>33</v>
      </c>
      <c r="D270" s="21">
        <v>500.0</v>
      </c>
      <c r="E270" s="36"/>
      <c r="F270" s="36">
        <v>750.0</v>
      </c>
      <c r="G270" s="32"/>
      <c r="H270" s="21">
        <v>640.0</v>
      </c>
      <c r="I270" s="21"/>
      <c r="J270" s="24">
        <v>110.0</v>
      </c>
      <c r="K270" s="25">
        <f t="shared" ref="K270:K280" si="59">SUM(D270:J270)</f>
        <v>2000</v>
      </c>
    </row>
    <row r="271" ht="13.5" customHeight="1">
      <c r="A271" s="26" t="s">
        <v>34</v>
      </c>
      <c r="B271" s="27"/>
      <c r="C271" s="28"/>
      <c r="D271" s="21">
        <v>500.0</v>
      </c>
      <c r="E271" s="36"/>
      <c r="F271" s="36">
        <v>750.0</v>
      </c>
      <c r="G271" s="22"/>
      <c r="H271" s="21">
        <v>770.0</v>
      </c>
      <c r="I271" s="21"/>
      <c r="J271" s="29">
        <v>100.0</v>
      </c>
      <c r="K271" s="25">
        <f t="shared" si="59"/>
        <v>2120</v>
      </c>
    </row>
    <row r="272" ht="13.5" customHeight="1">
      <c r="A272" s="18" t="s">
        <v>35</v>
      </c>
      <c r="B272" s="30">
        <v>2.0</v>
      </c>
      <c r="C272" s="31" t="s">
        <v>36</v>
      </c>
      <c r="D272" s="21"/>
      <c r="E272" s="36"/>
      <c r="F272" s="36"/>
      <c r="G272" s="32"/>
      <c r="H272" s="21"/>
      <c r="I272" s="21"/>
      <c r="J272" s="24"/>
      <c r="K272" s="25">
        <f t="shared" si="59"/>
        <v>0</v>
      </c>
    </row>
    <row r="273" ht="13.5" customHeight="1">
      <c r="A273" s="26" t="s">
        <v>37</v>
      </c>
      <c r="B273" s="33"/>
      <c r="C273" s="34"/>
      <c r="D273" s="21"/>
      <c r="E273" s="36"/>
      <c r="F273" s="36"/>
      <c r="G273" s="22"/>
      <c r="H273" s="21"/>
      <c r="I273" s="21"/>
      <c r="J273" s="29"/>
      <c r="K273" s="25">
        <f t="shared" si="59"/>
        <v>0</v>
      </c>
    </row>
    <row r="274" ht="15.0" customHeight="1">
      <c r="A274" s="18" t="s">
        <v>38</v>
      </c>
      <c r="B274" s="19" t="s">
        <v>39</v>
      </c>
      <c r="C274" s="19" t="s">
        <v>40</v>
      </c>
      <c r="D274" s="21">
        <v>280.0</v>
      </c>
      <c r="E274" s="41"/>
      <c r="F274" s="41">
        <v>600.0</v>
      </c>
      <c r="G274" s="32"/>
      <c r="H274" s="21">
        <v>4430.0</v>
      </c>
      <c r="I274" s="21"/>
      <c r="J274" s="24">
        <v>220.0</v>
      </c>
      <c r="K274" s="25">
        <f t="shared" si="59"/>
        <v>5530</v>
      </c>
    </row>
    <row r="275" ht="13.5" customHeight="1">
      <c r="A275" s="35" t="s">
        <v>41</v>
      </c>
      <c r="B275" s="27"/>
      <c r="C275" s="27"/>
      <c r="D275" s="21">
        <v>280.0</v>
      </c>
      <c r="E275" s="36"/>
      <c r="F275" s="37">
        <v>550.0</v>
      </c>
      <c r="G275" s="38"/>
      <c r="H275" s="21">
        <v>4530.0</v>
      </c>
      <c r="I275" s="21"/>
      <c r="J275" s="39">
        <v>200.0</v>
      </c>
      <c r="K275" s="25">
        <f t="shared" si="59"/>
        <v>5560</v>
      </c>
    </row>
    <row r="276" ht="13.5" customHeight="1">
      <c r="A276" s="54" t="s">
        <v>100</v>
      </c>
      <c r="B276" s="55"/>
      <c r="C276" s="55"/>
      <c r="D276" s="21"/>
      <c r="E276" s="36"/>
      <c r="F276" s="36"/>
      <c r="G276" s="21"/>
      <c r="H276" s="21"/>
      <c r="I276" s="21"/>
      <c r="J276" s="56"/>
      <c r="K276" s="25">
        <f t="shared" si="59"/>
        <v>0</v>
      </c>
    </row>
    <row r="277" ht="13.5" customHeight="1">
      <c r="A277" s="26" t="s">
        <v>101</v>
      </c>
      <c r="B277" s="7"/>
      <c r="C277" s="7"/>
      <c r="D277" s="21"/>
      <c r="E277" s="36"/>
      <c r="F277" s="37"/>
      <c r="G277" s="22"/>
      <c r="H277" s="21"/>
      <c r="I277" s="29"/>
      <c r="J277" s="29"/>
      <c r="K277" s="25">
        <f t="shared" si="59"/>
        <v>0</v>
      </c>
    </row>
    <row r="278" ht="13.5" customHeight="1">
      <c r="A278" s="18" t="s">
        <v>102</v>
      </c>
      <c r="B278" s="57"/>
      <c r="C278" s="57"/>
      <c r="D278" s="21"/>
      <c r="E278" s="36"/>
      <c r="F278" s="41"/>
      <c r="G278" s="58"/>
      <c r="H278" s="21"/>
      <c r="I278" s="23"/>
      <c r="J278" s="59"/>
      <c r="K278" s="25">
        <f t="shared" si="59"/>
        <v>0</v>
      </c>
    </row>
    <row r="279" ht="13.5" customHeight="1">
      <c r="A279" s="35" t="s">
        <v>103</v>
      </c>
      <c r="B279" s="27"/>
      <c r="C279" s="27"/>
      <c r="D279" s="21"/>
      <c r="E279" s="36"/>
      <c r="F279" s="37"/>
      <c r="G279" s="60"/>
      <c r="H279" s="21"/>
      <c r="I279" s="29"/>
      <c r="J279" s="61"/>
      <c r="K279" s="25">
        <f t="shared" si="59"/>
        <v>0</v>
      </c>
    </row>
    <row r="280" ht="13.5" customHeight="1">
      <c r="A280" s="40" t="s">
        <v>7</v>
      </c>
      <c r="B280" s="40"/>
      <c r="C280" s="40"/>
      <c r="D280" s="10">
        <f t="shared" ref="D280:J280" si="60">SUM(D270:D279)</f>
        <v>1560</v>
      </c>
      <c r="E280" s="10">
        <f t="shared" si="60"/>
        <v>0</v>
      </c>
      <c r="F280" s="10">
        <f t="shared" si="60"/>
        <v>2650</v>
      </c>
      <c r="G280" s="10">
        <f t="shared" si="60"/>
        <v>0</v>
      </c>
      <c r="H280" s="10">
        <f t="shared" si="60"/>
        <v>10370</v>
      </c>
      <c r="I280" s="10">
        <f t="shared" si="60"/>
        <v>0</v>
      </c>
      <c r="J280" s="10">
        <f t="shared" si="60"/>
        <v>630</v>
      </c>
      <c r="K280" s="25">
        <f t="shared" si="59"/>
        <v>15210</v>
      </c>
    </row>
    <row r="281" ht="13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 ht="13.5" customHeight="1">
      <c r="A282" s="48" t="s">
        <v>299</v>
      </c>
    </row>
    <row r="283" ht="13.5" customHeight="1">
      <c r="A283" s="14" t="s">
        <v>25</v>
      </c>
      <c r="B283" s="14" t="s">
        <v>1</v>
      </c>
      <c r="C283" s="14" t="s">
        <v>27</v>
      </c>
      <c r="D283" s="15" t="s">
        <v>2</v>
      </c>
      <c r="E283" s="16" t="s">
        <v>28</v>
      </c>
      <c r="F283" s="16" t="s">
        <v>3</v>
      </c>
      <c r="G283" s="14" t="s">
        <v>4</v>
      </c>
      <c r="H283" s="15" t="s">
        <v>5</v>
      </c>
      <c r="I283" s="15" t="s">
        <v>29</v>
      </c>
      <c r="J283" s="14" t="s">
        <v>30</v>
      </c>
      <c r="K283" s="17" t="s">
        <v>7</v>
      </c>
    </row>
    <row r="284" ht="13.5" customHeight="1">
      <c r="A284" s="18" t="s">
        <v>31</v>
      </c>
      <c r="B284" s="19">
        <v>1.2</v>
      </c>
      <c r="C284" s="20" t="s">
        <v>33</v>
      </c>
      <c r="D284" s="21">
        <v>510.0</v>
      </c>
      <c r="E284" s="36"/>
      <c r="F284" s="36">
        <v>860.0</v>
      </c>
      <c r="G284" s="32"/>
      <c r="H284" s="21">
        <v>670.0</v>
      </c>
      <c r="I284" s="21"/>
      <c r="J284" s="24">
        <v>130.0</v>
      </c>
      <c r="K284" s="25">
        <f t="shared" ref="K284:K294" si="61">SUM(D284:J284)</f>
        <v>2170</v>
      </c>
    </row>
    <row r="285" ht="13.5" customHeight="1">
      <c r="A285" s="26" t="s">
        <v>34</v>
      </c>
      <c r="B285" s="27"/>
      <c r="C285" s="28"/>
      <c r="D285" s="21">
        <v>500.0</v>
      </c>
      <c r="E285" s="36"/>
      <c r="F285" s="36">
        <v>1000.0</v>
      </c>
      <c r="G285" s="22"/>
      <c r="H285" s="21">
        <v>750.0</v>
      </c>
      <c r="I285" s="21"/>
      <c r="J285" s="29">
        <v>130.0</v>
      </c>
      <c r="K285" s="25">
        <f t="shared" si="61"/>
        <v>2380</v>
      </c>
    </row>
    <row r="286" ht="13.5" customHeight="1">
      <c r="A286" s="18" t="s">
        <v>35</v>
      </c>
      <c r="B286" s="30">
        <v>2.0</v>
      </c>
      <c r="C286" s="31" t="s">
        <v>36</v>
      </c>
      <c r="D286" s="21"/>
      <c r="E286" s="36"/>
      <c r="F286" s="36"/>
      <c r="G286" s="32"/>
      <c r="H286" s="21"/>
      <c r="I286" s="21"/>
      <c r="J286" s="24"/>
      <c r="K286" s="25">
        <f t="shared" si="61"/>
        <v>0</v>
      </c>
    </row>
    <row r="287" ht="13.5" customHeight="1">
      <c r="A287" s="26" t="s">
        <v>37</v>
      </c>
      <c r="B287" s="33"/>
      <c r="C287" s="34"/>
      <c r="D287" s="21"/>
      <c r="E287" s="36"/>
      <c r="F287" s="36"/>
      <c r="G287" s="22"/>
      <c r="H287" s="21"/>
      <c r="I287" s="21"/>
      <c r="J287" s="29"/>
      <c r="K287" s="25">
        <f t="shared" si="61"/>
        <v>0</v>
      </c>
    </row>
    <row r="288" ht="15.0" customHeight="1">
      <c r="A288" s="18" t="s">
        <v>38</v>
      </c>
      <c r="B288" s="19" t="s">
        <v>39</v>
      </c>
      <c r="C288" s="19" t="s">
        <v>40</v>
      </c>
      <c r="D288" s="21">
        <v>280.0</v>
      </c>
      <c r="E288" s="41"/>
      <c r="F288" s="41">
        <v>560.0</v>
      </c>
      <c r="G288" s="32"/>
      <c r="H288" s="21">
        <v>4760.0</v>
      </c>
      <c r="I288" s="21"/>
      <c r="J288" s="24">
        <v>200.0</v>
      </c>
      <c r="K288" s="25">
        <f t="shared" si="61"/>
        <v>5800</v>
      </c>
    </row>
    <row r="289" ht="13.5" customHeight="1">
      <c r="A289" s="35" t="s">
        <v>41</v>
      </c>
      <c r="B289" s="27"/>
      <c r="C289" s="27"/>
      <c r="D289" s="21">
        <v>260.0</v>
      </c>
      <c r="E289" s="36"/>
      <c r="F289" s="37">
        <v>600.0</v>
      </c>
      <c r="G289" s="38"/>
      <c r="H289" s="21">
        <v>4410.0</v>
      </c>
      <c r="I289" s="21"/>
      <c r="J289" s="39">
        <v>250.0</v>
      </c>
      <c r="K289" s="25">
        <f t="shared" si="61"/>
        <v>5520</v>
      </c>
    </row>
    <row r="290" ht="13.5" customHeight="1">
      <c r="A290" s="54" t="s">
        <v>100</v>
      </c>
      <c r="B290" s="55"/>
      <c r="C290" s="55"/>
      <c r="D290" s="21"/>
      <c r="E290" s="36"/>
      <c r="F290" s="36"/>
      <c r="G290" s="21"/>
      <c r="H290" s="21"/>
      <c r="I290" s="21"/>
      <c r="J290" s="56"/>
      <c r="K290" s="25">
        <f t="shared" si="61"/>
        <v>0</v>
      </c>
    </row>
    <row r="291" ht="13.5" customHeight="1">
      <c r="A291" s="26" t="s">
        <v>101</v>
      </c>
      <c r="B291" s="7"/>
      <c r="C291" s="7"/>
      <c r="D291" s="21"/>
      <c r="E291" s="36"/>
      <c r="F291" s="37"/>
      <c r="G291" s="22"/>
      <c r="H291" s="21"/>
      <c r="I291" s="29"/>
      <c r="J291" s="29"/>
      <c r="K291" s="25">
        <f t="shared" si="61"/>
        <v>0</v>
      </c>
    </row>
    <row r="292" ht="13.5" customHeight="1">
      <c r="A292" s="18" t="s">
        <v>102</v>
      </c>
      <c r="B292" s="57"/>
      <c r="C292" s="57"/>
      <c r="D292" s="21"/>
      <c r="E292" s="36"/>
      <c r="F292" s="41"/>
      <c r="G292" s="58"/>
      <c r="H292" s="21"/>
      <c r="I292" s="23"/>
      <c r="J292" s="59"/>
      <c r="K292" s="25">
        <f t="shared" si="61"/>
        <v>0</v>
      </c>
    </row>
    <row r="293" ht="13.5" customHeight="1">
      <c r="A293" s="35" t="s">
        <v>103</v>
      </c>
      <c r="B293" s="27"/>
      <c r="C293" s="27"/>
      <c r="D293" s="21"/>
      <c r="E293" s="36"/>
      <c r="F293" s="37"/>
      <c r="G293" s="60"/>
      <c r="H293" s="21"/>
      <c r="I293" s="29"/>
      <c r="J293" s="61"/>
      <c r="K293" s="25">
        <f t="shared" si="61"/>
        <v>0</v>
      </c>
    </row>
    <row r="294" ht="13.5" customHeight="1">
      <c r="A294" s="40" t="s">
        <v>7</v>
      </c>
      <c r="B294" s="40"/>
      <c r="C294" s="40"/>
      <c r="D294" s="10">
        <f t="shared" ref="D294:J294" si="62">SUM(D284:D293)</f>
        <v>1550</v>
      </c>
      <c r="E294" s="10">
        <f t="shared" si="62"/>
        <v>0</v>
      </c>
      <c r="F294" s="10">
        <f t="shared" si="62"/>
        <v>3020</v>
      </c>
      <c r="G294" s="10">
        <f t="shared" si="62"/>
        <v>0</v>
      </c>
      <c r="H294" s="10">
        <f t="shared" si="62"/>
        <v>10590</v>
      </c>
      <c r="I294" s="10">
        <f t="shared" si="62"/>
        <v>0</v>
      </c>
      <c r="J294" s="10">
        <f t="shared" si="62"/>
        <v>710</v>
      </c>
      <c r="K294" s="25">
        <f t="shared" si="61"/>
        <v>15870</v>
      </c>
    </row>
    <row r="295" ht="13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</row>
    <row r="296" ht="13.5" customHeight="1">
      <c r="A296" s="48"/>
    </row>
    <row r="297" ht="13.5" customHeight="1">
      <c r="A297" s="14" t="s">
        <v>25</v>
      </c>
      <c r="B297" s="14" t="s">
        <v>1</v>
      </c>
      <c r="C297" s="14" t="s">
        <v>27</v>
      </c>
      <c r="D297" s="15" t="s">
        <v>2</v>
      </c>
      <c r="E297" s="16" t="s">
        <v>28</v>
      </c>
      <c r="F297" s="16" t="s">
        <v>3</v>
      </c>
      <c r="G297" s="14" t="s">
        <v>4</v>
      </c>
      <c r="H297" s="15" t="s">
        <v>5</v>
      </c>
      <c r="I297" s="15" t="s">
        <v>29</v>
      </c>
      <c r="J297" s="14" t="s">
        <v>30</v>
      </c>
      <c r="K297" s="17" t="s">
        <v>7</v>
      </c>
    </row>
    <row r="298" ht="13.5" customHeight="1">
      <c r="A298" s="18" t="s">
        <v>31</v>
      </c>
      <c r="B298" s="19" t="s">
        <v>172</v>
      </c>
      <c r="C298" s="20" t="s">
        <v>33</v>
      </c>
      <c r="D298" s="21"/>
      <c r="E298" s="36"/>
      <c r="F298" s="36"/>
      <c r="G298" s="32"/>
      <c r="H298" s="21"/>
      <c r="I298" s="21"/>
      <c r="J298" s="24"/>
      <c r="K298" s="25">
        <f t="shared" ref="K298:K308" si="63">SUM(D298:J298)</f>
        <v>0</v>
      </c>
    </row>
    <row r="299" ht="13.5" customHeight="1">
      <c r="A299" s="26" t="s">
        <v>34</v>
      </c>
      <c r="B299" s="27"/>
      <c r="C299" s="28"/>
      <c r="D299" s="21"/>
      <c r="E299" s="36"/>
      <c r="F299" s="36"/>
      <c r="G299" s="22"/>
      <c r="H299" s="21"/>
      <c r="I299" s="21"/>
      <c r="J299" s="29"/>
      <c r="K299" s="25">
        <f t="shared" si="63"/>
        <v>0</v>
      </c>
    </row>
    <row r="300" ht="13.5" customHeight="1">
      <c r="A300" s="18" t="s">
        <v>35</v>
      </c>
      <c r="B300" s="30">
        <v>2.0</v>
      </c>
      <c r="C300" s="31" t="s">
        <v>36</v>
      </c>
      <c r="D300" s="21"/>
      <c r="E300" s="36"/>
      <c r="F300" s="36"/>
      <c r="G300" s="32"/>
      <c r="H300" s="21"/>
      <c r="I300" s="21"/>
      <c r="J300" s="24"/>
      <c r="K300" s="25">
        <f t="shared" si="63"/>
        <v>0</v>
      </c>
    </row>
    <row r="301" ht="13.5" customHeight="1">
      <c r="A301" s="26" t="s">
        <v>37</v>
      </c>
      <c r="B301" s="33"/>
      <c r="C301" s="34"/>
      <c r="D301" s="21"/>
      <c r="E301" s="36"/>
      <c r="F301" s="36"/>
      <c r="G301" s="22"/>
      <c r="H301" s="21"/>
      <c r="I301" s="21"/>
      <c r="J301" s="29"/>
      <c r="K301" s="25">
        <f t="shared" si="63"/>
        <v>0</v>
      </c>
    </row>
    <row r="302" ht="15.0" customHeight="1">
      <c r="A302" s="18" t="s">
        <v>38</v>
      </c>
      <c r="B302" s="19" t="s">
        <v>39</v>
      </c>
      <c r="C302" s="19" t="s">
        <v>40</v>
      </c>
      <c r="D302" s="21"/>
      <c r="E302" s="41"/>
      <c r="F302" s="41"/>
      <c r="G302" s="32"/>
      <c r="H302" s="21"/>
      <c r="I302" s="21"/>
      <c r="J302" s="24"/>
      <c r="K302" s="25">
        <f t="shared" si="63"/>
        <v>0</v>
      </c>
    </row>
    <row r="303" ht="13.5" customHeight="1">
      <c r="A303" s="35" t="s">
        <v>41</v>
      </c>
      <c r="B303" s="27"/>
      <c r="C303" s="27"/>
      <c r="D303" s="21"/>
      <c r="E303" s="36"/>
      <c r="F303" s="37"/>
      <c r="G303" s="38"/>
      <c r="H303" s="21"/>
      <c r="I303" s="21"/>
      <c r="J303" s="39"/>
      <c r="K303" s="25">
        <f t="shared" si="63"/>
        <v>0</v>
      </c>
    </row>
    <row r="304" ht="13.5" customHeight="1">
      <c r="A304" s="54" t="s">
        <v>100</v>
      </c>
      <c r="B304" s="55"/>
      <c r="C304" s="55"/>
      <c r="D304" s="21"/>
      <c r="E304" s="36"/>
      <c r="F304" s="36"/>
      <c r="G304" s="21"/>
      <c r="H304" s="21"/>
      <c r="I304" s="21"/>
      <c r="J304" s="56"/>
      <c r="K304" s="25">
        <f t="shared" si="63"/>
        <v>0</v>
      </c>
    </row>
    <row r="305" ht="13.5" customHeight="1">
      <c r="A305" s="26" t="s">
        <v>101</v>
      </c>
      <c r="B305" s="7"/>
      <c r="C305" s="7"/>
      <c r="D305" s="21"/>
      <c r="E305" s="36"/>
      <c r="F305" s="37"/>
      <c r="G305" s="22"/>
      <c r="H305" s="21"/>
      <c r="I305" s="29"/>
      <c r="J305" s="29"/>
      <c r="K305" s="25">
        <f t="shared" si="63"/>
        <v>0</v>
      </c>
    </row>
    <row r="306" ht="13.5" customHeight="1">
      <c r="A306" s="18" t="s">
        <v>102</v>
      </c>
      <c r="B306" s="57"/>
      <c r="C306" s="57"/>
      <c r="D306" s="21"/>
      <c r="E306" s="36"/>
      <c r="F306" s="41"/>
      <c r="G306" s="58"/>
      <c r="H306" s="21"/>
      <c r="I306" s="23"/>
      <c r="J306" s="59"/>
      <c r="K306" s="25">
        <f t="shared" si="63"/>
        <v>0</v>
      </c>
    </row>
    <row r="307" ht="13.5" customHeight="1">
      <c r="A307" s="35" t="s">
        <v>103</v>
      </c>
      <c r="B307" s="27"/>
      <c r="C307" s="27"/>
      <c r="D307" s="21"/>
      <c r="E307" s="36"/>
      <c r="F307" s="37"/>
      <c r="G307" s="60"/>
      <c r="H307" s="21"/>
      <c r="I307" s="29"/>
      <c r="J307" s="61"/>
      <c r="K307" s="25">
        <f t="shared" si="63"/>
        <v>0</v>
      </c>
    </row>
    <row r="308" ht="13.5" customHeight="1">
      <c r="A308" s="40" t="s">
        <v>7</v>
      </c>
      <c r="B308" s="40"/>
      <c r="C308" s="40"/>
      <c r="D308" s="10">
        <f t="shared" ref="D308:J308" si="64">SUM(D298:D307)</f>
        <v>0</v>
      </c>
      <c r="E308" s="10">
        <f t="shared" si="64"/>
        <v>0</v>
      </c>
      <c r="F308" s="10">
        <f t="shared" si="64"/>
        <v>0</v>
      </c>
      <c r="G308" s="10">
        <f t="shared" si="64"/>
        <v>0</v>
      </c>
      <c r="H308" s="10">
        <f t="shared" si="64"/>
        <v>0</v>
      </c>
      <c r="I308" s="10">
        <f t="shared" si="64"/>
        <v>0</v>
      </c>
      <c r="J308" s="10">
        <f t="shared" si="64"/>
        <v>0</v>
      </c>
      <c r="K308" s="25">
        <f t="shared" si="63"/>
        <v>0</v>
      </c>
    </row>
    <row r="309" ht="13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3.5" customHeight="1">
      <c r="A311" s="64" t="s">
        <v>300</v>
      </c>
      <c r="B311" s="65"/>
      <c r="C311" s="65"/>
      <c r="D311" s="5"/>
      <c r="E311" s="10"/>
      <c r="F311" s="10"/>
      <c r="G311" s="10"/>
      <c r="H311" s="10"/>
      <c r="I311" s="10"/>
      <c r="J311" s="10"/>
      <c r="K311" s="10"/>
    </row>
    <row r="312" ht="13.5" customHeight="1">
      <c r="A312" s="15" t="s">
        <v>25</v>
      </c>
      <c r="B312" s="15" t="s">
        <v>1</v>
      </c>
      <c r="C312" s="15" t="s">
        <v>27</v>
      </c>
      <c r="D312" s="15" t="s">
        <v>2</v>
      </c>
      <c r="E312" s="10" t="s">
        <v>28</v>
      </c>
      <c r="F312" s="16" t="s">
        <v>3</v>
      </c>
      <c r="G312" s="15" t="s">
        <v>4</v>
      </c>
      <c r="H312" s="15" t="s">
        <v>5</v>
      </c>
      <c r="I312" s="15" t="s">
        <v>29</v>
      </c>
      <c r="J312" s="15" t="s">
        <v>30</v>
      </c>
      <c r="K312" s="10" t="s">
        <v>7</v>
      </c>
    </row>
    <row r="313" ht="13.5" customHeight="1">
      <c r="A313" s="10" t="s">
        <v>31</v>
      </c>
      <c r="B313" s="19">
        <v>1.2</v>
      </c>
      <c r="C313" s="10" t="s">
        <v>33</v>
      </c>
      <c r="D313" s="21">
        <f t="shared" ref="D313:J313" si="65">D4+D14+D23+D32+D41+D50+D60+D70+D80+D90+D99+D109+D118+D127+D136+D145+D154+D163+D172+D181+D190+D200+D210+D220+D230+D240+D250+D260+D270+D284</f>
        <v>13850</v>
      </c>
      <c r="E313" s="21">
        <f t="shared" si="65"/>
        <v>0</v>
      </c>
      <c r="F313" s="21">
        <f t="shared" si="65"/>
        <v>23900</v>
      </c>
      <c r="G313" s="21">
        <f t="shared" si="65"/>
        <v>0</v>
      </c>
      <c r="H313" s="21">
        <f t="shared" si="65"/>
        <v>24320</v>
      </c>
      <c r="I313" s="21">
        <f t="shared" si="65"/>
        <v>870</v>
      </c>
      <c r="J313" s="21">
        <f t="shared" si="65"/>
        <v>3810</v>
      </c>
      <c r="K313" s="10">
        <f t="shared" ref="K313:K318" si="67">SUM(D313:J313)</f>
        <v>66750</v>
      </c>
    </row>
    <row r="314" ht="13.5" customHeight="1">
      <c r="A314" s="10" t="s">
        <v>34</v>
      </c>
      <c r="B314" s="27"/>
      <c r="C314" s="10"/>
      <c r="D314" s="21">
        <f t="shared" ref="D314:J314" si="66">D5+D15+D24+D33+D42+D51+D61+D71+D81+D91+D100+D110+D119+D128+D137+D146+D155+D164+D173+D182+D191+D201+D211+D221+D231+D241+D251+D261+D271+D285</f>
        <v>14240</v>
      </c>
      <c r="E314" s="21">
        <f t="shared" si="66"/>
        <v>0</v>
      </c>
      <c r="F314" s="21">
        <f t="shared" si="66"/>
        <v>25260</v>
      </c>
      <c r="G314" s="21">
        <f t="shared" si="66"/>
        <v>0</v>
      </c>
      <c r="H314" s="21">
        <f t="shared" si="66"/>
        <v>39490</v>
      </c>
      <c r="I314" s="21">
        <f t="shared" si="66"/>
        <v>950</v>
      </c>
      <c r="J314" s="21">
        <f t="shared" si="66"/>
        <v>4220</v>
      </c>
      <c r="K314" s="10">
        <f t="shared" si="67"/>
        <v>84160</v>
      </c>
    </row>
    <row r="315" ht="13.5" customHeight="1">
      <c r="A315" s="10" t="s">
        <v>35</v>
      </c>
      <c r="B315" s="67">
        <v>2.0</v>
      </c>
      <c r="C315" s="15" t="s">
        <v>36</v>
      </c>
      <c r="D315" s="21">
        <f t="shared" ref="D315:J315" si="68">D6+D16+D25+D34+D43+D52+D62+D72+D82+D92+D101+D111+D120+D129+D138+D147+D156+D165+D174+D183+D192+D202+D212+D222+D232+D242+D252+D262+D272+D286</f>
        <v>0</v>
      </c>
      <c r="E315" s="21">
        <f t="shared" si="68"/>
        <v>0</v>
      </c>
      <c r="F315" s="21">
        <f t="shared" si="68"/>
        <v>0</v>
      </c>
      <c r="G315" s="21">
        <f t="shared" si="68"/>
        <v>0</v>
      </c>
      <c r="H315" s="21">
        <f t="shared" si="68"/>
        <v>0</v>
      </c>
      <c r="I315" s="21">
        <f t="shared" si="68"/>
        <v>0</v>
      </c>
      <c r="J315" s="21">
        <f t="shared" si="68"/>
        <v>0</v>
      </c>
      <c r="K315" s="10">
        <f t="shared" si="67"/>
        <v>0</v>
      </c>
    </row>
    <row r="316" ht="13.5" customHeight="1">
      <c r="A316" s="10" t="s">
        <v>37</v>
      </c>
      <c r="B316" s="67"/>
      <c r="C316" s="15"/>
      <c r="D316" s="21">
        <f t="shared" ref="D316:J316" si="69">D7+D17+D26+D35+D44+D53+D63+D73+D83+D93+D102+D112+D121+D130+D139+D148+D157+D166+D175+D184+D193+D203+D213+D223+D233+D243+D253+D263+D273+D287</f>
        <v>0</v>
      </c>
      <c r="E316" s="21">
        <f t="shared" si="69"/>
        <v>0</v>
      </c>
      <c r="F316" s="21">
        <f t="shared" si="69"/>
        <v>0</v>
      </c>
      <c r="G316" s="21">
        <f t="shared" si="69"/>
        <v>0</v>
      </c>
      <c r="H316" s="21">
        <f t="shared" si="69"/>
        <v>0</v>
      </c>
      <c r="I316" s="21">
        <f t="shared" si="69"/>
        <v>0</v>
      </c>
      <c r="J316" s="21">
        <f t="shared" si="69"/>
        <v>0</v>
      </c>
      <c r="K316" s="10">
        <f t="shared" si="67"/>
        <v>0</v>
      </c>
    </row>
    <row r="317" ht="15.0" customHeight="1">
      <c r="A317" s="10" t="s">
        <v>38</v>
      </c>
      <c r="B317" s="66" t="s">
        <v>39</v>
      </c>
      <c r="C317" s="66" t="s">
        <v>40</v>
      </c>
      <c r="D317" s="21">
        <f t="shared" ref="D317:J317" si="70">D8+D18+D27+D36+D45+D54+D64+D74+D84+D94+D103+D113+D122+D131+D140+D149+D158+D167+D176+D185+D194+D204+D214+D224+D234+D244+D254+D264+D274+D288</f>
        <v>8560</v>
      </c>
      <c r="E317" s="21">
        <f t="shared" si="70"/>
        <v>0</v>
      </c>
      <c r="F317" s="21">
        <f t="shared" si="70"/>
        <v>16440</v>
      </c>
      <c r="G317" s="21">
        <f t="shared" si="70"/>
        <v>0</v>
      </c>
      <c r="H317" s="21">
        <f t="shared" si="70"/>
        <v>151010</v>
      </c>
      <c r="I317" s="21">
        <f t="shared" si="70"/>
        <v>5190</v>
      </c>
      <c r="J317" s="21">
        <f t="shared" si="70"/>
        <v>6130</v>
      </c>
      <c r="K317" s="10">
        <f t="shared" si="67"/>
        <v>187330</v>
      </c>
    </row>
    <row r="318" ht="13.5" customHeight="1">
      <c r="A318" s="10" t="s">
        <v>41</v>
      </c>
      <c r="B318" s="7"/>
      <c r="C318" s="7"/>
      <c r="D318" s="21">
        <f t="shared" ref="D318:J318" si="71">D9+D19+D28+D37+D46+D55+D65+D75+D85+D95+D104+D114+D123+D132+D141+D150+D159+D168+D177+D186+D195+D205+D215+D225+D235+D245+D255+D265+D275+D289</f>
        <v>9250</v>
      </c>
      <c r="E318" s="21">
        <f t="shared" si="71"/>
        <v>0</v>
      </c>
      <c r="F318" s="21">
        <f t="shared" si="71"/>
        <v>19090</v>
      </c>
      <c r="G318" s="21">
        <f t="shared" si="71"/>
        <v>0</v>
      </c>
      <c r="H318" s="21">
        <f t="shared" si="71"/>
        <v>127010</v>
      </c>
      <c r="I318" s="21">
        <f t="shared" si="71"/>
        <v>4760</v>
      </c>
      <c r="J318" s="21">
        <f t="shared" si="71"/>
        <v>5730</v>
      </c>
      <c r="K318" s="10">
        <f t="shared" si="67"/>
        <v>165840</v>
      </c>
    </row>
    <row r="319" ht="13.5" customHeight="1">
      <c r="A319" s="10" t="s">
        <v>7</v>
      </c>
      <c r="B319" s="10"/>
      <c r="C319" s="10"/>
      <c r="D319" s="21">
        <f t="shared" ref="D319:K319" si="72">SUM(D313:D318)</f>
        <v>45900</v>
      </c>
      <c r="E319" s="21">
        <f t="shared" si="72"/>
        <v>0</v>
      </c>
      <c r="F319" s="21">
        <f t="shared" si="72"/>
        <v>84690</v>
      </c>
      <c r="G319" s="21">
        <f t="shared" si="72"/>
        <v>0</v>
      </c>
      <c r="H319" s="21">
        <f t="shared" si="72"/>
        <v>341830</v>
      </c>
      <c r="I319" s="21">
        <f t="shared" si="72"/>
        <v>11770</v>
      </c>
      <c r="J319" s="21">
        <f t="shared" si="72"/>
        <v>19890</v>
      </c>
      <c r="K319" s="21">
        <f t="shared" si="72"/>
        <v>504080</v>
      </c>
    </row>
    <row r="320" ht="13.5" customHeight="1">
      <c r="A320" s="10"/>
      <c r="B320" s="10"/>
      <c r="C320" s="10"/>
      <c r="D320" s="15" t="s">
        <v>2</v>
      </c>
      <c r="E320" s="10" t="s">
        <v>28</v>
      </c>
      <c r="F320" s="16" t="s">
        <v>3</v>
      </c>
      <c r="G320" s="15" t="s">
        <v>4</v>
      </c>
      <c r="H320" s="15" t="s">
        <v>5</v>
      </c>
      <c r="I320" s="15" t="s">
        <v>29</v>
      </c>
      <c r="J320" s="15" t="s">
        <v>30</v>
      </c>
      <c r="K320" s="10" t="s">
        <v>7</v>
      </c>
    </row>
    <row r="321" ht="13.5" customHeight="1">
      <c r="A321" s="10"/>
      <c r="B321" s="66" t="s">
        <v>301</v>
      </c>
      <c r="C321" s="10" t="s">
        <v>33</v>
      </c>
      <c r="D321" s="10">
        <f t="shared" ref="D321:K321" si="73">D313+D314</f>
        <v>28090</v>
      </c>
      <c r="E321" s="10">
        <f t="shared" si="73"/>
        <v>0</v>
      </c>
      <c r="F321" s="10">
        <f t="shared" si="73"/>
        <v>49160</v>
      </c>
      <c r="G321" s="10">
        <f t="shared" si="73"/>
        <v>0</v>
      </c>
      <c r="H321" s="10">
        <f t="shared" si="73"/>
        <v>63810</v>
      </c>
      <c r="I321" s="10">
        <f t="shared" si="73"/>
        <v>1820</v>
      </c>
      <c r="J321" s="10">
        <f t="shared" si="73"/>
        <v>8030</v>
      </c>
      <c r="K321" s="10">
        <f t="shared" si="73"/>
        <v>150910</v>
      </c>
      <c r="L321" s="68"/>
    </row>
    <row r="322" ht="13.5" customHeight="1">
      <c r="A322" s="10" t="s">
        <v>7</v>
      </c>
      <c r="B322" s="7"/>
      <c r="C322" s="10"/>
      <c r="D322" s="10"/>
      <c r="E322" s="10"/>
      <c r="F322" s="10"/>
      <c r="G322" s="10"/>
      <c r="H322" s="10"/>
      <c r="I322" s="10"/>
      <c r="J322" s="10"/>
      <c r="K322" s="10"/>
    </row>
    <row r="323" ht="13.5" customHeight="1">
      <c r="A323" s="10"/>
      <c r="B323" s="67">
        <v>2.0</v>
      </c>
      <c r="C323" s="15" t="s">
        <v>36</v>
      </c>
      <c r="D323" s="10">
        <f t="shared" ref="D323:J323" si="74">D315+D316</f>
        <v>0</v>
      </c>
      <c r="E323" s="10">
        <f t="shared" si="74"/>
        <v>0</v>
      </c>
      <c r="F323" s="10">
        <f t="shared" si="74"/>
        <v>0</v>
      </c>
      <c r="G323" s="10">
        <f t="shared" si="74"/>
        <v>0</v>
      </c>
      <c r="H323" s="10">
        <f t="shared" si="74"/>
        <v>0</v>
      </c>
      <c r="I323" s="10">
        <f t="shared" si="74"/>
        <v>0</v>
      </c>
      <c r="J323" s="10">
        <f t="shared" si="74"/>
        <v>0</v>
      </c>
      <c r="K323" s="10">
        <f>SUM(D323:J323)</f>
        <v>0</v>
      </c>
    </row>
    <row r="324" ht="13.5" customHeight="1">
      <c r="A324" s="10"/>
      <c r="B324" s="67"/>
      <c r="C324" s="15"/>
      <c r="D324" s="10"/>
      <c r="E324" s="10"/>
      <c r="F324" s="10"/>
      <c r="G324" s="10"/>
      <c r="H324" s="10"/>
      <c r="I324" s="10"/>
      <c r="J324" s="10"/>
      <c r="K324" s="10"/>
    </row>
    <row r="325" ht="14.25" customHeight="1">
      <c r="A325" s="10"/>
      <c r="B325" s="66" t="s">
        <v>39</v>
      </c>
      <c r="C325" s="66" t="s">
        <v>40</v>
      </c>
      <c r="D325" s="10">
        <f t="shared" ref="D325:J325" si="75">D317+D318</f>
        <v>17810</v>
      </c>
      <c r="E325" s="10">
        <f t="shared" si="75"/>
        <v>0</v>
      </c>
      <c r="F325" s="10">
        <f t="shared" si="75"/>
        <v>35530</v>
      </c>
      <c r="G325" s="10">
        <f t="shared" si="75"/>
        <v>0</v>
      </c>
      <c r="H325" s="10">
        <f t="shared" si="75"/>
        <v>278020</v>
      </c>
      <c r="I325" s="10">
        <f t="shared" si="75"/>
        <v>9950</v>
      </c>
      <c r="J325" s="10">
        <f t="shared" si="75"/>
        <v>11860</v>
      </c>
      <c r="K325" s="10">
        <f>SUM(D325:J325)</f>
        <v>353170</v>
      </c>
    </row>
    <row r="326" ht="13.5" customHeight="1">
      <c r="A326" s="10"/>
      <c r="B326" s="7"/>
      <c r="C326" s="7"/>
      <c r="D326" s="10"/>
      <c r="E326" s="10"/>
      <c r="F326" s="10"/>
      <c r="G326" s="10"/>
      <c r="H326" s="10"/>
      <c r="I326" s="10"/>
      <c r="J326" s="10"/>
      <c r="K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>
        <f>SUM(K321:K326)</f>
        <v>504080</v>
      </c>
    </row>
    <row r="328" ht="13.5" customHeight="1"/>
    <row r="329" ht="13.5" customHeight="1">
      <c r="D329" s="69"/>
    </row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3">
    <mergeCell ref="B103:B104"/>
    <mergeCell ref="C103:C104"/>
    <mergeCell ref="A107:D107"/>
    <mergeCell ref="B109:B110"/>
    <mergeCell ref="B113:B114"/>
    <mergeCell ref="C113:C114"/>
    <mergeCell ref="A116:D116"/>
    <mergeCell ref="B118:B119"/>
    <mergeCell ref="B122:B123"/>
    <mergeCell ref="C122:C123"/>
    <mergeCell ref="A125:D125"/>
    <mergeCell ref="B127:B128"/>
    <mergeCell ref="C131:C132"/>
    <mergeCell ref="A134:D134"/>
    <mergeCell ref="B131:B132"/>
    <mergeCell ref="B136:B137"/>
    <mergeCell ref="B140:B141"/>
    <mergeCell ref="C140:C141"/>
    <mergeCell ref="A143:D143"/>
    <mergeCell ref="B145:B146"/>
    <mergeCell ref="B149:B150"/>
    <mergeCell ref="C149:C150"/>
    <mergeCell ref="A152:D152"/>
    <mergeCell ref="B154:B155"/>
    <mergeCell ref="B158:B159"/>
    <mergeCell ref="C158:C159"/>
    <mergeCell ref="A161:D161"/>
    <mergeCell ref="B163:B164"/>
    <mergeCell ref="B167:B168"/>
    <mergeCell ref="C167:C168"/>
    <mergeCell ref="A170:D170"/>
    <mergeCell ref="B172:B173"/>
    <mergeCell ref="B176:B177"/>
    <mergeCell ref="C176:C177"/>
    <mergeCell ref="A179:D179"/>
    <mergeCell ref="B185:B186"/>
    <mergeCell ref="C185:C186"/>
    <mergeCell ref="A188:D188"/>
    <mergeCell ref="B190:B191"/>
    <mergeCell ref="B194:B195"/>
    <mergeCell ref="C194:C195"/>
    <mergeCell ref="A198:D198"/>
    <mergeCell ref="B200:B201"/>
    <mergeCell ref="B204:B205"/>
    <mergeCell ref="C204:C205"/>
    <mergeCell ref="A208:D208"/>
    <mergeCell ref="B210:B211"/>
    <mergeCell ref="C214:C215"/>
    <mergeCell ref="A218:D218"/>
    <mergeCell ref="B214:B215"/>
    <mergeCell ref="B220:B221"/>
    <mergeCell ref="B224:B225"/>
    <mergeCell ref="C224:C225"/>
    <mergeCell ref="A228:D228"/>
    <mergeCell ref="B230:B231"/>
    <mergeCell ref="B234:B235"/>
    <mergeCell ref="B254:B255"/>
    <mergeCell ref="C254:C255"/>
    <mergeCell ref="A258:D258"/>
    <mergeCell ref="B260:B261"/>
    <mergeCell ref="C264:C265"/>
    <mergeCell ref="A267:D267"/>
    <mergeCell ref="A268:D268"/>
    <mergeCell ref="C278:C279"/>
    <mergeCell ref="A282:D282"/>
    <mergeCell ref="B264:B265"/>
    <mergeCell ref="B270:B271"/>
    <mergeCell ref="B274:B275"/>
    <mergeCell ref="C274:C275"/>
    <mergeCell ref="B276:B277"/>
    <mergeCell ref="C276:C277"/>
    <mergeCell ref="B278:B279"/>
    <mergeCell ref="B284:B285"/>
    <mergeCell ref="B288:B289"/>
    <mergeCell ref="C288:C289"/>
    <mergeCell ref="B290:B291"/>
    <mergeCell ref="C290:C291"/>
    <mergeCell ref="C292:C293"/>
    <mergeCell ref="A296:D296"/>
    <mergeCell ref="C306:C307"/>
    <mergeCell ref="A311:D311"/>
    <mergeCell ref="B313:B314"/>
    <mergeCell ref="B317:B318"/>
    <mergeCell ref="C317:C318"/>
    <mergeCell ref="B321:B322"/>
    <mergeCell ref="B325:B326"/>
    <mergeCell ref="C325:C326"/>
    <mergeCell ref="B292:B293"/>
    <mergeCell ref="B298:B299"/>
    <mergeCell ref="B302:B303"/>
    <mergeCell ref="C302:C303"/>
    <mergeCell ref="B304:B305"/>
    <mergeCell ref="C304:C305"/>
    <mergeCell ref="B306:B307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8:D88"/>
    <mergeCell ref="B90:B91"/>
    <mergeCell ref="B94:B95"/>
    <mergeCell ref="C94:C95"/>
    <mergeCell ref="A97:D97"/>
    <mergeCell ref="B99:B100"/>
    <mergeCell ref="C234:C235"/>
    <mergeCell ref="A238:D238"/>
    <mergeCell ref="B240:B241"/>
    <mergeCell ref="B244:B245"/>
    <mergeCell ref="C244:C245"/>
    <mergeCell ref="A248:D248"/>
    <mergeCell ref="B250:B251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302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28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>
        <v>1.2</v>
      </c>
      <c r="C4" s="20" t="s">
        <v>33</v>
      </c>
      <c r="D4" s="21">
        <v>490.0</v>
      </c>
      <c r="E4" s="10"/>
      <c r="F4" s="10">
        <v>800.0</v>
      </c>
      <c r="G4" s="22"/>
      <c r="H4" s="21">
        <v>890.0</v>
      </c>
      <c r="I4" s="23"/>
      <c r="J4" s="24">
        <v>180.0</v>
      </c>
      <c r="K4" s="25">
        <f t="shared" ref="K4:K10" si="1">SUM(D4:J4)</f>
        <v>2360</v>
      </c>
    </row>
    <row r="5" ht="15.0" customHeight="1">
      <c r="A5" s="26" t="s">
        <v>34</v>
      </c>
      <c r="B5" s="27"/>
      <c r="C5" s="28"/>
      <c r="D5" s="21">
        <v>530.0</v>
      </c>
      <c r="E5" s="10"/>
      <c r="F5" s="10">
        <v>800.0</v>
      </c>
      <c r="G5" s="22"/>
      <c r="H5" s="21">
        <v>710.0</v>
      </c>
      <c r="I5" s="29"/>
      <c r="J5" s="29">
        <v>130.0</v>
      </c>
      <c r="K5" s="25">
        <f t="shared" si="1"/>
        <v>2170</v>
      </c>
    </row>
    <row r="6" ht="13.5" customHeight="1">
      <c r="A6" s="18" t="s">
        <v>35</v>
      </c>
      <c r="B6" s="30">
        <v>2.0</v>
      </c>
      <c r="C6" s="31" t="s">
        <v>36</v>
      </c>
      <c r="D6" s="21"/>
      <c r="E6" s="10"/>
      <c r="F6" s="10"/>
      <c r="G6" s="32"/>
      <c r="H6" s="21"/>
      <c r="I6" s="22"/>
      <c r="J6" s="22"/>
      <c r="K6" s="25">
        <f t="shared" si="1"/>
        <v>0</v>
      </c>
    </row>
    <row r="7" ht="13.5" customHeight="1">
      <c r="A7" s="26" t="s">
        <v>37</v>
      </c>
      <c r="B7" s="33"/>
      <c r="C7" s="34"/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260.0</v>
      </c>
      <c r="E8" s="10"/>
      <c r="F8" s="10">
        <v>600.0</v>
      </c>
      <c r="G8" s="22"/>
      <c r="H8" s="21">
        <v>4380.0</v>
      </c>
      <c r="I8" s="29"/>
      <c r="J8" s="29">
        <v>210.0</v>
      </c>
      <c r="K8" s="25">
        <f t="shared" si="1"/>
        <v>5450</v>
      </c>
    </row>
    <row r="9" ht="15.0" customHeight="1">
      <c r="A9" s="35" t="s">
        <v>41</v>
      </c>
      <c r="B9" s="27"/>
      <c r="C9" s="27"/>
      <c r="D9" s="21">
        <v>230.0</v>
      </c>
      <c r="E9" s="36"/>
      <c r="F9" s="37">
        <v>500.0</v>
      </c>
      <c r="G9" s="38"/>
      <c r="H9" s="21">
        <v>4790.0</v>
      </c>
      <c r="I9" s="29"/>
      <c r="J9" s="39">
        <v>210.0</v>
      </c>
      <c r="K9" s="25">
        <f t="shared" si="1"/>
        <v>5730</v>
      </c>
    </row>
    <row r="10" ht="13.5" customHeight="1">
      <c r="A10" s="40" t="s">
        <v>7</v>
      </c>
      <c r="B10" s="40"/>
      <c r="C10" s="40"/>
      <c r="D10" s="10">
        <f t="shared" ref="D10:J10" si="2">SUM(D4:D9)</f>
        <v>1510</v>
      </c>
      <c r="E10" s="10">
        <f t="shared" si="2"/>
        <v>0</v>
      </c>
      <c r="F10" s="10">
        <f t="shared" si="2"/>
        <v>2700</v>
      </c>
      <c r="G10" s="10">
        <f t="shared" si="2"/>
        <v>0</v>
      </c>
      <c r="H10" s="10">
        <f t="shared" si="2"/>
        <v>10770</v>
      </c>
      <c r="I10" s="10">
        <f t="shared" si="2"/>
        <v>0</v>
      </c>
      <c r="J10" s="10">
        <f t="shared" si="2"/>
        <v>730</v>
      </c>
      <c r="K10" s="25">
        <f t="shared" si="1"/>
        <v>15710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303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>
        <v>1.2</v>
      </c>
      <c r="C14" s="20" t="s">
        <v>33</v>
      </c>
      <c r="D14" s="21">
        <v>530.0</v>
      </c>
      <c r="E14" s="10"/>
      <c r="F14" s="36">
        <v>850.0</v>
      </c>
      <c r="G14" s="32"/>
      <c r="H14" s="21">
        <v>1040.0</v>
      </c>
      <c r="I14" s="23"/>
      <c r="J14" s="24">
        <v>100.0</v>
      </c>
      <c r="K14" s="25">
        <f t="shared" ref="K14:K20" si="3">SUM(D14:J14)</f>
        <v>2520</v>
      </c>
    </row>
    <row r="15" ht="13.5" customHeight="1">
      <c r="A15" s="26" t="s">
        <v>34</v>
      </c>
      <c r="B15" s="27"/>
      <c r="C15" s="28"/>
      <c r="D15" s="21">
        <v>440.0</v>
      </c>
      <c r="E15" s="10"/>
      <c r="F15" s="36">
        <v>970.0</v>
      </c>
      <c r="G15" s="22"/>
      <c r="H15" s="21">
        <v>980.0</v>
      </c>
      <c r="I15" s="29"/>
      <c r="J15" s="29">
        <v>80.0</v>
      </c>
      <c r="K15" s="25">
        <f t="shared" si="3"/>
        <v>2470</v>
      </c>
    </row>
    <row r="16" ht="13.5" customHeight="1">
      <c r="A16" s="18" t="s">
        <v>35</v>
      </c>
      <c r="B16" s="30">
        <v>2.0</v>
      </c>
      <c r="C16" s="31" t="s">
        <v>36</v>
      </c>
      <c r="D16" s="21"/>
      <c r="E16" s="10"/>
      <c r="F16" s="36"/>
      <c r="G16" s="32"/>
      <c r="H16" s="21"/>
      <c r="I16" s="23"/>
      <c r="J16" s="24"/>
      <c r="K16" s="25">
        <f t="shared" si="3"/>
        <v>0</v>
      </c>
    </row>
    <row r="17" ht="13.5" customHeight="1">
      <c r="A17" s="26" t="s">
        <v>37</v>
      </c>
      <c r="B17" s="33"/>
      <c r="C17" s="34"/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280.0</v>
      </c>
      <c r="E18" s="10"/>
      <c r="F18" s="41">
        <v>700.0</v>
      </c>
      <c r="G18" s="32"/>
      <c r="H18" s="21">
        <v>4210.0</v>
      </c>
      <c r="I18" s="23"/>
      <c r="J18" s="24">
        <v>130.0</v>
      </c>
      <c r="K18" s="25">
        <f t="shared" si="3"/>
        <v>5320</v>
      </c>
    </row>
    <row r="19" ht="13.5" customHeight="1">
      <c r="A19" s="35" t="s">
        <v>41</v>
      </c>
      <c r="B19" s="27"/>
      <c r="C19" s="27"/>
      <c r="D19" s="21">
        <v>280.0</v>
      </c>
      <c r="E19" s="36"/>
      <c r="F19" s="37">
        <v>500.0</v>
      </c>
      <c r="G19" s="38"/>
      <c r="H19" s="21">
        <v>4470.0</v>
      </c>
      <c r="I19" s="29"/>
      <c r="J19" s="39">
        <v>230.0</v>
      </c>
      <c r="K19" s="25">
        <f t="shared" si="3"/>
        <v>5480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1530</v>
      </c>
      <c r="E20" s="10">
        <f t="shared" si="4"/>
        <v>0</v>
      </c>
      <c r="F20" s="10">
        <f t="shared" si="4"/>
        <v>3020</v>
      </c>
      <c r="G20" s="10">
        <f t="shared" si="4"/>
        <v>0</v>
      </c>
      <c r="H20" s="10">
        <f t="shared" si="4"/>
        <v>10700</v>
      </c>
      <c r="I20" s="10">
        <f t="shared" si="4"/>
        <v>0</v>
      </c>
      <c r="J20" s="10">
        <f t="shared" si="4"/>
        <v>540</v>
      </c>
      <c r="K20" s="25">
        <f t="shared" si="3"/>
        <v>15790</v>
      </c>
    </row>
    <row r="21" ht="13.5" customHeight="1">
      <c r="A21" s="13" t="s">
        <v>304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>
        <v>1.2</v>
      </c>
      <c r="C23" s="20" t="s">
        <v>33</v>
      </c>
      <c r="D23" s="21">
        <v>380.0</v>
      </c>
      <c r="E23" s="10"/>
      <c r="F23" s="36">
        <v>800.0</v>
      </c>
      <c r="G23" s="32"/>
      <c r="H23" s="21">
        <v>1000.0</v>
      </c>
      <c r="I23" s="23"/>
      <c r="J23" s="24">
        <v>130.0</v>
      </c>
      <c r="K23" s="25">
        <f t="shared" ref="K23:K29" si="5">SUM(D23:J23)</f>
        <v>2310</v>
      </c>
    </row>
    <row r="24" ht="13.5" customHeight="1">
      <c r="A24" s="26" t="s">
        <v>34</v>
      </c>
      <c r="B24" s="27"/>
      <c r="C24" s="28"/>
      <c r="D24" s="21">
        <v>200.0</v>
      </c>
      <c r="E24" s="36"/>
      <c r="F24" s="37">
        <v>700.0</v>
      </c>
      <c r="G24" s="22"/>
      <c r="H24" s="21">
        <v>1100.0</v>
      </c>
      <c r="I24" s="29"/>
      <c r="J24" s="29">
        <v>100.0</v>
      </c>
      <c r="K24" s="25">
        <f t="shared" si="5"/>
        <v>2100</v>
      </c>
    </row>
    <row r="25" ht="13.5" customHeight="1">
      <c r="A25" s="18" t="s">
        <v>35</v>
      </c>
      <c r="B25" s="30">
        <v>2.0</v>
      </c>
      <c r="C25" s="31" t="s">
        <v>36</v>
      </c>
      <c r="D25" s="21"/>
      <c r="E25" s="10"/>
      <c r="F25" s="41"/>
      <c r="G25" s="32"/>
      <c r="H25" s="21"/>
      <c r="I25" s="23"/>
      <c r="J25" s="24"/>
      <c r="K25" s="25">
        <f t="shared" si="5"/>
        <v>0</v>
      </c>
    </row>
    <row r="26" ht="13.5" customHeight="1">
      <c r="A26" s="26" t="s">
        <v>37</v>
      </c>
      <c r="B26" s="33"/>
      <c r="C26" s="34"/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300.0</v>
      </c>
      <c r="E27" s="10"/>
      <c r="F27" s="41">
        <v>530.0</v>
      </c>
      <c r="G27" s="32"/>
      <c r="H27" s="21">
        <v>4200.0</v>
      </c>
      <c r="I27" s="23"/>
      <c r="J27" s="24">
        <v>250.0</v>
      </c>
      <c r="K27" s="25">
        <f t="shared" si="5"/>
        <v>5280</v>
      </c>
    </row>
    <row r="28" ht="13.5" customHeight="1">
      <c r="A28" s="35" t="s">
        <v>41</v>
      </c>
      <c r="B28" s="27"/>
      <c r="C28" s="27"/>
      <c r="D28" s="21">
        <v>280.0</v>
      </c>
      <c r="E28" s="10"/>
      <c r="F28" s="36">
        <v>330.0</v>
      </c>
      <c r="G28" s="22"/>
      <c r="H28" s="21">
        <v>4550.0</v>
      </c>
      <c r="I28" s="29"/>
      <c r="J28" s="29">
        <v>190.0</v>
      </c>
      <c r="K28" s="25">
        <f t="shared" si="5"/>
        <v>5350</v>
      </c>
    </row>
    <row r="29" ht="13.5" customHeight="1">
      <c r="A29" s="40" t="s">
        <v>7</v>
      </c>
      <c r="B29" s="40"/>
      <c r="C29" s="40">
        <v>547.0</v>
      </c>
      <c r="D29" s="10">
        <f t="shared" ref="D29:J29" si="6">SUM(D23:D28)</f>
        <v>1160</v>
      </c>
      <c r="E29" s="10">
        <f t="shared" si="6"/>
        <v>0</v>
      </c>
      <c r="F29" s="10">
        <f t="shared" si="6"/>
        <v>2360</v>
      </c>
      <c r="G29" s="10">
        <f t="shared" si="6"/>
        <v>0</v>
      </c>
      <c r="H29" s="10">
        <f t="shared" si="6"/>
        <v>10850</v>
      </c>
      <c r="I29" s="10">
        <f t="shared" si="6"/>
        <v>0</v>
      </c>
      <c r="J29" s="10">
        <f t="shared" si="6"/>
        <v>670</v>
      </c>
      <c r="K29" s="25">
        <f t="shared" si="5"/>
        <v>15040</v>
      </c>
    </row>
    <row r="30" ht="13.5" customHeight="1">
      <c r="A30" s="13" t="s">
        <v>305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>
        <v>1.2</v>
      </c>
      <c r="C32" s="20" t="s">
        <v>33</v>
      </c>
      <c r="D32" s="21">
        <v>480.0</v>
      </c>
      <c r="E32" s="10"/>
      <c r="F32" s="36">
        <v>520.0</v>
      </c>
      <c r="G32" s="32"/>
      <c r="H32" s="21">
        <v>650.0</v>
      </c>
      <c r="I32" s="23"/>
      <c r="J32" s="24">
        <v>150.0</v>
      </c>
      <c r="K32" s="25">
        <f t="shared" ref="K32:K37" si="7">SUM(D32:J32)</f>
        <v>1800</v>
      </c>
    </row>
    <row r="33" ht="13.5" customHeight="1">
      <c r="A33" s="26" t="s">
        <v>34</v>
      </c>
      <c r="B33" s="27"/>
      <c r="C33" s="28"/>
      <c r="D33" s="21">
        <v>480.0</v>
      </c>
      <c r="E33" s="10"/>
      <c r="F33" s="36">
        <v>500.0</v>
      </c>
      <c r="G33" s="22"/>
      <c r="H33" s="21">
        <v>780.0</v>
      </c>
      <c r="I33" s="21"/>
      <c r="J33" s="29">
        <v>80.0</v>
      </c>
      <c r="K33" s="25">
        <f t="shared" si="7"/>
        <v>1840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7"/>
        <v>0</v>
      </c>
    </row>
    <row r="35" ht="13.5" customHeight="1">
      <c r="A35" s="26" t="s">
        <v>37</v>
      </c>
      <c r="B35" s="33"/>
      <c r="C35" s="34"/>
      <c r="D35" s="21"/>
      <c r="E35" s="10"/>
      <c r="F35" s="36"/>
      <c r="G35" s="38"/>
      <c r="H35" s="21"/>
      <c r="I35" s="21"/>
      <c r="J35" s="29"/>
      <c r="K35" s="25">
        <f t="shared" si="7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290.0</v>
      </c>
      <c r="E36" s="10"/>
      <c r="F36" s="41">
        <v>320.0</v>
      </c>
      <c r="G36" s="32"/>
      <c r="H36" s="21">
        <v>4446.0</v>
      </c>
      <c r="I36" s="21"/>
      <c r="J36" s="24">
        <v>250.0</v>
      </c>
      <c r="K36" s="25">
        <f t="shared" si="7"/>
        <v>5306</v>
      </c>
    </row>
    <row r="37" ht="13.5" customHeight="1">
      <c r="A37" s="35" t="s">
        <v>41</v>
      </c>
      <c r="B37" s="27"/>
      <c r="C37" s="27"/>
      <c r="D37" s="21">
        <v>180.0</v>
      </c>
      <c r="E37" s="36"/>
      <c r="F37" s="37">
        <v>340.0</v>
      </c>
      <c r="G37" s="22"/>
      <c r="H37" s="21">
        <v>4830.0</v>
      </c>
      <c r="I37" s="29"/>
      <c r="J37" s="39">
        <v>200.0</v>
      </c>
      <c r="K37" s="25">
        <f t="shared" si="7"/>
        <v>5550</v>
      </c>
    </row>
    <row r="38" ht="13.5" customHeight="1">
      <c r="A38" s="40" t="s">
        <v>7</v>
      </c>
      <c r="B38" s="40"/>
      <c r="C38" s="40">
        <v>547.0</v>
      </c>
      <c r="D38" s="10">
        <f t="shared" ref="D38:K38" si="8">SUM(D32:D37)</f>
        <v>1430</v>
      </c>
      <c r="E38" s="10">
        <f t="shared" si="8"/>
        <v>0</v>
      </c>
      <c r="F38" s="10">
        <f t="shared" si="8"/>
        <v>1680</v>
      </c>
      <c r="G38" s="10">
        <f t="shared" si="8"/>
        <v>0</v>
      </c>
      <c r="H38" s="10">
        <f t="shared" si="8"/>
        <v>10706</v>
      </c>
      <c r="I38" s="10">
        <f t="shared" si="8"/>
        <v>0</v>
      </c>
      <c r="J38" s="10">
        <f t="shared" si="8"/>
        <v>680</v>
      </c>
      <c r="K38" s="10">
        <f t="shared" si="8"/>
        <v>14496</v>
      </c>
    </row>
    <row r="39" ht="13.5" customHeight="1">
      <c r="A39" s="42" t="s">
        <v>306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1.2</v>
      </c>
      <c r="C41" s="20" t="s">
        <v>33</v>
      </c>
      <c r="D41" s="21">
        <v>460.0</v>
      </c>
      <c r="E41" s="10"/>
      <c r="F41" s="36">
        <v>750.0</v>
      </c>
      <c r="G41" s="32"/>
      <c r="H41" s="21">
        <v>640.0</v>
      </c>
      <c r="I41" s="21"/>
      <c r="J41" s="24">
        <v>130.0</v>
      </c>
      <c r="K41" s="25">
        <f t="shared" ref="K41:K47" si="9">SUM(D41:J41)</f>
        <v>1980</v>
      </c>
    </row>
    <row r="42" ht="13.5" customHeight="1">
      <c r="A42" s="26" t="s">
        <v>34</v>
      </c>
      <c r="B42" s="27"/>
      <c r="C42" s="28"/>
      <c r="D42" s="21">
        <v>150.0</v>
      </c>
      <c r="E42" s="10"/>
      <c r="F42" s="36">
        <v>720.0</v>
      </c>
      <c r="G42" s="22"/>
      <c r="H42" s="21">
        <v>950.0</v>
      </c>
      <c r="I42" s="21"/>
      <c r="J42" s="29">
        <v>100.0</v>
      </c>
      <c r="K42" s="25">
        <f t="shared" si="9"/>
        <v>1920</v>
      </c>
    </row>
    <row r="43" ht="13.5" customHeight="1">
      <c r="A43" s="18" t="s">
        <v>35</v>
      </c>
      <c r="B43" s="30">
        <v>2.0</v>
      </c>
      <c r="C43" s="31" t="s">
        <v>36</v>
      </c>
      <c r="D43" s="21"/>
      <c r="E43" s="10"/>
      <c r="F43" s="36"/>
      <c r="G43" s="32"/>
      <c r="H43" s="21"/>
      <c r="I43" s="21"/>
      <c r="J43" s="24"/>
      <c r="K43" s="25">
        <f t="shared" si="9"/>
        <v>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9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280.0</v>
      </c>
      <c r="E45" s="10"/>
      <c r="F45" s="41">
        <v>370.0</v>
      </c>
      <c r="G45" s="32"/>
      <c r="H45" s="21">
        <v>4510.0</v>
      </c>
      <c r="I45" s="21"/>
      <c r="J45" s="24">
        <v>240.0</v>
      </c>
      <c r="K45" s="25">
        <f t="shared" si="9"/>
        <v>5400</v>
      </c>
    </row>
    <row r="46" ht="13.5" customHeight="1">
      <c r="A46" s="35" t="s">
        <v>41</v>
      </c>
      <c r="B46" s="27"/>
      <c r="C46" s="27"/>
      <c r="D46" s="21">
        <v>290.0</v>
      </c>
      <c r="E46" s="36"/>
      <c r="F46" s="37">
        <v>400.0</v>
      </c>
      <c r="G46" s="38"/>
      <c r="H46" s="21">
        <v>4590.0</v>
      </c>
      <c r="I46" s="21"/>
      <c r="J46" s="39">
        <v>240.0</v>
      </c>
      <c r="K46" s="25">
        <f t="shared" si="9"/>
        <v>5520</v>
      </c>
    </row>
    <row r="47" ht="13.5" customHeight="1">
      <c r="A47" s="40" t="s">
        <v>7</v>
      </c>
      <c r="B47" s="40"/>
      <c r="C47" s="40">
        <v>547.0</v>
      </c>
      <c r="D47" s="10">
        <f t="shared" ref="D47:J47" si="10">SUM(D41:D46)</f>
        <v>1180</v>
      </c>
      <c r="E47" s="10">
        <f t="shared" si="10"/>
        <v>0</v>
      </c>
      <c r="F47" s="10">
        <f t="shared" si="10"/>
        <v>2240</v>
      </c>
      <c r="G47" s="10">
        <f t="shared" si="10"/>
        <v>0</v>
      </c>
      <c r="H47" s="10">
        <f t="shared" si="10"/>
        <v>10690</v>
      </c>
      <c r="I47" s="10">
        <f t="shared" si="10"/>
        <v>0</v>
      </c>
      <c r="J47" s="10">
        <f t="shared" si="10"/>
        <v>710</v>
      </c>
      <c r="K47" s="25">
        <f t="shared" si="9"/>
        <v>14820</v>
      </c>
    </row>
    <row r="48" ht="13.5" customHeight="1">
      <c r="A48" s="13" t="s">
        <v>307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1.2</v>
      </c>
      <c r="C50" s="20" t="s">
        <v>33</v>
      </c>
      <c r="D50" s="21">
        <v>460.0</v>
      </c>
      <c r="E50" s="10"/>
      <c r="F50" s="36">
        <v>720.0</v>
      </c>
      <c r="G50" s="32"/>
      <c r="H50" s="21">
        <v>710.0</v>
      </c>
      <c r="I50" s="21"/>
      <c r="J50" s="24">
        <v>120.0</v>
      </c>
      <c r="K50" s="25">
        <f t="shared" ref="K50:K56" si="11">SUM(D50:J50)</f>
        <v>2010</v>
      </c>
    </row>
    <row r="51" ht="13.5" customHeight="1">
      <c r="A51" s="26" t="s">
        <v>34</v>
      </c>
      <c r="B51" s="27"/>
      <c r="C51" s="28">
        <v>206.0</v>
      </c>
      <c r="D51" s="21">
        <v>440.0</v>
      </c>
      <c r="E51" s="10"/>
      <c r="F51" s="36">
        <v>800.0</v>
      </c>
      <c r="G51" s="22"/>
      <c r="H51" s="21">
        <v>820.0</v>
      </c>
      <c r="I51" s="21"/>
      <c r="J51" s="29">
        <v>100.0</v>
      </c>
      <c r="K51" s="25">
        <f t="shared" si="11"/>
        <v>2160</v>
      </c>
    </row>
    <row r="52" ht="13.5" customHeight="1">
      <c r="A52" s="18" t="s">
        <v>35</v>
      </c>
      <c r="B52" s="30">
        <v>2.0</v>
      </c>
      <c r="C52" s="31" t="s">
        <v>36</v>
      </c>
      <c r="D52" s="21"/>
      <c r="E52" s="10"/>
      <c r="F52" s="36"/>
      <c r="G52" s="38"/>
      <c r="H52" s="21"/>
      <c r="I52" s="21"/>
      <c r="J52" s="29"/>
      <c r="K52" s="25">
        <f t="shared" si="11"/>
        <v>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1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280.0</v>
      </c>
      <c r="E54" s="10"/>
      <c r="F54" s="41">
        <v>530.0</v>
      </c>
      <c r="G54" s="32"/>
      <c r="H54" s="21">
        <v>4500.0</v>
      </c>
      <c r="I54" s="21"/>
      <c r="J54" s="24">
        <v>190.0</v>
      </c>
      <c r="K54" s="25">
        <f t="shared" si="11"/>
        <v>5500</v>
      </c>
    </row>
    <row r="55" ht="13.5" customHeight="1">
      <c r="A55" s="35" t="s">
        <v>41</v>
      </c>
      <c r="B55" s="27"/>
      <c r="C55" s="27"/>
      <c r="D55" s="21">
        <v>320.0</v>
      </c>
      <c r="E55" s="36"/>
      <c r="F55" s="37">
        <v>400.0</v>
      </c>
      <c r="G55" s="38"/>
      <c r="H55" s="21">
        <v>4510.0</v>
      </c>
      <c r="I55" s="21"/>
      <c r="J55" s="39">
        <v>300.0</v>
      </c>
      <c r="K55" s="25">
        <f t="shared" si="11"/>
        <v>5530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2">SUM(D50:D55)</f>
        <v>1500</v>
      </c>
      <c r="E56" s="10">
        <f t="shared" si="12"/>
        <v>0</v>
      </c>
      <c r="F56" s="10">
        <f t="shared" si="12"/>
        <v>2450</v>
      </c>
      <c r="G56" s="10">
        <f t="shared" si="12"/>
        <v>0</v>
      </c>
      <c r="H56" s="10">
        <f t="shared" si="12"/>
        <v>10540</v>
      </c>
      <c r="I56" s="10">
        <f t="shared" si="12"/>
        <v>0</v>
      </c>
      <c r="J56" s="10">
        <f t="shared" si="12"/>
        <v>710</v>
      </c>
      <c r="K56" s="25">
        <f t="shared" si="11"/>
        <v>15200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308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>
        <v>1.2</v>
      </c>
      <c r="C60" s="20" t="s">
        <v>33</v>
      </c>
      <c r="D60" s="21">
        <v>460.0</v>
      </c>
      <c r="E60" s="10"/>
      <c r="F60" s="36">
        <v>800.0</v>
      </c>
      <c r="G60" s="21"/>
      <c r="H60" s="10">
        <v>780.0</v>
      </c>
      <c r="I60" s="10"/>
      <c r="J60" s="24">
        <v>120.0</v>
      </c>
      <c r="K60" s="25">
        <f t="shared" ref="K60:K66" si="13">SUM(D60:J60)</f>
        <v>2160</v>
      </c>
    </row>
    <row r="61" ht="13.5" customHeight="1">
      <c r="A61" s="26" t="s">
        <v>34</v>
      </c>
      <c r="B61" s="27"/>
      <c r="C61" s="28"/>
      <c r="D61" s="21">
        <v>500.0</v>
      </c>
      <c r="E61" s="10"/>
      <c r="F61" s="36">
        <v>780.0</v>
      </c>
      <c r="G61" s="21"/>
      <c r="H61" s="10">
        <v>740.0</v>
      </c>
      <c r="I61" s="10"/>
      <c r="J61" s="29">
        <v>80.0</v>
      </c>
      <c r="K61" s="25">
        <f t="shared" si="13"/>
        <v>2100</v>
      </c>
    </row>
    <row r="62" ht="13.5" customHeight="1">
      <c r="A62" s="18" t="s">
        <v>35</v>
      </c>
      <c r="B62" s="30">
        <v>2.0</v>
      </c>
      <c r="C62" s="31" t="s">
        <v>36</v>
      </c>
      <c r="D62" s="21"/>
      <c r="E62" s="10"/>
      <c r="F62" s="36"/>
      <c r="G62" s="21"/>
      <c r="H62" s="10"/>
      <c r="I62" s="10"/>
      <c r="J62" s="24"/>
      <c r="K62" s="25">
        <f t="shared" si="13"/>
        <v>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3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290.0</v>
      </c>
      <c r="E64" s="10"/>
      <c r="F64" s="43">
        <v>500.0</v>
      </c>
      <c r="G64" s="21"/>
      <c r="H64" s="10">
        <v>4570.0</v>
      </c>
      <c r="I64" s="10"/>
      <c r="J64" s="24">
        <v>240.0</v>
      </c>
      <c r="K64" s="25">
        <f t="shared" si="13"/>
        <v>5600</v>
      </c>
    </row>
    <row r="65" ht="13.5" customHeight="1">
      <c r="A65" s="35" t="s">
        <v>41</v>
      </c>
      <c r="B65" s="27"/>
      <c r="C65" s="27"/>
      <c r="D65" s="21">
        <v>100.0</v>
      </c>
      <c r="E65" s="36"/>
      <c r="F65" s="36">
        <v>600.0</v>
      </c>
      <c r="G65" s="21"/>
      <c r="H65" s="10">
        <v>4300.0</v>
      </c>
      <c r="I65" s="10"/>
      <c r="J65" s="39">
        <v>200.0</v>
      </c>
      <c r="K65" s="25">
        <f t="shared" si="13"/>
        <v>5200</v>
      </c>
    </row>
    <row r="66" ht="13.5" customHeight="1">
      <c r="A66" s="40" t="s">
        <v>7</v>
      </c>
      <c r="B66" s="40"/>
      <c r="C66" s="40">
        <v>547.0</v>
      </c>
      <c r="D66" s="10">
        <f t="shared" ref="D66:J66" si="14">SUM(D60:D65)</f>
        <v>1350</v>
      </c>
      <c r="E66" s="10">
        <f t="shared" si="14"/>
        <v>0</v>
      </c>
      <c r="F66" s="10">
        <f t="shared" si="14"/>
        <v>2680</v>
      </c>
      <c r="G66" s="10">
        <f t="shared" si="14"/>
        <v>0</v>
      </c>
      <c r="H66" s="10">
        <f t="shared" si="14"/>
        <v>10390</v>
      </c>
      <c r="I66" s="10">
        <f t="shared" si="14"/>
        <v>0</v>
      </c>
      <c r="J66" s="10">
        <f t="shared" si="14"/>
        <v>640</v>
      </c>
      <c r="K66" s="25">
        <f t="shared" si="13"/>
        <v>15060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309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>
        <v>1.13</v>
      </c>
      <c r="C70" s="20" t="s">
        <v>33</v>
      </c>
      <c r="D70" s="21">
        <v>500.0</v>
      </c>
      <c r="E70" s="10"/>
      <c r="F70" s="36">
        <v>700.0</v>
      </c>
      <c r="G70" s="21"/>
      <c r="H70" s="10">
        <v>820.0</v>
      </c>
      <c r="I70" s="10"/>
      <c r="J70" s="24">
        <v>100.0</v>
      </c>
      <c r="K70" s="25">
        <f t="shared" ref="K70:K76" si="15">SUM(D70:J70)</f>
        <v>2120</v>
      </c>
    </row>
    <row r="71" ht="13.5" customHeight="1">
      <c r="A71" s="26" t="s">
        <v>34</v>
      </c>
      <c r="B71" s="27"/>
      <c r="C71" s="28"/>
      <c r="D71" s="21">
        <v>500.0</v>
      </c>
      <c r="E71" s="10"/>
      <c r="F71" s="36">
        <v>740.0</v>
      </c>
      <c r="G71" s="21"/>
      <c r="H71" s="10">
        <v>390.0</v>
      </c>
      <c r="I71" s="10"/>
      <c r="J71" s="29">
        <v>130.0</v>
      </c>
      <c r="K71" s="25">
        <f t="shared" si="15"/>
        <v>1760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5"/>
        <v>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5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/>
      <c r="E74" s="10"/>
      <c r="F74" s="10">
        <v>340.0</v>
      </c>
      <c r="G74" s="21"/>
      <c r="H74" s="10">
        <v>4620.0</v>
      </c>
      <c r="I74" s="10"/>
      <c r="J74" s="24">
        <v>240.0</v>
      </c>
      <c r="K74" s="25">
        <f t="shared" si="15"/>
        <v>5200</v>
      </c>
    </row>
    <row r="75" ht="13.5" customHeight="1">
      <c r="A75" s="35" t="s">
        <v>41</v>
      </c>
      <c r="B75" s="27"/>
      <c r="C75" s="27"/>
      <c r="D75" s="21"/>
      <c r="E75" s="36"/>
      <c r="F75" s="36">
        <v>500.0</v>
      </c>
      <c r="G75" s="21"/>
      <c r="H75" s="10">
        <v>4840.0</v>
      </c>
      <c r="I75" s="10"/>
      <c r="J75" s="39">
        <v>200.0</v>
      </c>
      <c r="K75" s="25">
        <f t="shared" si="15"/>
        <v>5540</v>
      </c>
    </row>
    <row r="76" ht="13.5" customHeight="1">
      <c r="A76" s="40" t="s">
        <v>7</v>
      </c>
      <c r="B76" s="40"/>
      <c r="C76" s="40">
        <v>547.0</v>
      </c>
      <c r="D76" s="40">
        <f t="shared" ref="D76:J76" si="16">SUM(D70:D75)</f>
        <v>1000</v>
      </c>
      <c r="E76" s="40">
        <f t="shared" si="16"/>
        <v>0</v>
      </c>
      <c r="F76" s="40">
        <f t="shared" si="16"/>
        <v>2280</v>
      </c>
      <c r="G76" s="40">
        <f t="shared" si="16"/>
        <v>0</v>
      </c>
      <c r="H76" s="40">
        <f t="shared" si="16"/>
        <v>10670</v>
      </c>
      <c r="I76" s="40">
        <f t="shared" si="16"/>
        <v>0</v>
      </c>
      <c r="J76" s="40">
        <f t="shared" si="16"/>
        <v>670</v>
      </c>
      <c r="K76" s="25">
        <f t="shared" si="15"/>
        <v>14620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310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>
        <v>1.2</v>
      </c>
      <c r="C80" s="20" t="s">
        <v>33</v>
      </c>
      <c r="D80" s="21">
        <v>100.0</v>
      </c>
      <c r="E80" s="36"/>
      <c r="F80" s="36">
        <v>800.0</v>
      </c>
      <c r="G80" s="22"/>
      <c r="H80" s="21">
        <v>1040.0</v>
      </c>
      <c r="I80" s="21"/>
      <c r="J80" s="29">
        <v>160.0</v>
      </c>
      <c r="K80" s="25">
        <f t="shared" ref="K80:K86" si="17">SUM(D80:J80)</f>
        <v>2100</v>
      </c>
    </row>
    <row r="81" ht="13.5" customHeight="1">
      <c r="A81" s="26" t="s">
        <v>34</v>
      </c>
      <c r="B81" s="27"/>
      <c r="C81" s="28"/>
      <c r="D81" s="21">
        <v>500.0</v>
      </c>
      <c r="E81" s="36"/>
      <c r="F81" s="36">
        <v>720.0</v>
      </c>
      <c r="G81" s="22"/>
      <c r="H81" s="21">
        <v>650.0</v>
      </c>
      <c r="I81" s="21"/>
      <c r="J81" s="29">
        <v>120.0</v>
      </c>
      <c r="K81" s="25">
        <f t="shared" si="17"/>
        <v>1990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7"/>
        <v>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7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380.0</v>
      </c>
      <c r="E84" s="41"/>
      <c r="F84" s="41">
        <v>330.0</v>
      </c>
      <c r="G84" s="32"/>
      <c r="H84" s="21">
        <v>4620.0</v>
      </c>
      <c r="I84" s="21"/>
      <c r="J84" s="24">
        <v>220.0</v>
      </c>
      <c r="K84" s="25">
        <f t="shared" si="17"/>
        <v>5550</v>
      </c>
    </row>
    <row r="85" ht="13.5" customHeight="1">
      <c r="A85" s="35" t="s">
        <v>41</v>
      </c>
      <c r="B85" s="27"/>
      <c r="C85" s="27"/>
      <c r="D85" s="21">
        <v>280.0</v>
      </c>
      <c r="E85" s="36"/>
      <c r="F85" s="37">
        <v>370.0</v>
      </c>
      <c r="G85" s="38"/>
      <c r="H85" s="21">
        <v>4610.0</v>
      </c>
      <c r="I85" s="29"/>
      <c r="J85" s="39">
        <v>240.0</v>
      </c>
      <c r="K85" s="25">
        <f t="shared" si="17"/>
        <v>5500</v>
      </c>
    </row>
    <row r="86" ht="13.5" customHeight="1">
      <c r="A86" s="40" t="s">
        <v>7</v>
      </c>
      <c r="B86" s="40"/>
      <c r="C86" s="40">
        <v>547.0</v>
      </c>
      <c r="D86" s="10">
        <f t="shared" ref="D86:J86" si="18">SUM(D80:D85)</f>
        <v>1260</v>
      </c>
      <c r="E86" s="10">
        <f t="shared" si="18"/>
        <v>0</v>
      </c>
      <c r="F86" s="10">
        <f t="shared" si="18"/>
        <v>2220</v>
      </c>
      <c r="G86" s="10">
        <f t="shared" si="18"/>
        <v>0</v>
      </c>
      <c r="H86" s="10">
        <f t="shared" si="18"/>
        <v>10920</v>
      </c>
      <c r="I86" s="10">
        <f t="shared" si="18"/>
        <v>0</v>
      </c>
      <c r="J86" s="10">
        <f t="shared" si="18"/>
        <v>740</v>
      </c>
      <c r="K86" s="25">
        <f t="shared" si="17"/>
        <v>15140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3" t="s">
        <v>311</v>
      </c>
    </row>
    <row r="89" ht="13.5" customHeight="1">
      <c r="A89" s="14" t="s">
        <v>25</v>
      </c>
      <c r="B89" s="14" t="s">
        <v>1</v>
      </c>
      <c r="C89" s="14" t="s">
        <v>27</v>
      </c>
      <c r="D89" s="15" t="s">
        <v>2</v>
      </c>
      <c r="E89" s="10" t="s">
        <v>28</v>
      </c>
      <c r="F89" s="16" t="s">
        <v>3</v>
      </c>
      <c r="G89" s="15" t="s">
        <v>4</v>
      </c>
      <c r="H89" s="15" t="s">
        <v>5</v>
      </c>
      <c r="I89" s="15" t="s">
        <v>29</v>
      </c>
      <c r="J89" s="14" t="s">
        <v>30</v>
      </c>
      <c r="K89" s="17" t="s">
        <v>7</v>
      </c>
    </row>
    <row r="90" ht="14.25" customHeight="1">
      <c r="A90" s="18" t="s">
        <v>31</v>
      </c>
      <c r="B90" s="19">
        <v>1.2</v>
      </c>
      <c r="C90" s="20" t="s">
        <v>33</v>
      </c>
      <c r="D90" s="21">
        <v>490.0</v>
      </c>
      <c r="E90" s="10"/>
      <c r="F90" s="36">
        <v>800.0</v>
      </c>
      <c r="G90" s="32"/>
      <c r="H90" s="21">
        <v>650.0</v>
      </c>
      <c r="I90" s="21"/>
      <c r="J90" s="24">
        <v>160.0</v>
      </c>
      <c r="K90" s="25">
        <f t="shared" ref="K90:K96" si="19">SUM(D90:J90)</f>
        <v>2100</v>
      </c>
    </row>
    <row r="91" ht="13.5" customHeight="1">
      <c r="A91" s="26" t="s">
        <v>34</v>
      </c>
      <c r="B91" s="27"/>
      <c r="C91" s="28"/>
      <c r="D91" s="21">
        <v>450.0</v>
      </c>
      <c r="E91" s="10"/>
      <c r="F91" s="36">
        <v>770.0</v>
      </c>
      <c r="G91" s="32"/>
      <c r="H91" s="21">
        <v>500.0</v>
      </c>
      <c r="I91" s="21"/>
      <c r="J91" s="29">
        <v>170.0</v>
      </c>
      <c r="K91" s="25">
        <f t="shared" si="19"/>
        <v>1890</v>
      </c>
    </row>
    <row r="92" ht="13.5" customHeight="1">
      <c r="A92" s="18" t="s">
        <v>35</v>
      </c>
      <c r="B92" s="30">
        <v>2.0</v>
      </c>
      <c r="C92" s="31" t="s">
        <v>36</v>
      </c>
      <c r="D92" s="21"/>
      <c r="E92" s="10"/>
      <c r="F92" s="36"/>
      <c r="G92" s="32"/>
      <c r="H92" s="21"/>
      <c r="I92" s="21"/>
      <c r="J92" s="24"/>
      <c r="K92" s="25">
        <f t="shared" si="19"/>
        <v>0</v>
      </c>
    </row>
    <row r="93" ht="13.5" customHeight="1">
      <c r="A93" s="26" t="s">
        <v>37</v>
      </c>
      <c r="B93" s="33"/>
      <c r="C93" s="34">
        <v>91.0</v>
      </c>
      <c r="D93" s="21"/>
      <c r="E93" s="10"/>
      <c r="F93" s="36"/>
      <c r="G93" s="32"/>
      <c r="H93" s="21"/>
      <c r="I93" s="21"/>
      <c r="J93" s="29"/>
      <c r="K93" s="25">
        <f t="shared" si="19"/>
        <v>0</v>
      </c>
    </row>
    <row r="94" ht="15.0" customHeight="1">
      <c r="A94" s="18" t="s">
        <v>38</v>
      </c>
      <c r="B94" s="19" t="s">
        <v>39</v>
      </c>
      <c r="C94" s="19" t="s">
        <v>40</v>
      </c>
      <c r="D94" s="21">
        <v>280.0</v>
      </c>
      <c r="E94" s="36"/>
      <c r="F94" s="41">
        <v>400.0</v>
      </c>
      <c r="G94" s="32"/>
      <c r="H94" s="21">
        <v>4720.0</v>
      </c>
      <c r="I94" s="21"/>
      <c r="J94" s="24">
        <v>240.0</v>
      </c>
      <c r="K94" s="25">
        <f t="shared" si="19"/>
        <v>5640</v>
      </c>
    </row>
    <row r="95" ht="13.5" customHeight="1">
      <c r="A95" s="35" t="s">
        <v>41</v>
      </c>
      <c r="B95" s="27"/>
      <c r="C95" s="27"/>
      <c r="D95" s="21">
        <v>300.0</v>
      </c>
      <c r="E95" s="36"/>
      <c r="F95" s="37">
        <v>350.0</v>
      </c>
      <c r="G95" s="38"/>
      <c r="H95" s="21">
        <v>4880.0</v>
      </c>
      <c r="I95" s="21"/>
      <c r="J95" s="39">
        <v>300.0</v>
      </c>
      <c r="K95" s="25">
        <f t="shared" si="19"/>
        <v>5830</v>
      </c>
    </row>
    <row r="96" ht="13.5" customHeight="1">
      <c r="A96" s="40" t="s">
        <v>7</v>
      </c>
      <c r="B96" s="40"/>
      <c r="C96" s="40">
        <v>563.0</v>
      </c>
      <c r="D96" s="10">
        <f t="shared" ref="D96:J96" si="20">SUM(D90:D95)</f>
        <v>1520</v>
      </c>
      <c r="E96" s="10">
        <f t="shared" si="20"/>
        <v>0</v>
      </c>
      <c r="F96" s="10">
        <f t="shared" si="20"/>
        <v>2320</v>
      </c>
      <c r="G96" s="10">
        <f t="shared" si="20"/>
        <v>0</v>
      </c>
      <c r="H96" s="10">
        <f t="shared" si="20"/>
        <v>10750</v>
      </c>
      <c r="I96" s="10">
        <f t="shared" si="20"/>
        <v>0</v>
      </c>
      <c r="J96" s="10">
        <f t="shared" si="20"/>
        <v>870</v>
      </c>
      <c r="K96" s="25">
        <f t="shared" si="19"/>
        <v>15460</v>
      </c>
    </row>
    <row r="97" ht="13.5" customHeight="1">
      <c r="A97" s="13" t="s">
        <v>312</v>
      </c>
    </row>
    <row r="98" ht="13.5" customHeight="1">
      <c r="A98" s="14" t="s">
        <v>25</v>
      </c>
      <c r="B98" s="14" t="s">
        <v>1</v>
      </c>
      <c r="C98" s="14" t="s">
        <v>27</v>
      </c>
      <c r="D98" s="15" t="s">
        <v>2</v>
      </c>
      <c r="E98" s="10" t="s">
        <v>28</v>
      </c>
      <c r="F98" s="16" t="s">
        <v>3</v>
      </c>
      <c r="G98" s="15" t="s">
        <v>4</v>
      </c>
      <c r="H98" s="15" t="s">
        <v>5</v>
      </c>
      <c r="I98" s="15" t="s">
        <v>29</v>
      </c>
      <c r="J98" s="14" t="s">
        <v>30</v>
      </c>
      <c r="K98" s="10" t="s">
        <v>7</v>
      </c>
    </row>
    <row r="99" ht="14.25" customHeight="1">
      <c r="A99" s="18" t="s">
        <v>31</v>
      </c>
      <c r="B99" s="19">
        <v>1.2</v>
      </c>
      <c r="C99" s="20" t="s">
        <v>33</v>
      </c>
      <c r="D99" s="21">
        <v>500.0</v>
      </c>
      <c r="E99" s="10"/>
      <c r="F99" s="36">
        <v>800.0</v>
      </c>
      <c r="G99" s="32"/>
      <c r="H99" s="21">
        <v>490.0</v>
      </c>
      <c r="I99" s="21"/>
      <c r="J99" s="21">
        <v>160.0</v>
      </c>
      <c r="K99" s="10">
        <f t="shared" ref="K99:K105" si="21">SUM(D99:J99)</f>
        <v>1950</v>
      </c>
    </row>
    <row r="100" ht="13.5" customHeight="1">
      <c r="A100" s="26" t="s">
        <v>34</v>
      </c>
      <c r="B100" s="27"/>
      <c r="C100" s="28"/>
      <c r="D100" s="21">
        <v>530.0</v>
      </c>
      <c r="E100" s="10"/>
      <c r="F100" s="36">
        <v>800.0</v>
      </c>
      <c r="G100" s="32"/>
      <c r="H100" s="21">
        <v>530.0</v>
      </c>
      <c r="I100" s="21"/>
      <c r="J100" s="21">
        <v>100.0</v>
      </c>
      <c r="K100" s="10">
        <f t="shared" si="21"/>
        <v>1960</v>
      </c>
    </row>
    <row r="101" ht="13.5" customHeight="1">
      <c r="A101" s="18" t="s">
        <v>35</v>
      </c>
      <c r="B101" s="30">
        <v>2.0</v>
      </c>
      <c r="C101" s="31" t="s">
        <v>36</v>
      </c>
      <c r="D101" s="21"/>
      <c r="E101" s="10"/>
      <c r="F101" s="36"/>
      <c r="G101" s="32"/>
      <c r="H101" s="21"/>
      <c r="I101" s="21"/>
      <c r="J101" s="21"/>
      <c r="K101" s="10">
        <f t="shared" si="21"/>
        <v>0</v>
      </c>
    </row>
    <row r="102" ht="13.5" customHeight="1">
      <c r="A102" s="26" t="s">
        <v>37</v>
      </c>
      <c r="B102" s="33"/>
      <c r="C102" s="34">
        <v>91.0</v>
      </c>
      <c r="D102" s="21"/>
      <c r="E102" s="10"/>
      <c r="F102" s="36"/>
      <c r="G102" s="32"/>
      <c r="H102" s="21"/>
      <c r="I102" s="21"/>
      <c r="J102" s="21"/>
      <c r="K102" s="10">
        <f t="shared" si="21"/>
        <v>0</v>
      </c>
    </row>
    <row r="103" ht="14.25" customHeight="1">
      <c r="A103" s="18" t="s">
        <v>38</v>
      </c>
      <c r="B103" s="19" t="s">
        <v>39</v>
      </c>
      <c r="C103" s="19" t="s">
        <v>40</v>
      </c>
      <c r="D103" s="21">
        <v>280.0</v>
      </c>
      <c r="E103" s="36"/>
      <c r="F103" s="41">
        <v>350.0</v>
      </c>
      <c r="G103" s="32"/>
      <c r="H103" s="21">
        <v>5100.0</v>
      </c>
      <c r="I103" s="21"/>
      <c r="J103" s="21">
        <v>300.0</v>
      </c>
      <c r="K103" s="10">
        <f t="shared" si="21"/>
        <v>6030</v>
      </c>
    </row>
    <row r="104" ht="13.5" customHeight="1">
      <c r="A104" s="35" t="s">
        <v>41</v>
      </c>
      <c r="B104" s="27"/>
      <c r="C104" s="27"/>
      <c r="D104" s="21">
        <v>280.0</v>
      </c>
      <c r="E104" s="36"/>
      <c r="F104" s="37">
        <v>340.0</v>
      </c>
      <c r="G104" s="38"/>
      <c r="H104" s="21">
        <v>4540.0</v>
      </c>
      <c r="I104" s="21"/>
      <c r="J104" s="21">
        <v>300.0</v>
      </c>
      <c r="K104" s="10">
        <f t="shared" si="21"/>
        <v>5460</v>
      </c>
    </row>
    <row r="105" ht="13.5" customHeight="1">
      <c r="A105" s="40" t="s">
        <v>7</v>
      </c>
      <c r="B105" s="40"/>
      <c r="C105" s="40">
        <v>563.0</v>
      </c>
      <c r="D105" s="10">
        <f t="shared" ref="D105:J105" si="22">SUM(D99:D104)</f>
        <v>1590</v>
      </c>
      <c r="E105" s="10">
        <f t="shared" si="22"/>
        <v>0</v>
      </c>
      <c r="F105" s="10">
        <f t="shared" si="22"/>
        <v>2290</v>
      </c>
      <c r="G105" s="10">
        <f t="shared" si="22"/>
        <v>0</v>
      </c>
      <c r="H105" s="10">
        <f t="shared" si="22"/>
        <v>10660</v>
      </c>
      <c r="I105" s="10">
        <f t="shared" si="22"/>
        <v>0</v>
      </c>
      <c r="J105" s="10">
        <f t="shared" si="22"/>
        <v>860</v>
      </c>
      <c r="K105" s="10">
        <f t="shared" si="21"/>
        <v>15400</v>
      </c>
    </row>
    <row r="106" ht="13.5" customHeight="1">
      <c r="A106" s="14"/>
      <c r="B106" s="14"/>
      <c r="C106" s="14"/>
      <c r="D106" s="14"/>
      <c r="E106" s="14"/>
      <c r="F106" s="14"/>
      <c r="G106" s="15"/>
      <c r="H106" s="15"/>
      <c r="I106" s="15"/>
      <c r="J106" s="10"/>
      <c r="K106" s="10"/>
    </row>
    <row r="107" ht="13.5" customHeight="1">
      <c r="A107" s="45" t="s">
        <v>313</v>
      </c>
    </row>
    <row r="108" ht="13.5" customHeight="1">
      <c r="A108" s="14" t="s">
        <v>25</v>
      </c>
      <c r="B108" s="14" t="s">
        <v>1</v>
      </c>
      <c r="C108" s="14" t="s">
        <v>27</v>
      </c>
      <c r="D108" s="15" t="s">
        <v>2</v>
      </c>
      <c r="E108" s="10" t="s">
        <v>28</v>
      </c>
      <c r="F108" s="16" t="s">
        <v>3</v>
      </c>
      <c r="G108" s="15" t="s">
        <v>4</v>
      </c>
      <c r="H108" s="15" t="s">
        <v>5</v>
      </c>
      <c r="I108" s="15" t="s">
        <v>29</v>
      </c>
      <c r="J108" s="14" t="s">
        <v>30</v>
      </c>
      <c r="K108" s="17" t="s">
        <v>7</v>
      </c>
    </row>
    <row r="109" ht="14.25" customHeight="1">
      <c r="A109" s="18" t="s">
        <v>31</v>
      </c>
      <c r="B109" s="19">
        <v>1.2</v>
      </c>
      <c r="C109" s="20" t="s">
        <v>33</v>
      </c>
      <c r="D109" s="21">
        <v>500.0</v>
      </c>
      <c r="E109" s="10"/>
      <c r="F109" s="10">
        <v>800.0</v>
      </c>
      <c r="G109" s="32"/>
      <c r="H109" s="21">
        <v>700.0</v>
      </c>
      <c r="I109" s="21"/>
      <c r="J109" s="21">
        <v>170.0</v>
      </c>
      <c r="K109" s="25">
        <f t="shared" ref="K109:K115" si="23">SUM(D109:J109)</f>
        <v>2170</v>
      </c>
    </row>
    <row r="110" ht="13.5" customHeight="1">
      <c r="A110" s="26" t="s">
        <v>34</v>
      </c>
      <c r="B110" s="27"/>
      <c r="C110" s="28"/>
      <c r="D110" s="21">
        <v>300.0</v>
      </c>
      <c r="E110" s="10"/>
      <c r="F110" s="10">
        <v>500.0</v>
      </c>
      <c r="G110" s="32"/>
      <c r="H110" s="21">
        <v>480.0</v>
      </c>
      <c r="I110" s="21"/>
      <c r="J110" s="21">
        <v>80.0</v>
      </c>
      <c r="K110" s="25">
        <f t="shared" si="23"/>
        <v>1360</v>
      </c>
    </row>
    <row r="111" ht="13.5" customHeight="1">
      <c r="A111" s="18" t="s">
        <v>35</v>
      </c>
      <c r="B111" s="30"/>
      <c r="C111" s="31" t="s">
        <v>36</v>
      </c>
      <c r="D111" s="21"/>
      <c r="E111" s="10"/>
      <c r="F111" s="10"/>
      <c r="G111" s="32"/>
      <c r="H111" s="21"/>
      <c r="I111" s="21"/>
      <c r="J111" s="21"/>
      <c r="K111" s="25">
        <f t="shared" si="23"/>
        <v>0</v>
      </c>
    </row>
    <row r="112" ht="13.5" customHeight="1">
      <c r="A112" s="26" t="s">
        <v>37</v>
      </c>
      <c r="B112" s="33"/>
      <c r="C112" s="34">
        <v>91.0</v>
      </c>
      <c r="D112" s="21"/>
      <c r="E112" s="10"/>
      <c r="F112" s="36"/>
      <c r="G112" s="32"/>
      <c r="H112" s="21"/>
      <c r="I112" s="21"/>
      <c r="J112" s="21"/>
      <c r="K112" s="25">
        <f t="shared" si="23"/>
        <v>0</v>
      </c>
    </row>
    <row r="113" ht="15.0" customHeight="1">
      <c r="A113" s="18" t="s">
        <v>38</v>
      </c>
      <c r="B113" s="19" t="s">
        <v>39</v>
      </c>
      <c r="C113" s="19" t="s">
        <v>40</v>
      </c>
      <c r="D113" s="21">
        <v>280.0</v>
      </c>
      <c r="E113" s="36"/>
      <c r="F113" s="41">
        <v>400.0</v>
      </c>
      <c r="G113" s="32"/>
      <c r="H113" s="21">
        <v>4390.0</v>
      </c>
      <c r="I113" s="21"/>
      <c r="J113" s="21">
        <v>310.0</v>
      </c>
      <c r="K113" s="25">
        <f t="shared" si="23"/>
        <v>5380</v>
      </c>
    </row>
    <row r="114" ht="13.5" customHeight="1">
      <c r="A114" s="35" t="s">
        <v>41</v>
      </c>
      <c r="B114" s="27"/>
      <c r="C114" s="27"/>
      <c r="D114" s="21">
        <v>280.0</v>
      </c>
      <c r="E114" s="36"/>
      <c r="F114" s="41">
        <v>450.0</v>
      </c>
      <c r="G114" s="32"/>
      <c r="H114" s="21">
        <v>4410.0</v>
      </c>
      <c r="I114" s="21"/>
      <c r="J114" s="21">
        <v>280.0</v>
      </c>
      <c r="K114" s="25">
        <f t="shared" si="23"/>
        <v>5420</v>
      </c>
    </row>
    <row r="115" ht="13.5" customHeight="1">
      <c r="A115" s="40" t="s">
        <v>7</v>
      </c>
      <c r="B115" s="40"/>
      <c r="C115" s="40">
        <v>563.0</v>
      </c>
      <c r="D115" s="10">
        <f t="shared" ref="D115:J115" si="24">SUM(D109:D114)</f>
        <v>1360</v>
      </c>
      <c r="E115" s="10">
        <f t="shared" si="24"/>
        <v>0</v>
      </c>
      <c r="F115" s="10">
        <f t="shared" si="24"/>
        <v>2150</v>
      </c>
      <c r="G115" s="10">
        <f t="shared" si="24"/>
        <v>0</v>
      </c>
      <c r="H115" s="10">
        <f t="shared" si="24"/>
        <v>9980</v>
      </c>
      <c r="I115" s="10">
        <f t="shared" si="24"/>
        <v>0</v>
      </c>
      <c r="J115" s="10">
        <f t="shared" si="24"/>
        <v>840</v>
      </c>
      <c r="K115" s="25">
        <f t="shared" si="23"/>
        <v>14330</v>
      </c>
    </row>
    <row r="116" ht="13.5" customHeight="1">
      <c r="A116" s="13" t="s">
        <v>314</v>
      </c>
    </row>
    <row r="117" ht="13.5" customHeight="1">
      <c r="A117" s="14" t="s">
        <v>25</v>
      </c>
      <c r="B117" s="14" t="s">
        <v>1</v>
      </c>
      <c r="C117" s="14" t="s">
        <v>27</v>
      </c>
      <c r="D117" s="15" t="s">
        <v>2</v>
      </c>
      <c r="E117" s="10" t="s">
        <v>28</v>
      </c>
      <c r="F117" s="16" t="s">
        <v>3</v>
      </c>
      <c r="G117" s="15" t="s">
        <v>4</v>
      </c>
      <c r="H117" s="15" t="s">
        <v>5</v>
      </c>
      <c r="I117" s="15" t="s">
        <v>29</v>
      </c>
      <c r="J117" s="14" t="s">
        <v>30</v>
      </c>
      <c r="K117" s="17" t="s">
        <v>7</v>
      </c>
    </row>
    <row r="118" ht="14.25" customHeight="1">
      <c r="A118" s="18" t="s">
        <v>31</v>
      </c>
      <c r="B118" s="19">
        <v>1.2</v>
      </c>
      <c r="C118" s="20" t="s">
        <v>33</v>
      </c>
      <c r="D118" s="21">
        <v>380.0</v>
      </c>
      <c r="E118" s="10"/>
      <c r="F118" s="36">
        <v>450.0</v>
      </c>
      <c r="G118" s="32"/>
      <c r="H118" s="21">
        <v>450.0</v>
      </c>
      <c r="I118" s="21">
        <v>470.0</v>
      </c>
      <c r="J118" s="21">
        <v>120.0</v>
      </c>
      <c r="K118" s="25">
        <f t="shared" ref="K118:K124" si="25">SUM(D118:J118)</f>
        <v>1870</v>
      </c>
    </row>
    <row r="119" ht="13.5" customHeight="1">
      <c r="A119" s="26" t="s">
        <v>34</v>
      </c>
      <c r="B119" s="27"/>
      <c r="C119" s="28">
        <v>130.0</v>
      </c>
      <c r="D119" s="21">
        <v>220.0</v>
      </c>
      <c r="E119" s="10"/>
      <c r="F119" s="36">
        <v>500.0</v>
      </c>
      <c r="G119" s="32"/>
      <c r="H119" s="21"/>
      <c r="I119" s="21"/>
      <c r="J119" s="21"/>
      <c r="K119" s="25">
        <f t="shared" si="25"/>
        <v>720</v>
      </c>
    </row>
    <row r="120" ht="13.5" customHeight="1">
      <c r="A120" s="18" t="s">
        <v>35</v>
      </c>
      <c r="B120" s="30">
        <v>2.0</v>
      </c>
      <c r="C120" s="31" t="s">
        <v>36</v>
      </c>
      <c r="D120" s="21"/>
      <c r="E120" s="10"/>
      <c r="F120" s="36"/>
      <c r="G120" s="32"/>
      <c r="H120" s="21"/>
      <c r="I120" s="21">
        <v>510.0</v>
      </c>
      <c r="J120" s="21">
        <v>120.0</v>
      </c>
      <c r="K120" s="25">
        <f t="shared" si="25"/>
        <v>630</v>
      </c>
    </row>
    <row r="121" ht="13.5" customHeight="1">
      <c r="A121" s="26" t="s">
        <v>37</v>
      </c>
      <c r="B121" s="33"/>
      <c r="C121" s="34">
        <v>91.0</v>
      </c>
      <c r="D121" s="21"/>
      <c r="E121" s="10"/>
      <c r="F121" s="36"/>
      <c r="G121" s="32"/>
      <c r="H121" s="21"/>
      <c r="I121" s="21"/>
      <c r="J121" s="21"/>
      <c r="K121" s="25">
        <f t="shared" si="25"/>
        <v>0</v>
      </c>
    </row>
    <row r="122" ht="15.0" customHeight="1">
      <c r="A122" s="18" t="s">
        <v>38</v>
      </c>
      <c r="B122" s="19" t="s">
        <v>39</v>
      </c>
      <c r="C122" s="19" t="s">
        <v>40</v>
      </c>
      <c r="D122" s="21">
        <v>410.0</v>
      </c>
      <c r="E122" s="36"/>
      <c r="F122" s="41">
        <v>530.0</v>
      </c>
      <c r="G122" s="44"/>
      <c r="H122" s="44">
        <v>3480.0</v>
      </c>
      <c r="I122" s="23">
        <v>2600.0</v>
      </c>
      <c r="J122" s="23">
        <v>270.0</v>
      </c>
      <c r="K122" s="25">
        <f t="shared" si="25"/>
        <v>7290</v>
      </c>
    </row>
    <row r="123" ht="13.5" customHeight="1">
      <c r="A123" s="35" t="s">
        <v>41</v>
      </c>
      <c r="B123" s="27"/>
      <c r="C123" s="27"/>
      <c r="D123" s="21">
        <v>430.0</v>
      </c>
      <c r="E123" s="36"/>
      <c r="F123" s="37">
        <v>550.0</v>
      </c>
      <c r="G123" s="38"/>
      <c r="H123" s="21"/>
      <c r="I123" s="29">
        <v>5250.0</v>
      </c>
      <c r="J123" s="39">
        <v>270.0</v>
      </c>
      <c r="K123" s="25">
        <f t="shared" si="25"/>
        <v>6500</v>
      </c>
    </row>
    <row r="124" ht="13.5" customHeight="1">
      <c r="A124" s="40" t="s">
        <v>7</v>
      </c>
      <c r="B124" s="40"/>
      <c r="C124" s="40">
        <v>563.0</v>
      </c>
      <c r="D124" s="10">
        <f t="shared" ref="D124:J124" si="26">SUM(D118:D123)</f>
        <v>1440</v>
      </c>
      <c r="E124" s="10">
        <f t="shared" si="26"/>
        <v>0</v>
      </c>
      <c r="F124" s="10">
        <f t="shared" si="26"/>
        <v>2030</v>
      </c>
      <c r="G124" s="10">
        <f t="shared" si="26"/>
        <v>0</v>
      </c>
      <c r="H124" s="10">
        <f t="shared" si="26"/>
        <v>3930</v>
      </c>
      <c r="I124" s="10">
        <f t="shared" si="26"/>
        <v>8830</v>
      </c>
      <c r="J124" s="10">
        <f t="shared" si="26"/>
        <v>780</v>
      </c>
      <c r="K124" s="25">
        <f t="shared" si="25"/>
        <v>17010</v>
      </c>
    </row>
    <row r="125" ht="13.5" customHeight="1">
      <c r="A125" s="13" t="s">
        <v>315</v>
      </c>
    </row>
    <row r="126" ht="13.5" customHeight="1">
      <c r="A126" s="14" t="s">
        <v>25</v>
      </c>
      <c r="B126" s="14" t="s">
        <v>1</v>
      </c>
      <c r="C126" s="14" t="s">
        <v>27</v>
      </c>
      <c r="D126" s="15" t="s">
        <v>2</v>
      </c>
      <c r="E126" s="10" t="s">
        <v>28</v>
      </c>
      <c r="F126" s="16" t="s">
        <v>3</v>
      </c>
      <c r="G126" s="15" t="s">
        <v>4</v>
      </c>
      <c r="H126" s="15" t="s">
        <v>5</v>
      </c>
      <c r="I126" s="15" t="s">
        <v>29</v>
      </c>
      <c r="J126" s="14" t="s">
        <v>30</v>
      </c>
      <c r="K126" s="17" t="s">
        <v>7</v>
      </c>
    </row>
    <row r="127" ht="13.5" customHeight="1">
      <c r="A127" s="18" t="s">
        <v>31</v>
      </c>
      <c r="B127" s="19">
        <v>1.2</v>
      </c>
      <c r="C127" s="20" t="s">
        <v>33</v>
      </c>
      <c r="D127" s="21">
        <v>370.0</v>
      </c>
      <c r="E127" s="36"/>
      <c r="F127" s="36">
        <v>550.0</v>
      </c>
      <c r="G127" s="32">
        <v>60.0</v>
      </c>
      <c r="H127" s="21"/>
      <c r="I127" s="21">
        <v>730.0</v>
      </c>
      <c r="J127" s="21">
        <v>190.0</v>
      </c>
      <c r="K127" s="25">
        <f t="shared" ref="K127:K133" si="27">SUM(D127:J127)</f>
        <v>1900</v>
      </c>
    </row>
    <row r="128" ht="13.5" customHeight="1">
      <c r="A128" s="26" t="s">
        <v>34</v>
      </c>
      <c r="B128" s="27"/>
      <c r="C128" s="28">
        <v>130.0</v>
      </c>
      <c r="D128" s="21">
        <v>310.0</v>
      </c>
      <c r="E128" s="36"/>
      <c r="F128" s="36">
        <v>380.0</v>
      </c>
      <c r="G128" s="32">
        <v>60.0</v>
      </c>
      <c r="H128" s="21">
        <v>490.0</v>
      </c>
      <c r="I128" s="21"/>
      <c r="J128" s="21">
        <v>100.0</v>
      </c>
      <c r="K128" s="25">
        <f t="shared" si="27"/>
        <v>1340</v>
      </c>
    </row>
    <row r="129" ht="13.5" customHeight="1">
      <c r="A129" s="18" t="s">
        <v>35</v>
      </c>
      <c r="B129" s="30">
        <v>2.0</v>
      </c>
      <c r="C129" s="31" t="s">
        <v>36</v>
      </c>
      <c r="D129" s="21"/>
      <c r="E129" s="36"/>
      <c r="F129" s="36"/>
      <c r="G129" s="32"/>
      <c r="H129" s="21"/>
      <c r="I129" s="21"/>
      <c r="J129" s="21"/>
      <c r="K129" s="25">
        <f t="shared" si="27"/>
        <v>0</v>
      </c>
    </row>
    <row r="130" ht="13.5" customHeight="1">
      <c r="A130" s="26" t="s">
        <v>37</v>
      </c>
      <c r="B130" s="33"/>
      <c r="C130" s="34">
        <v>91.0</v>
      </c>
      <c r="D130" s="21"/>
      <c r="E130" s="36"/>
      <c r="F130" s="36"/>
      <c r="G130" s="32"/>
      <c r="H130" s="21"/>
      <c r="I130" s="21"/>
      <c r="J130" s="21"/>
      <c r="K130" s="25">
        <f t="shared" si="27"/>
        <v>0</v>
      </c>
    </row>
    <row r="131" ht="15.0" customHeight="1">
      <c r="A131" s="18" t="s">
        <v>38</v>
      </c>
      <c r="B131" s="19" t="s">
        <v>39</v>
      </c>
      <c r="C131" s="19" t="s">
        <v>40</v>
      </c>
      <c r="D131" s="21">
        <v>410.0</v>
      </c>
      <c r="E131" s="36"/>
      <c r="F131" s="36">
        <v>550.0</v>
      </c>
      <c r="G131" s="21">
        <v>150.0</v>
      </c>
      <c r="H131" s="21"/>
      <c r="I131" s="21">
        <v>5170.0</v>
      </c>
      <c r="J131" s="21">
        <v>260.0</v>
      </c>
      <c r="K131" s="25">
        <f t="shared" si="27"/>
        <v>6540</v>
      </c>
    </row>
    <row r="132" ht="13.5" customHeight="1">
      <c r="A132" s="35" t="s">
        <v>41</v>
      </c>
      <c r="B132" s="27"/>
      <c r="C132" s="27"/>
      <c r="D132" s="21">
        <v>400.0</v>
      </c>
      <c r="E132" s="36"/>
      <c r="F132" s="36">
        <v>530.0</v>
      </c>
      <c r="G132" s="21">
        <v>150.0</v>
      </c>
      <c r="H132" s="21">
        <v>1140.0</v>
      </c>
      <c r="I132" s="21">
        <v>3620.0</v>
      </c>
      <c r="J132" s="21">
        <v>300.0</v>
      </c>
      <c r="K132" s="25">
        <f t="shared" si="27"/>
        <v>6140</v>
      </c>
    </row>
    <row r="133" ht="13.5" customHeight="1">
      <c r="A133" s="40" t="s">
        <v>7</v>
      </c>
      <c r="B133" s="40"/>
      <c r="C133" s="40">
        <v>563.0</v>
      </c>
      <c r="D133" s="10">
        <f t="shared" ref="D133:J133" si="28">SUM(D127:D132)</f>
        <v>1490</v>
      </c>
      <c r="E133" s="10">
        <f t="shared" si="28"/>
        <v>0</v>
      </c>
      <c r="F133" s="10">
        <f t="shared" si="28"/>
        <v>2010</v>
      </c>
      <c r="G133" s="10">
        <f t="shared" si="28"/>
        <v>420</v>
      </c>
      <c r="H133" s="10">
        <f t="shared" si="28"/>
        <v>1630</v>
      </c>
      <c r="I133" s="10">
        <f t="shared" si="28"/>
        <v>9520</v>
      </c>
      <c r="J133" s="10">
        <f t="shared" si="28"/>
        <v>850</v>
      </c>
      <c r="K133" s="25">
        <f t="shared" si="27"/>
        <v>15920</v>
      </c>
    </row>
    <row r="134" ht="13.5" customHeight="1">
      <c r="A134" s="46" t="s">
        <v>316</v>
      </c>
    </row>
    <row r="135" ht="13.5" customHeight="1">
      <c r="A135" s="14" t="s">
        <v>25</v>
      </c>
      <c r="B135" s="14" t="s">
        <v>1</v>
      </c>
      <c r="C135" s="14" t="s">
        <v>27</v>
      </c>
      <c r="D135" s="15" t="s">
        <v>2</v>
      </c>
      <c r="E135" s="10" t="s">
        <v>28</v>
      </c>
      <c r="F135" s="16" t="s">
        <v>3</v>
      </c>
      <c r="G135" s="15" t="s">
        <v>4</v>
      </c>
      <c r="H135" s="15" t="s">
        <v>5</v>
      </c>
      <c r="I135" s="15" t="s">
        <v>29</v>
      </c>
      <c r="J135" s="14" t="s">
        <v>30</v>
      </c>
      <c r="K135" s="17" t="s">
        <v>7</v>
      </c>
    </row>
    <row r="136" ht="13.5" customHeight="1">
      <c r="A136" s="18" t="s">
        <v>31</v>
      </c>
      <c r="B136" s="19">
        <v>1.2</v>
      </c>
      <c r="C136" s="20" t="s">
        <v>33</v>
      </c>
      <c r="D136" s="21">
        <v>100.0</v>
      </c>
      <c r="E136" s="36"/>
      <c r="F136" s="36">
        <v>550.0</v>
      </c>
      <c r="G136" s="32">
        <v>60.0</v>
      </c>
      <c r="H136" s="21">
        <v>820.0</v>
      </c>
      <c r="I136" s="21"/>
      <c r="J136" s="21">
        <v>160.0</v>
      </c>
      <c r="K136" s="25">
        <f>SUM(D136:J136)</f>
        <v>1690</v>
      </c>
    </row>
    <row r="137" ht="13.5" customHeight="1">
      <c r="A137" s="26" t="s">
        <v>34</v>
      </c>
      <c r="B137" s="27"/>
      <c r="C137" s="28">
        <v>130.0</v>
      </c>
      <c r="D137" s="21"/>
      <c r="E137" s="36"/>
      <c r="F137" s="36"/>
      <c r="G137" s="32"/>
      <c r="H137" s="21"/>
      <c r="I137" s="21"/>
      <c r="J137" s="21"/>
      <c r="K137" s="25">
        <v>1200.0</v>
      </c>
    </row>
    <row r="138" ht="13.5" customHeight="1">
      <c r="A138" s="18" t="s">
        <v>35</v>
      </c>
      <c r="B138" s="30">
        <v>2.0</v>
      </c>
      <c r="C138" s="31" t="s">
        <v>36</v>
      </c>
      <c r="D138" s="21"/>
      <c r="E138" s="36"/>
      <c r="F138" s="36"/>
      <c r="G138" s="32"/>
      <c r="H138" s="21"/>
      <c r="I138" s="21"/>
      <c r="J138" s="21"/>
      <c r="K138" s="25">
        <f t="shared" ref="K138:K141" si="29">SUM(D138:J138)</f>
        <v>0</v>
      </c>
    </row>
    <row r="139" ht="13.5" customHeight="1">
      <c r="A139" s="26" t="s">
        <v>37</v>
      </c>
      <c r="B139" s="33"/>
      <c r="C139" s="34">
        <v>91.0</v>
      </c>
      <c r="D139" s="21"/>
      <c r="E139" s="36"/>
      <c r="F139" s="36"/>
      <c r="G139" s="32"/>
      <c r="H139" s="21"/>
      <c r="I139" s="21"/>
      <c r="J139" s="21"/>
      <c r="K139" s="25">
        <f t="shared" si="29"/>
        <v>0</v>
      </c>
    </row>
    <row r="140" ht="15.0" customHeight="1">
      <c r="A140" s="18" t="s">
        <v>38</v>
      </c>
      <c r="B140" s="19" t="s">
        <v>39</v>
      </c>
      <c r="C140" s="19" t="s">
        <v>40</v>
      </c>
      <c r="D140" s="44">
        <v>410.0</v>
      </c>
      <c r="E140" s="41"/>
      <c r="F140" s="41">
        <v>570.0</v>
      </c>
      <c r="G140" s="44">
        <v>150.0</v>
      </c>
      <c r="H140" s="44">
        <v>5110.0</v>
      </c>
      <c r="I140" s="23"/>
      <c r="J140" s="24">
        <v>360.0</v>
      </c>
      <c r="K140" s="25">
        <f t="shared" si="29"/>
        <v>6600</v>
      </c>
      <c r="L140" s="47"/>
      <c r="M140" s="12"/>
    </row>
    <row r="141" ht="13.5" customHeight="1">
      <c r="A141" s="35" t="s">
        <v>41</v>
      </c>
      <c r="B141" s="27"/>
      <c r="C141" s="27"/>
      <c r="D141" s="21">
        <v>70.0</v>
      </c>
      <c r="E141" s="36"/>
      <c r="F141" s="36">
        <v>700.0</v>
      </c>
      <c r="G141" s="21">
        <v>150.0</v>
      </c>
      <c r="H141" s="21">
        <v>4820.0</v>
      </c>
      <c r="I141" s="29"/>
      <c r="J141" s="39">
        <v>260.0</v>
      </c>
      <c r="K141" s="25">
        <f t="shared" si="29"/>
        <v>6000</v>
      </c>
    </row>
    <row r="142" ht="13.5" customHeight="1">
      <c r="A142" s="40" t="s">
        <v>7</v>
      </c>
      <c r="B142" s="40"/>
      <c r="C142" s="40">
        <v>563.0</v>
      </c>
      <c r="D142" s="10">
        <f t="shared" ref="D142:K142" si="30">SUM(D136:D141)</f>
        <v>580</v>
      </c>
      <c r="E142" s="10">
        <f t="shared" si="30"/>
        <v>0</v>
      </c>
      <c r="F142" s="10">
        <f t="shared" si="30"/>
        <v>1820</v>
      </c>
      <c r="G142" s="10">
        <f t="shared" si="30"/>
        <v>360</v>
      </c>
      <c r="H142" s="10">
        <f t="shared" si="30"/>
        <v>10750</v>
      </c>
      <c r="I142" s="10">
        <f t="shared" si="30"/>
        <v>0</v>
      </c>
      <c r="J142" s="10">
        <f t="shared" si="30"/>
        <v>780</v>
      </c>
      <c r="K142" s="25">
        <f t="shared" si="30"/>
        <v>15490</v>
      </c>
    </row>
    <row r="143" ht="13.5" customHeight="1">
      <c r="A143" s="48" t="s">
        <v>317</v>
      </c>
    </row>
    <row r="144" ht="13.5" customHeight="1">
      <c r="A144" s="14" t="s">
        <v>25</v>
      </c>
      <c r="B144" s="14" t="s">
        <v>1</v>
      </c>
      <c r="C144" s="14" t="s">
        <v>27</v>
      </c>
      <c r="D144" s="15" t="s">
        <v>2</v>
      </c>
      <c r="E144" s="10" t="s">
        <v>28</v>
      </c>
      <c r="F144" s="16" t="s">
        <v>3</v>
      </c>
      <c r="G144" s="15" t="s">
        <v>4</v>
      </c>
      <c r="H144" s="15" t="s">
        <v>5</v>
      </c>
      <c r="I144" s="15" t="s">
        <v>29</v>
      </c>
      <c r="J144" s="14" t="s">
        <v>30</v>
      </c>
      <c r="K144" s="17" t="s">
        <v>7</v>
      </c>
    </row>
    <row r="145" ht="15.0" customHeight="1">
      <c r="A145" s="18" t="s">
        <v>31</v>
      </c>
      <c r="B145" s="19">
        <v>1.2</v>
      </c>
      <c r="C145" s="20" t="s">
        <v>33</v>
      </c>
      <c r="D145" s="21">
        <v>370.0</v>
      </c>
      <c r="E145" s="36"/>
      <c r="F145" s="36"/>
      <c r="G145" s="32">
        <v>60.0</v>
      </c>
      <c r="H145" s="21">
        <v>1450.0</v>
      </c>
      <c r="I145" s="23"/>
      <c r="J145" s="24">
        <v>140.0</v>
      </c>
      <c r="K145" s="25">
        <f t="shared" ref="K145:K151" si="31">SUM(D145:J145)</f>
        <v>2020</v>
      </c>
    </row>
    <row r="146" ht="13.5" customHeight="1">
      <c r="A146" s="26" t="s">
        <v>34</v>
      </c>
      <c r="B146" s="27"/>
      <c r="C146" s="28">
        <v>130.0</v>
      </c>
      <c r="D146" s="21">
        <v>320.0</v>
      </c>
      <c r="E146" s="36"/>
      <c r="F146" s="36">
        <v>420.0</v>
      </c>
      <c r="G146" s="32">
        <v>60.0</v>
      </c>
      <c r="H146" s="21">
        <v>930.0</v>
      </c>
      <c r="I146" s="21"/>
      <c r="J146" s="29">
        <v>140.0</v>
      </c>
      <c r="K146" s="25">
        <f t="shared" si="31"/>
        <v>1870</v>
      </c>
    </row>
    <row r="147" ht="13.5" customHeight="1">
      <c r="A147" s="18" t="s">
        <v>35</v>
      </c>
      <c r="B147" s="30">
        <v>2.0</v>
      </c>
      <c r="C147" s="31" t="s">
        <v>36</v>
      </c>
      <c r="D147" s="21"/>
      <c r="E147" s="36"/>
      <c r="F147" s="41"/>
      <c r="G147" s="32"/>
      <c r="H147" s="21"/>
      <c r="I147" s="21"/>
      <c r="J147" s="24"/>
      <c r="K147" s="25">
        <f t="shared" si="31"/>
        <v>0</v>
      </c>
    </row>
    <row r="148" ht="13.5" customHeight="1">
      <c r="A148" s="26" t="s">
        <v>37</v>
      </c>
      <c r="B148" s="33"/>
      <c r="C148" s="34">
        <v>91.0</v>
      </c>
      <c r="D148" s="21"/>
      <c r="E148" s="21"/>
      <c r="F148" s="21"/>
      <c r="G148" s="21"/>
      <c r="H148" s="21"/>
      <c r="I148" s="21"/>
      <c r="J148" s="21"/>
      <c r="K148" s="25">
        <f t="shared" si="31"/>
        <v>0</v>
      </c>
    </row>
    <row r="149" ht="14.25" customHeight="1">
      <c r="A149" s="18" t="s">
        <v>38</v>
      </c>
      <c r="B149" s="19" t="s">
        <v>39</v>
      </c>
      <c r="C149" s="19" t="s">
        <v>40</v>
      </c>
      <c r="D149" s="21"/>
      <c r="E149" s="36"/>
      <c r="F149" s="41"/>
      <c r="G149" s="32">
        <v>150.0</v>
      </c>
      <c r="H149" s="21">
        <v>5120.0</v>
      </c>
      <c r="I149" s="21"/>
      <c r="J149" s="24">
        <v>310.0</v>
      </c>
      <c r="K149" s="25">
        <f t="shared" si="31"/>
        <v>5580</v>
      </c>
      <c r="L149" s="47"/>
      <c r="M149" s="12"/>
    </row>
    <row r="150" ht="13.5" customHeight="1">
      <c r="A150" s="35" t="s">
        <v>41</v>
      </c>
      <c r="B150" s="27"/>
      <c r="C150" s="27"/>
      <c r="D150" s="21">
        <v>420.0</v>
      </c>
      <c r="E150" s="21"/>
      <c r="F150" s="21">
        <v>480.0</v>
      </c>
      <c r="G150" s="21">
        <v>150.0</v>
      </c>
      <c r="H150" s="21">
        <v>4890.0</v>
      </c>
      <c r="I150" s="21"/>
      <c r="J150" s="21">
        <v>300.0</v>
      </c>
      <c r="K150" s="25">
        <f t="shared" si="31"/>
        <v>6240</v>
      </c>
    </row>
    <row r="151" ht="13.5" customHeight="1">
      <c r="A151" s="40" t="s">
        <v>7</v>
      </c>
      <c r="B151" s="40"/>
      <c r="C151" s="40">
        <v>563.0</v>
      </c>
      <c r="D151" s="10">
        <f t="shared" ref="D151:J151" si="32">SUM(D145:D150)</f>
        <v>1110</v>
      </c>
      <c r="E151" s="10">
        <f t="shared" si="32"/>
        <v>0</v>
      </c>
      <c r="F151" s="10">
        <f t="shared" si="32"/>
        <v>900</v>
      </c>
      <c r="G151" s="10">
        <f t="shared" si="32"/>
        <v>420</v>
      </c>
      <c r="H151" s="10">
        <f t="shared" si="32"/>
        <v>12390</v>
      </c>
      <c r="I151" s="10">
        <f t="shared" si="32"/>
        <v>0</v>
      </c>
      <c r="J151" s="10">
        <f t="shared" si="32"/>
        <v>890</v>
      </c>
      <c r="K151" s="25">
        <f t="shared" si="31"/>
        <v>15710</v>
      </c>
    </row>
    <row r="152" ht="13.5" customHeight="1">
      <c r="A152" s="48" t="s">
        <v>318</v>
      </c>
    </row>
    <row r="153" ht="13.5" customHeight="1">
      <c r="A153" s="14" t="s">
        <v>25</v>
      </c>
      <c r="B153" s="14" t="s">
        <v>1</v>
      </c>
      <c r="C153" s="14" t="s">
        <v>27</v>
      </c>
      <c r="D153" s="15" t="s">
        <v>2</v>
      </c>
      <c r="E153" s="10" t="s">
        <v>28</v>
      </c>
      <c r="F153" s="16" t="s">
        <v>3</v>
      </c>
      <c r="G153" s="15" t="s">
        <v>4</v>
      </c>
      <c r="H153" s="15" t="s">
        <v>5</v>
      </c>
      <c r="I153" s="15" t="s">
        <v>29</v>
      </c>
      <c r="J153" s="14" t="s">
        <v>30</v>
      </c>
      <c r="K153" s="17" t="s">
        <v>7</v>
      </c>
      <c r="L153" s="49"/>
      <c r="M153" s="70"/>
    </row>
    <row r="154" ht="13.5" customHeight="1">
      <c r="A154" s="18" t="s">
        <v>31</v>
      </c>
      <c r="B154" s="19">
        <v>1.2</v>
      </c>
      <c r="C154" s="20" t="s">
        <v>33</v>
      </c>
      <c r="D154" s="21">
        <v>370.0</v>
      </c>
      <c r="E154" s="36"/>
      <c r="F154" s="36"/>
      <c r="G154" s="32">
        <v>60.0</v>
      </c>
      <c r="H154" s="21">
        <v>1450.0</v>
      </c>
      <c r="I154" s="21"/>
      <c r="J154" s="21">
        <v>140.0</v>
      </c>
      <c r="K154" s="25">
        <f t="shared" ref="K154:K160" si="33">SUM(D154:J154)</f>
        <v>2020</v>
      </c>
    </row>
    <row r="155" ht="13.5" customHeight="1">
      <c r="A155" s="26" t="s">
        <v>34</v>
      </c>
      <c r="B155" s="27"/>
      <c r="C155" s="28"/>
      <c r="D155" s="21">
        <v>320.0</v>
      </c>
      <c r="E155" s="36"/>
      <c r="F155" s="36">
        <v>420.0</v>
      </c>
      <c r="G155" s="32">
        <v>60.0</v>
      </c>
      <c r="H155" s="21">
        <v>930.0</v>
      </c>
      <c r="I155" s="21"/>
      <c r="J155" s="21">
        <v>140.0</v>
      </c>
      <c r="K155" s="25">
        <f t="shared" si="33"/>
        <v>1870</v>
      </c>
    </row>
    <row r="156" ht="13.5" customHeight="1">
      <c r="A156" s="18" t="s">
        <v>35</v>
      </c>
      <c r="B156" s="30">
        <v>2.0</v>
      </c>
      <c r="C156" s="31" t="s">
        <v>36</v>
      </c>
      <c r="D156" s="21"/>
      <c r="E156" s="36"/>
      <c r="F156" s="36"/>
      <c r="G156" s="32"/>
      <c r="H156" s="21"/>
      <c r="I156" s="21"/>
      <c r="J156" s="21"/>
      <c r="K156" s="25">
        <f t="shared" si="33"/>
        <v>0</v>
      </c>
    </row>
    <row r="157" ht="13.5" customHeight="1">
      <c r="A157" s="26" t="s">
        <v>37</v>
      </c>
      <c r="B157" s="33"/>
      <c r="C157" s="34"/>
      <c r="D157" s="21"/>
      <c r="E157" s="36"/>
      <c r="F157" s="36"/>
      <c r="G157" s="32"/>
      <c r="H157" s="21"/>
      <c r="I157" s="21"/>
      <c r="J157" s="21"/>
      <c r="K157" s="25">
        <f t="shared" si="33"/>
        <v>0</v>
      </c>
    </row>
    <row r="158" ht="14.25" customHeight="1">
      <c r="A158" s="18" t="s">
        <v>38</v>
      </c>
      <c r="B158" s="19" t="s">
        <v>39</v>
      </c>
      <c r="C158" s="19" t="s">
        <v>40</v>
      </c>
      <c r="D158" s="21"/>
      <c r="E158" s="36"/>
      <c r="F158" s="36"/>
      <c r="G158" s="21">
        <v>150.0</v>
      </c>
      <c r="H158" s="21">
        <v>5120.0</v>
      </c>
      <c r="I158" s="21"/>
      <c r="J158" s="21">
        <v>310.0</v>
      </c>
      <c r="K158" s="25">
        <f t="shared" si="33"/>
        <v>5580</v>
      </c>
      <c r="L158" s="47"/>
      <c r="M158" s="12"/>
    </row>
    <row r="159" ht="13.5" customHeight="1">
      <c r="A159" s="35" t="s">
        <v>41</v>
      </c>
      <c r="B159" s="27"/>
      <c r="C159" s="27"/>
      <c r="D159" s="21">
        <v>420.0</v>
      </c>
      <c r="E159" s="21"/>
      <c r="F159" s="21">
        <v>480.0</v>
      </c>
      <c r="G159" s="21">
        <v>150.0</v>
      </c>
      <c r="H159" s="21">
        <v>4890.0</v>
      </c>
      <c r="I159" s="21"/>
      <c r="J159" s="21">
        <v>300.0</v>
      </c>
      <c r="K159" s="25">
        <f t="shared" si="33"/>
        <v>6240</v>
      </c>
    </row>
    <row r="160" ht="13.5" customHeight="1">
      <c r="A160" s="40" t="s">
        <v>7</v>
      </c>
      <c r="B160" s="40"/>
      <c r="C160" s="40"/>
      <c r="D160" s="10">
        <f t="shared" ref="D160:J160" si="34">SUM(D154:D159)</f>
        <v>1110</v>
      </c>
      <c r="E160" s="10">
        <f t="shared" si="34"/>
        <v>0</v>
      </c>
      <c r="F160" s="10">
        <f t="shared" si="34"/>
        <v>900</v>
      </c>
      <c r="G160" s="10">
        <f t="shared" si="34"/>
        <v>420</v>
      </c>
      <c r="H160" s="10">
        <f t="shared" si="34"/>
        <v>12390</v>
      </c>
      <c r="I160" s="10">
        <f t="shared" si="34"/>
        <v>0</v>
      </c>
      <c r="J160" s="10">
        <f t="shared" si="34"/>
        <v>890</v>
      </c>
      <c r="K160" s="25">
        <f t="shared" si="33"/>
        <v>15710</v>
      </c>
    </row>
    <row r="161" ht="13.5" customHeight="1">
      <c r="A161" s="48" t="s">
        <v>318</v>
      </c>
    </row>
    <row r="162" ht="13.5" customHeight="1">
      <c r="A162" s="14" t="s">
        <v>25</v>
      </c>
      <c r="B162" s="14" t="s">
        <v>1</v>
      </c>
      <c r="C162" s="14" t="s">
        <v>27</v>
      </c>
      <c r="D162" s="15" t="s">
        <v>2</v>
      </c>
      <c r="E162" s="10" t="s">
        <v>28</v>
      </c>
      <c r="F162" s="16" t="s">
        <v>3</v>
      </c>
      <c r="G162" s="15" t="s">
        <v>4</v>
      </c>
      <c r="H162" s="15" t="s">
        <v>5</v>
      </c>
      <c r="I162" s="15" t="s">
        <v>29</v>
      </c>
      <c r="J162" s="14" t="s">
        <v>30</v>
      </c>
      <c r="K162" s="17" t="s">
        <v>7</v>
      </c>
    </row>
    <row r="163" ht="13.5" customHeight="1">
      <c r="A163" s="18" t="s">
        <v>31</v>
      </c>
      <c r="B163" s="19">
        <v>1.2</v>
      </c>
      <c r="C163" s="20" t="s">
        <v>33</v>
      </c>
      <c r="D163" s="21">
        <v>320.0</v>
      </c>
      <c r="E163" s="36"/>
      <c r="F163" s="36">
        <v>380.0</v>
      </c>
      <c r="G163" s="32">
        <v>60.0</v>
      </c>
      <c r="H163" s="21">
        <v>860.0</v>
      </c>
      <c r="I163" s="21"/>
      <c r="J163" s="24">
        <v>180.0</v>
      </c>
      <c r="K163" s="25">
        <f t="shared" ref="K163:K169" si="35">SUM(D163:J163)</f>
        <v>1800</v>
      </c>
    </row>
    <row r="164" ht="13.5" customHeight="1">
      <c r="A164" s="26" t="s">
        <v>34</v>
      </c>
      <c r="B164" s="27"/>
      <c r="C164" s="28"/>
      <c r="D164" s="21">
        <v>330.0</v>
      </c>
      <c r="E164" s="36"/>
      <c r="F164" s="36">
        <v>380.0</v>
      </c>
      <c r="G164" s="32">
        <v>60.0</v>
      </c>
      <c r="H164" s="21">
        <v>660.0</v>
      </c>
      <c r="I164" s="21"/>
      <c r="J164" s="29">
        <v>70.0</v>
      </c>
      <c r="K164" s="25">
        <f t="shared" si="35"/>
        <v>1500</v>
      </c>
    </row>
    <row r="165" ht="13.5" customHeight="1">
      <c r="A165" s="18" t="s">
        <v>35</v>
      </c>
      <c r="B165" s="30">
        <v>2.0</v>
      </c>
      <c r="C165" s="31" t="s">
        <v>36</v>
      </c>
      <c r="D165" s="21"/>
      <c r="E165" s="36"/>
      <c r="F165" s="36"/>
      <c r="G165" s="32"/>
      <c r="H165" s="21"/>
      <c r="I165" s="21"/>
      <c r="J165" s="24"/>
      <c r="K165" s="25">
        <f t="shared" si="35"/>
        <v>0</v>
      </c>
    </row>
    <row r="166" ht="13.5" customHeight="1">
      <c r="A166" s="26" t="s">
        <v>37</v>
      </c>
      <c r="B166" s="33"/>
      <c r="C166" s="34"/>
      <c r="D166" s="21"/>
      <c r="E166" s="36"/>
      <c r="F166" s="36"/>
      <c r="G166" s="21"/>
      <c r="H166" s="21"/>
      <c r="I166" s="21"/>
      <c r="J166" s="29"/>
      <c r="K166" s="25">
        <f t="shared" si="35"/>
        <v>0</v>
      </c>
    </row>
    <row r="167" ht="14.25" customHeight="1">
      <c r="A167" s="18" t="s">
        <v>38</v>
      </c>
      <c r="B167" s="19" t="s">
        <v>39</v>
      </c>
      <c r="C167" s="19" t="s">
        <v>40</v>
      </c>
      <c r="D167" s="21">
        <v>430.0</v>
      </c>
      <c r="E167" s="36"/>
      <c r="F167" s="36">
        <v>480.0</v>
      </c>
      <c r="G167" s="21">
        <v>150.0</v>
      </c>
      <c r="H167" s="21">
        <v>4960.0</v>
      </c>
      <c r="I167" s="21"/>
      <c r="J167" s="21">
        <v>300.0</v>
      </c>
      <c r="K167" s="25">
        <f t="shared" si="35"/>
        <v>6320</v>
      </c>
      <c r="L167" s="47"/>
      <c r="M167" s="12"/>
    </row>
    <row r="168" ht="13.5" customHeight="1">
      <c r="A168" s="35" t="s">
        <v>41</v>
      </c>
      <c r="B168" s="27"/>
      <c r="C168" s="27"/>
      <c r="D168" s="21">
        <v>430.0</v>
      </c>
      <c r="E168" s="21"/>
      <c r="F168" s="21">
        <v>450.0</v>
      </c>
      <c r="G168" s="21">
        <v>150.0</v>
      </c>
      <c r="H168" s="21">
        <v>4900.0</v>
      </c>
      <c r="I168" s="21"/>
      <c r="J168" s="21">
        <v>320.0</v>
      </c>
      <c r="K168" s="25">
        <f t="shared" si="35"/>
        <v>6250</v>
      </c>
    </row>
    <row r="169" ht="13.5" customHeight="1">
      <c r="A169" s="40" t="s">
        <v>7</v>
      </c>
      <c r="B169" s="40"/>
      <c r="C169" s="40"/>
      <c r="D169" s="10">
        <f t="shared" ref="D169:J169" si="36">SUM(D163:D168)</f>
        <v>1510</v>
      </c>
      <c r="E169" s="10">
        <f t="shared" si="36"/>
        <v>0</v>
      </c>
      <c r="F169" s="10">
        <f t="shared" si="36"/>
        <v>1690</v>
      </c>
      <c r="G169" s="10">
        <f t="shared" si="36"/>
        <v>420</v>
      </c>
      <c r="H169" s="10">
        <f t="shared" si="36"/>
        <v>11380</v>
      </c>
      <c r="I169" s="10">
        <f t="shared" si="36"/>
        <v>0</v>
      </c>
      <c r="J169" s="10">
        <f t="shared" si="36"/>
        <v>870</v>
      </c>
      <c r="K169" s="25">
        <f t="shared" si="35"/>
        <v>15870</v>
      </c>
    </row>
    <row r="170" ht="13.5" customHeight="1">
      <c r="A170" s="48" t="s">
        <v>319</v>
      </c>
    </row>
    <row r="171" ht="13.5" customHeight="1">
      <c r="A171" s="14"/>
      <c r="B171" s="14" t="s">
        <v>1</v>
      </c>
      <c r="C171" s="14" t="s">
        <v>27</v>
      </c>
      <c r="D171" s="15" t="s">
        <v>2</v>
      </c>
      <c r="E171" s="10" t="s">
        <v>28</v>
      </c>
      <c r="F171" s="16" t="s">
        <v>3</v>
      </c>
      <c r="G171" s="15" t="s">
        <v>4</v>
      </c>
      <c r="H171" s="15" t="s">
        <v>5</v>
      </c>
      <c r="I171" s="15" t="s">
        <v>77</v>
      </c>
      <c r="J171" s="14" t="s">
        <v>30</v>
      </c>
      <c r="K171" s="17" t="s">
        <v>7</v>
      </c>
    </row>
    <row r="172" ht="13.5" customHeight="1">
      <c r="A172" s="18" t="s">
        <v>31</v>
      </c>
      <c r="B172" s="19">
        <v>1.2</v>
      </c>
      <c r="C172" s="20" t="s">
        <v>33</v>
      </c>
      <c r="D172" s="21">
        <v>232.0</v>
      </c>
      <c r="E172" s="36"/>
      <c r="F172" s="36">
        <v>266.0</v>
      </c>
      <c r="G172" s="32"/>
      <c r="H172" s="21">
        <v>574.0</v>
      </c>
      <c r="I172" s="21"/>
      <c r="J172" s="24">
        <v>94.0</v>
      </c>
      <c r="K172" s="25">
        <f t="shared" ref="K172:K178" si="37">SUM(D172:J172)</f>
        <v>1166</v>
      </c>
    </row>
    <row r="173" ht="13.5" customHeight="1">
      <c r="A173" s="26" t="s">
        <v>34</v>
      </c>
      <c r="B173" s="27"/>
      <c r="C173" s="28"/>
      <c r="D173" s="21">
        <v>432.0</v>
      </c>
      <c r="E173" s="36"/>
      <c r="F173" s="36">
        <v>536.0</v>
      </c>
      <c r="G173" s="32"/>
      <c r="H173" s="21">
        <v>1014.0</v>
      </c>
      <c r="I173" s="21"/>
      <c r="J173" s="24">
        <v>156.0</v>
      </c>
      <c r="K173" s="25">
        <f t="shared" si="37"/>
        <v>2138</v>
      </c>
    </row>
    <row r="174" ht="13.5" customHeight="1">
      <c r="A174" s="18" t="s">
        <v>35</v>
      </c>
      <c r="B174" s="30">
        <v>2.0</v>
      </c>
      <c r="C174" s="31" t="s">
        <v>36</v>
      </c>
      <c r="D174" s="21"/>
      <c r="E174" s="36"/>
      <c r="F174" s="41"/>
      <c r="G174" s="32"/>
      <c r="H174" s="21"/>
      <c r="I174" s="21"/>
      <c r="J174" s="24"/>
      <c r="K174" s="25">
        <f t="shared" si="37"/>
        <v>0</v>
      </c>
    </row>
    <row r="175" ht="13.5" customHeight="1">
      <c r="A175" s="26" t="s">
        <v>37</v>
      </c>
      <c r="B175" s="33"/>
      <c r="C175" s="34"/>
      <c r="D175" s="21"/>
      <c r="E175" s="36"/>
      <c r="F175" s="41"/>
      <c r="G175" s="32"/>
      <c r="H175" s="21"/>
      <c r="I175" s="21"/>
      <c r="J175" s="29"/>
      <c r="K175" s="25">
        <f t="shared" si="37"/>
        <v>0</v>
      </c>
    </row>
    <row r="176" ht="14.25" customHeight="1">
      <c r="A176" s="18" t="s">
        <v>38</v>
      </c>
      <c r="B176" s="19" t="s">
        <v>39</v>
      </c>
      <c r="C176" s="19" t="s">
        <v>40</v>
      </c>
      <c r="D176" s="21">
        <v>424.0</v>
      </c>
      <c r="E176" s="36"/>
      <c r="F176" s="36">
        <v>608.0</v>
      </c>
      <c r="G176" s="21"/>
      <c r="H176" s="21">
        <v>4476.0</v>
      </c>
      <c r="I176" s="21"/>
      <c r="J176" s="21">
        <v>302.0</v>
      </c>
      <c r="K176" s="25">
        <f t="shared" si="37"/>
        <v>5810</v>
      </c>
      <c r="L176" s="47"/>
      <c r="M176" s="12"/>
    </row>
    <row r="177" ht="13.5" customHeight="1">
      <c r="A177" s="35" t="s">
        <v>41</v>
      </c>
      <c r="B177" s="27"/>
      <c r="C177" s="27"/>
      <c r="D177" s="21">
        <v>430.0</v>
      </c>
      <c r="E177" s="36"/>
      <c r="F177" s="36">
        <v>612.0</v>
      </c>
      <c r="G177" s="21"/>
      <c r="H177" s="21">
        <v>4504.0</v>
      </c>
      <c r="I177" s="21"/>
      <c r="J177" s="21">
        <v>296.0</v>
      </c>
      <c r="K177" s="25">
        <f t="shared" si="37"/>
        <v>5842</v>
      </c>
    </row>
    <row r="178" ht="13.5" customHeight="1">
      <c r="A178" s="40" t="s">
        <v>7</v>
      </c>
      <c r="B178" s="40"/>
      <c r="C178" s="40"/>
      <c r="D178" s="10">
        <f t="shared" ref="D178:J178" si="38">SUM(D172:D177)</f>
        <v>1518</v>
      </c>
      <c r="E178" s="10">
        <f t="shared" si="38"/>
        <v>0</v>
      </c>
      <c r="F178" s="10">
        <f t="shared" si="38"/>
        <v>2022</v>
      </c>
      <c r="G178" s="10">
        <f t="shared" si="38"/>
        <v>0</v>
      </c>
      <c r="H178" s="10">
        <f t="shared" si="38"/>
        <v>10568</v>
      </c>
      <c r="I178" s="10">
        <f t="shared" si="38"/>
        <v>0</v>
      </c>
      <c r="J178" s="10">
        <f t="shared" si="38"/>
        <v>848</v>
      </c>
      <c r="K178" s="25">
        <f t="shared" si="37"/>
        <v>14956</v>
      </c>
    </row>
    <row r="179" ht="13.5" customHeight="1">
      <c r="A179" s="48" t="s">
        <v>320</v>
      </c>
    </row>
    <row r="180" ht="13.5" customHeight="1">
      <c r="A180" s="14" t="s">
        <v>25</v>
      </c>
      <c r="B180" s="14" t="s">
        <v>1</v>
      </c>
      <c r="C180" s="14" t="s">
        <v>27</v>
      </c>
      <c r="D180" s="15" t="s">
        <v>2</v>
      </c>
      <c r="E180" s="10" t="s">
        <v>28</v>
      </c>
      <c r="F180" s="16" t="s">
        <v>3</v>
      </c>
      <c r="G180" s="15" t="s">
        <v>4</v>
      </c>
      <c r="H180" s="15" t="s">
        <v>5</v>
      </c>
      <c r="I180" s="15" t="s">
        <v>77</v>
      </c>
      <c r="J180" s="14" t="s">
        <v>30</v>
      </c>
      <c r="K180" s="17" t="s">
        <v>7</v>
      </c>
    </row>
    <row r="181" ht="13.5" customHeight="1">
      <c r="A181" s="18" t="s">
        <v>31</v>
      </c>
      <c r="B181" s="43">
        <v>1.2</v>
      </c>
      <c r="C181" s="20" t="s">
        <v>33</v>
      </c>
      <c r="D181" s="21">
        <v>228.0</v>
      </c>
      <c r="E181" s="36"/>
      <c r="F181" s="41">
        <v>272.0</v>
      </c>
      <c r="G181" s="32"/>
      <c r="H181" s="21">
        <v>560.0</v>
      </c>
      <c r="I181" s="21"/>
      <c r="J181" s="24">
        <v>102.0</v>
      </c>
      <c r="K181" s="25">
        <f t="shared" ref="K181:K187" si="39">SUM(D181:J181)</f>
        <v>1162</v>
      </c>
    </row>
    <row r="182" ht="13.5" customHeight="1">
      <c r="A182" s="26" t="s">
        <v>34</v>
      </c>
      <c r="C182" s="28"/>
      <c r="D182" s="21">
        <v>438.0</v>
      </c>
      <c r="E182" s="36"/>
      <c r="F182" s="41">
        <v>542.0</v>
      </c>
      <c r="G182" s="32"/>
      <c r="H182" s="21">
        <v>1042.0</v>
      </c>
      <c r="I182" s="21"/>
      <c r="J182" s="29">
        <v>150.0</v>
      </c>
      <c r="K182" s="25">
        <f t="shared" si="39"/>
        <v>2172</v>
      </c>
    </row>
    <row r="183" ht="13.5" customHeight="1">
      <c r="A183" s="18" t="s">
        <v>35</v>
      </c>
      <c r="B183" s="30">
        <v>2.0</v>
      </c>
      <c r="C183" s="31" t="s">
        <v>36</v>
      </c>
      <c r="D183" s="21"/>
      <c r="E183" s="36"/>
      <c r="F183" s="41"/>
      <c r="G183" s="32"/>
      <c r="H183" s="21"/>
      <c r="I183" s="21"/>
      <c r="J183" s="24"/>
      <c r="K183" s="25">
        <f t="shared" si="39"/>
        <v>0</v>
      </c>
    </row>
    <row r="184" ht="13.5" customHeight="1">
      <c r="A184" s="26" t="s">
        <v>37</v>
      </c>
      <c r="B184" s="33"/>
      <c r="C184" s="34"/>
      <c r="D184" s="21"/>
      <c r="E184" s="36"/>
      <c r="F184" s="41"/>
      <c r="G184" s="32"/>
      <c r="H184" s="21"/>
      <c r="I184" s="21"/>
      <c r="J184" s="29"/>
      <c r="K184" s="25">
        <f t="shared" si="39"/>
        <v>0</v>
      </c>
    </row>
    <row r="185" ht="14.25" customHeight="1">
      <c r="A185" s="18" t="s">
        <v>38</v>
      </c>
      <c r="B185" s="19" t="s">
        <v>39</v>
      </c>
      <c r="C185" s="19" t="s">
        <v>40</v>
      </c>
      <c r="D185" s="21">
        <v>432.0</v>
      </c>
      <c r="E185" s="36"/>
      <c r="F185" s="36">
        <v>614.0</v>
      </c>
      <c r="G185" s="21"/>
      <c r="H185" s="21">
        <v>4014.0</v>
      </c>
      <c r="I185" s="21"/>
      <c r="J185" s="21">
        <v>434.0</v>
      </c>
      <c r="K185" s="25">
        <f t="shared" si="39"/>
        <v>5494</v>
      </c>
      <c r="L185" s="47"/>
      <c r="M185" s="12"/>
    </row>
    <row r="186" ht="13.5" customHeight="1">
      <c r="A186" s="35" t="s">
        <v>41</v>
      </c>
      <c r="B186" s="27"/>
      <c r="C186" s="27"/>
      <c r="D186" s="21">
        <v>426.0</v>
      </c>
      <c r="E186" s="21"/>
      <c r="F186" s="21">
        <v>608.0</v>
      </c>
      <c r="G186" s="21"/>
      <c r="H186" s="21">
        <v>4038.0</v>
      </c>
      <c r="I186" s="21"/>
      <c r="J186" s="21">
        <v>426.0</v>
      </c>
      <c r="K186" s="25">
        <f t="shared" si="39"/>
        <v>5498</v>
      </c>
    </row>
    <row r="187" ht="13.5" customHeight="1">
      <c r="A187" s="40" t="s">
        <v>7</v>
      </c>
      <c r="B187" s="40"/>
      <c r="C187" s="40"/>
      <c r="D187" s="10">
        <f t="shared" ref="D187:J187" si="40">SUM(D181:D186)</f>
        <v>1524</v>
      </c>
      <c r="E187" s="10">
        <f t="shared" si="40"/>
        <v>0</v>
      </c>
      <c r="F187" s="10">
        <f t="shared" si="40"/>
        <v>2036</v>
      </c>
      <c r="G187" s="10">
        <f t="shared" si="40"/>
        <v>0</v>
      </c>
      <c r="H187" s="10">
        <f t="shared" si="40"/>
        <v>9654</v>
      </c>
      <c r="I187" s="10">
        <f t="shared" si="40"/>
        <v>0</v>
      </c>
      <c r="J187" s="10">
        <f t="shared" si="40"/>
        <v>1112</v>
      </c>
      <c r="K187" s="25">
        <f t="shared" si="39"/>
        <v>14326</v>
      </c>
    </row>
    <row r="188" ht="13.5" customHeight="1">
      <c r="A188" s="48" t="s">
        <v>321</v>
      </c>
    </row>
    <row r="189" ht="13.5" customHeight="1">
      <c r="A189" s="14" t="s">
        <v>25</v>
      </c>
      <c r="B189" s="14" t="s">
        <v>1</v>
      </c>
      <c r="C189" s="14" t="s">
        <v>27</v>
      </c>
      <c r="D189" s="15" t="s">
        <v>2</v>
      </c>
      <c r="E189" s="10" t="s">
        <v>28</v>
      </c>
      <c r="F189" s="16" t="s">
        <v>3</v>
      </c>
      <c r="G189" s="15" t="s">
        <v>4</v>
      </c>
      <c r="H189" s="15" t="s">
        <v>5</v>
      </c>
      <c r="I189" s="15" t="s">
        <v>82</v>
      </c>
      <c r="J189" s="14" t="s">
        <v>30</v>
      </c>
      <c r="K189" s="17" t="s">
        <v>7</v>
      </c>
    </row>
    <row r="190" ht="13.5" customHeight="1">
      <c r="A190" s="18" t="s">
        <v>31</v>
      </c>
      <c r="B190" s="19">
        <v>1.2</v>
      </c>
      <c r="C190" s="20" t="s">
        <v>33</v>
      </c>
      <c r="D190" s="21">
        <v>234.0</v>
      </c>
      <c r="E190" s="36"/>
      <c r="F190" s="36">
        <v>272.0</v>
      </c>
      <c r="G190" s="32"/>
      <c r="H190" s="21">
        <v>548.0</v>
      </c>
      <c r="I190" s="21"/>
      <c r="J190" s="50">
        <v>100.0</v>
      </c>
      <c r="K190" s="25">
        <f t="shared" ref="K190:K196" si="41">SUM(D190:J190)</f>
        <v>1154</v>
      </c>
    </row>
    <row r="191" ht="13.5" customHeight="1">
      <c r="A191" s="26" t="s">
        <v>34</v>
      </c>
      <c r="B191" s="27"/>
      <c r="C191" s="28"/>
      <c r="D191" s="21">
        <v>428.0</v>
      </c>
      <c r="E191" s="36"/>
      <c r="F191" s="36">
        <v>534.0</v>
      </c>
      <c r="G191" s="32"/>
      <c r="H191" s="21">
        <v>1002.0</v>
      </c>
      <c r="I191" s="21"/>
      <c r="J191" s="51">
        <v>162.0</v>
      </c>
      <c r="K191" s="25">
        <f t="shared" si="41"/>
        <v>2126</v>
      </c>
    </row>
    <row r="192" ht="13.5" customHeight="1">
      <c r="A192" s="18" t="s">
        <v>35</v>
      </c>
      <c r="B192" s="30">
        <v>2.0</v>
      </c>
      <c r="C192" s="31" t="s">
        <v>36</v>
      </c>
      <c r="D192" s="21"/>
      <c r="E192" s="36"/>
      <c r="F192" s="36"/>
      <c r="G192" s="32"/>
      <c r="H192" s="21"/>
      <c r="I192" s="21"/>
      <c r="J192" s="50"/>
      <c r="K192" s="25">
        <f t="shared" si="41"/>
        <v>0</v>
      </c>
    </row>
    <row r="193" ht="13.5" customHeight="1">
      <c r="A193" s="26" t="s">
        <v>37</v>
      </c>
      <c r="B193" s="33"/>
      <c r="C193" s="34"/>
      <c r="D193" s="10"/>
      <c r="E193" s="10"/>
      <c r="F193" s="10"/>
      <c r="G193" s="32"/>
      <c r="H193" s="10"/>
      <c r="I193" s="10"/>
      <c r="J193" s="52"/>
      <c r="K193" s="25">
        <f t="shared" si="41"/>
        <v>0</v>
      </c>
    </row>
    <row r="194" ht="14.25" customHeight="1">
      <c r="A194" s="18" t="s">
        <v>38</v>
      </c>
      <c r="B194" s="19" t="s">
        <v>39</v>
      </c>
      <c r="C194" s="19" t="s">
        <v>40</v>
      </c>
      <c r="D194" s="21">
        <v>426.0</v>
      </c>
      <c r="E194" s="36"/>
      <c r="F194" s="36">
        <v>600.0</v>
      </c>
      <c r="G194" s="21"/>
      <c r="H194" s="21">
        <v>3994.0</v>
      </c>
      <c r="I194" s="21"/>
      <c r="J194" s="21">
        <v>308.0</v>
      </c>
      <c r="K194" s="25">
        <f t="shared" si="41"/>
        <v>5328</v>
      </c>
      <c r="L194" s="47"/>
      <c r="M194" s="12"/>
    </row>
    <row r="195" ht="13.5" customHeight="1">
      <c r="A195" s="35" t="s">
        <v>41</v>
      </c>
      <c r="B195" s="27"/>
      <c r="C195" s="27"/>
      <c r="D195" s="21">
        <v>430.0</v>
      </c>
      <c r="E195" s="21"/>
      <c r="F195" s="21">
        <v>604.0</v>
      </c>
      <c r="G195" s="21"/>
      <c r="H195" s="21">
        <v>4074.0</v>
      </c>
      <c r="I195" s="21"/>
      <c r="J195" s="21">
        <v>312.0</v>
      </c>
      <c r="K195" s="25">
        <f t="shared" si="41"/>
        <v>5420</v>
      </c>
    </row>
    <row r="196" ht="13.5" customHeight="1">
      <c r="A196" s="40" t="s">
        <v>7</v>
      </c>
      <c r="B196" s="40"/>
      <c r="C196" s="40"/>
      <c r="D196" s="10">
        <f t="shared" ref="D196:J196" si="42">SUM(D190:D195)</f>
        <v>1518</v>
      </c>
      <c r="E196" s="10">
        <f t="shared" si="42"/>
        <v>0</v>
      </c>
      <c r="F196" s="10">
        <f t="shared" si="42"/>
        <v>2010</v>
      </c>
      <c r="G196" s="10">
        <f t="shared" si="42"/>
        <v>0</v>
      </c>
      <c r="H196" s="10">
        <f t="shared" si="42"/>
        <v>9618</v>
      </c>
      <c r="I196" s="10">
        <f t="shared" si="42"/>
        <v>0</v>
      </c>
      <c r="J196" s="10">
        <f t="shared" si="42"/>
        <v>882</v>
      </c>
      <c r="K196" s="25">
        <f t="shared" si="41"/>
        <v>14028</v>
      </c>
    </row>
    <row r="197" ht="13.5" customHeight="1"/>
    <row r="198" ht="13.5" customHeight="1">
      <c r="A198" s="48" t="s">
        <v>322</v>
      </c>
    </row>
    <row r="199" ht="13.5" customHeight="1">
      <c r="A199" s="14" t="s">
        <v>25</v>
      </c>
      <c r="B199" s="14" t="s">
        <v>1</v>
      </c>
      <c r="C199" s="14" t="s">
        <v>27</v>
      </c>
      <c r="D199" s="15" t="s">
        <v>2</v>
      </c>
      <c r="E199" s="10" t="s">
        <v>28</v>
      </c>
      <c r="F199" s="16" t="s">
        <v>3</v>
      </c>
      <c r="G199" s="15" t="s">
        <v>4</v>
      </c>
      <c r="H199" s="15" t="s">
        <v>5</v>
      </c>
      <c r="I199" s="15" t="s">
        <v>29</v>
      </c>
      <c r="J199" s="14" t="s">
        <v>30</v>
      </c>
      <c r="K199" s="17" t="s">
        <v>7</v>
      </c>
    </row>
    <row r="200" ht="13.5" customHeight="1">
      <c r="A200" s="18" t="s">
        <v>31</v>
      </c>
      <c r="B200" s="19">
        <v>1.2</v>
      </c>
      <c r="C200" s="20" t="s">
        <v>33</v>
      </c>
      <c r="D200" s="21">
        <v>240.0</v>
      </c>
      <c r="E200" s="36"/>
      <c r="F200" s="41">
        <v>284.0</v>
      </c>
      <c r="G200" s="32"/>
      <c r="H200" s="21">
        <v>588.0</v>
      </c>
      <c r="I200" s="21"/>
      <c r="J200" s="24">
        <v>104.0</v>
      </c>
      <c r="K200" s="25">
        <f t="shared" ref="K200:K206" si="43">SUM(D200:J200)</f>
        <v>1216</v>
      </c>
    </row>
    <row r="201" ht="13.5" customHeight="1">
      <c r="A201" s="26" t="s">
        <v>34</v>
      </c>
      <c r="B201" s="27"/>
      <c r="C201" s="28"/>
      <c r="D201" s="21">
        <v>434.0</v>
      </c>
      <c r="E201" s="36"/>
      <c r="F201" s="41">
        <v>540.0</v>
      </c>
      <c r="G201" s="32"/>
      <c r="H201" s="21">
        <v>1032.0</v>
      </c>
      <c r="I201" s="21"/>
      <c r="J201" s="29">
        <v>158.0</v>
      </c>
      <c r="K201" s="25">
        <f t="shared" si="43"/>
        <v>2164</v>
      </c>
    </row>
    <row r="202" ht="13.5" customHeight="1">
      <c r="A202" s="18" t="s">
        <v>35</v>
      </c>
      <c r="B202" s="30">
        <v>2.0</v>
      </c>
      <c r="C202" s="31" t="s">
        <v>36</v>
      </c>
      <c r="D202" s="21"/>
      <c r="E202" s="41"/>
      <c r="F202" s="10"/>
      <c r="G202" s="32"/>
      <c r="H202" s="21"/>
      <c r="I202" s="24"/>
      <c r="J202" s="24"/>
      <c r="K202" s="25">
        <f t="shared" si="43"/>
        <v>0</v>
      </c>
    </row>
    <row r="203" ht="13.5" customHeight="1">
      <c r="A203" s="26" t="s">
        <v>37</v>
      </c>
      <c r="B203" s="33"/>
      <c r="C203" s="34"/>
      <c r="D203" s="21"/>
      <c r="E203" s="36"/>
      <c r="F203" s="36"/>
      <c r="G203" s="32"/>
      <c r="H203" s="21"/>
      <c r="I203" s="29"/>
      <c r="J203" s="29"/>
      <c r="K203" s="25">
        <f t="shared" si="43"/>
        <v>0</v>
      </c>
    </row>
    <row r="204" ht="14.25" customHeight="1">
      <c r="A204" s="18" t="s">
        <v>38</v>
      </c>
      <c r="B204" s="19" t="s">
        <v>39</v>
      </c>
      <c r="C204" s="19" t="s">
        <v>40</v>
      </c>
      <c r="D204" s="21">
        <v>424.0</v>
      </c>
      <c r="E204" s="36"/>
      <c r="F204" s="36">
        <v>610.0</v>
      </c>
      <c r="G204" s="21"/>
      <c r="H204" s="21">
        <v>4096.0</v>
      </c>
      <c r="I204" s="21"/>
      <c r="J204" s="24">
        <v>322.0</v>
      </c>
      <c r="K204" s="25">
        <f t="shared" si="43"/>
        <v>5452</v>
      </c>
      <c r="L204" s="47"/>
      <c r="M204" s="12"/>
    </row>
    <row r="205" ht="13.5" customHeight="1">
      <c r="A205" s="35" t="s">
        <v>41</v>
      </c>
      <c r="B205" s="27"/>
      <c r="C205" s="27"/>
      <c r="D205" s="21">
        <v>432.0</v>
      </c>
      <c r="E205" s="36"/>
      <c r="F205" s="36">
        <v>622.0</v>
      </c>
      <c r="G205" s="21"/>
      <c r="H205" s="21">
        <v>4054.0</v>
      </c>
      <c r="I205" s="21"/>
      <c r="J205" s="39">
        <v>330.0</v>
      </c>
      <c r="K205" s="25">
        <f t="shared" si="43"/>
        <v>5438</v>
      </c>
    </row>
    <row r="206" ht="13.5" customHeight="1">
      <c r="A206" s="40" t="s">
        <v>7</v>
      </c>
      <c r="B206" s="40"/>
      <c r="C206" s="40"/>
      <c r="D206" s="10">
        <f t="shared" ref="D206:J206" si="44">SUM(D200:D205)</f>
        <v>1530</v>
      </c>
      <c r="E206" s="10">
        <f t="shared" si="44"/>
        <v>0</v>
      </c>
      <c r="F206" s="10">
        <f t="shared" si="44"/>
        <v>2056</v>
      </c>
      <c r="G206" s="10">
        <f t="shared" si="44"/>
        <v>0</v>
      </c>
      <c r="H206" s="10">
        <f t="shared" si="44"/>
        <v>9770</v>
      </c>
      <c r="I206" s="10">
        <f t="shared" si="44"/>
        <v>0</v>
      </c>
      <c r="J206" s="10">
        <f t="shared" si="44"/>
        <v>914</v>
      </c>
      <c r="K206" s="25">
        <f t="shared" si="43"/>
        <v>14270</v>
      </c>
    </row>
    <row r="207" ht="13.5" customHeight="1"/>
    <row r="208" ht="13.5" customHeight="1">
      <c r="A208" s="48" t="s">
        <v>323</v>
      </c>
    </row>
    <row r="209" ht="13.5" customHeight="1">
      <c r="A209" s="14"/>
      <c r="B209" s="14" t="s">
        <v>1</v>
      </c>
      <c r="C209" s="14" t="s">
        <v>27</v>
      </c>
      <c r="D209" s="15" t="s">
        <v>2</v>
      </c>
      <c r="E209" s="10" t="s">
        <v>28</v>
      </c>
      <c r="F209" s="16" t="s">
        <v>3</v>
      </c>
      <c r="G209" s="15" t="s">
        <v>4</v>
      </c>
      <c r="H209" s="15" t="s">
        <v>5</v>
      </c>
      <c r="I209" s="15" t="s">
        <v>29</v>
      </c>
      <c r="J209" s="14" t="s">
        <v>30</v>
      </c>
      <c r="K209" s="17" t="s">
        <v>7</v>
      </c>
    </row>
    <row r="210" ht="13.5" customHeight="1">
      <c r="A210" s="18" t="s">
        <v>31</v>
      </c>
      <c r="B210" s="19">
        <v>1.2</v>
      </c>
      <c r="C210" s="20" t="s">
        <v>33</v>
      </c>
      <c r="D210" s="21">
        <v>236.0</v>
      </c>
      <c r="E210" s="36"/>
      <c r="F210" s="36">
        <v>274.0</v>
      </c>
      <c r="G210" s="32"/>
      <c r="H210" s="21">
        <v>566.0</v>
      </c>
      <c r="I210" s="23"/>
      <c r="J210" s="24">
        <v>108.0</v>
      </c>
      <c r="K210" s="25">
        <f t="shared" ref="K210:K216" si="45">SUM(D210:J210)</f>
        <v>1184</v>
      </c>
    </row>
    <row r="211" ht="13.5" customHeight="1">
      <c r="A211" s="26" t="s">
        <v>34</v>
      </c>
      <c r="B211" s="27"/>
      <c r="C211" s="28"/>
      <c r="D211" s="21">
        <v>430.0</v>
      </c>
      <c r="E211" s="36"/>
      <c r="F211" s="37">
        <v>544.0</v>
      </c>
      <c r="G211" s="53"/>
      <c r="H211" s="22">
        <v>798.0</v>
      </c>
      <c r="I211" s="29"/>
      <c r="J211" s="29">
        <v>110.0</v>
      </c>
      <c r="K211" s="25">
        <f t="shared" si="45"/>
        <v>1882</v>
      </c>
    </row>
    <row r="212" ht="13.5" customHeight="1">
      <c r="A212" s="18" t="s">
        <v>35</v>
      </c>
      <c r="B212" s="30">
        <v>2.0</v>
      </c>
      <c r="C212" s="31" t="s">
        <v>36</v>
      </c>
      <c r="D212" s="21"/>
      <c r="E212" s="36"/>
      <c r="F212" s="36"/>
      <c r="G212" s="21"/>
      <c r="H212" s="21"/>
      <c r="I212" s="21"/>
      <c r="J212" s="24"/>
      <c r="K212" s="25">
        <f t="shared" si="45"/>
        <v>0</v>
      </c>
    </row>
    <row r="213" ht="13.5" customHeight="1">
      <c r="A213" s="26" t="s">
        <v>37</v>
      </c>
      <c r="B213" s="33"/>
      <c r="C213" s="34"/>
      <c r="D213" s="21"/>
      <c r="E213" s="36"/>
      <c r="F213" s="36"/>
      <c r="G213" s="21"/>
      <c r="H213" s="21"/>
      <c r="I213" s="21"/>
      <c r="J213" s="29"/>
      <c r="K213" s="25">
        <f t="shared" si="45"/>
        <v>0</v>
      </c>
    </row>
    <row r="214" ht="14.25" customHeight="1">
      <c r="A214" s="18" t="s">
        <v>38</v>
      </c>
      <c r="B214" s="19" t="s">
        <v>39</v>
      </c>
      <c r="C214" s="19" t="s">
        <v>40</v>
      </c>
      <c r="D214" s="21">
        <v>432.0</v>
      </c>
      <c r="E214" s="36"/>
      <c r="F214" s="36">
        <v>612.0</v>
      </c>
      <c r="G214" s="21"/>
      <c r="H214" s="21">
        <v>1022.0</v>
      </c>
      <c r="I214" s="21"/>
      <c r="J214" s="24">
        <v>314.0</v>
      </c>
      <c r="K214" s="25">
        <f t="shared" si="45"/>
        <v>2380</v>
      </c>
      <c r="L214" s="47"/>
      <c r="M214" s="12"/>
    </row>
    <row r="215" ht="13.5" customHeight="1">
      <c r="A215" s="35" t="s">
        <v>41</v>
      </c>
      <c r="B215" s="27"/>
      <c r="C215" s="27"/>
      <c r="D215" s="21">
        <v>424.0</v>
      </c>
      <c r="E215" s="21"/>
      <c r="F215" s="21">
        <v>622.0</v>
      </c>
      <c r="G215" s="21"/>
      <c r="H215" s="21">
        <v>1010.0</v>
      </c>
      <c r="I215" s="21"/>
      <c r="J215" s="21">
        <v>304.0</v>
      </c>
      <c r="K215" s="25">
        <f t="shared" si="45"/>
        <v>2360</v>
      </c>
    </row>
    <row r="216" ht="13.5" customHeight="1">
      <c r="A216" s="40" t="s">
        <v>7</v>
      </c>
      <c r="B216" s="40"/>
      <c r="C216" s="40"/>
      <c r="D216" s="10">
        <f t="shared" ref="D216:J216" si="46">SUM(D210:D215)</f>
        <v>1522</v>
      </c>
      <c r="E216" s="10">
        <f t="shared" si="46"/>
        <v>0</v>
      </c>
      <c r="F216" s="10">
        <f t="shared" si="46"/>
        <v>2052</v>
      </c>
      <c r="G216" s="10">
        <f t="shared" si="46"/>
        <v>0</v>
      </c>
      <c r="H216" s="10">
        <f t="shared" si="46"/>
        <v>3396</v>
      </c>
      <c r="I216" s="10">
        <f t="shared" si="46"/>
        <v>0</v>
      </c>
      <c r="J216" s="10">
        <f t="shared" si="46"/>
        <v>836</v>
      </c>
      <c r="K216" s="25">
        <f t="shared" si="45"/>
        <v>7806</v>
      </c>
    </row>
    <row r="217" ht="13.5" customHeight="1"/>
    <row r="218" ht="13.5" customHeight="1">
      <c r="A218" s="48" t="s">
        <v>324</v>
      </c>
    </row>
    <row r="219" ht="13.5" customHeight="1">
      <c r="A219" s="14" t="s">
        <v>25</v>
      </c>
      <c r="B219" s="14" t="s">
        <v>1</v>
      </c>
      <c r="C219" s="14" t="s">
        <v>27</v>
      </c>
      <c r="D219" s="15" t="s">
        <v>2</v>
      </c>
      <c r="E219" s="10" t="s">
        <v>325</v>
      </c>
      <c r="F219" s="16" t="s">
        <v>3</v>
      </c>
      <c r="G219" s="15" t="s">
        <v>4</v>
      </c>
      <c r="H219" s="15" t="s">
        <v>5</v>
      </c>
      <c r="I219" s="15" t="s">
        <v>29</v>
      </c>
      <c r="J219" s="14" t="s">
        <v>30</v>
      </c>
      <c r="K219" s="17" t="s">
        <v>7</v>
      </c>
    </row>
    <row r="220" ht="13.5" customHeight="1">
      <c r="A220" s="18" t="s">
        <v>31</v>
      </c>
      <c r="B220" s="19">
        <v>1.2</v>
      </c>
      <c r="C220" s="20" t="s">
        <v>33</v>
      </c>
      <c r="D220" s="21">
        <v>230.0</v>
      </c>
      <c r="E220" s="36">
        <v>50.0</v>
      </c>
      <c r="F220" s="36">
        <v>270.0</v>
      </c>
      <c r="G220" s="32">
        <v>55.0</v>
      </c>
      <c r="H220" s="21">
        <v>580.0</v>
      </c>
      <c r="I220" s="23"/>
      <c r="J220" s="24">
        <v>95.0</v>
      </c>
      <c r="K220" s="25">
        <f t="shared" ref="K220:K226" si="47">D220+F220+G220+H220+I220+J220</f>
        <v>1230</v>
      </c>
    </row>
    <row r="221" ht="13.5" customHeight="1">
      <c r="A221" s="26" t="s">
        <v>34</v>
      </c>
      <c r="B221" s="27"/>
      <c r="C221" s="28"/>
      <c r="D221" s="21">
        <v>430.0</v>
      </c>
      <c r="E221" s="36">
        <v>50.0</v>
      </c>
      <c r="F221" s="37">
        <v>500.0</v>
      </c>
      <c r="G221" s="53"/>
      <c r="H221" s="22">
        <v>940.0</v>
      </c>
      <c r="I221" s="29"/>
      <c r="J221" s="29">
        <v>80.0</v>
      </c>
      <c r="K221" s="25">
        <f t="shared" si="47"/>
        <v>1950</v>
      </c>
    </row>
    <row r="222" ht="13.5" customHeight="1">
      <c r="A222" s="18" t="s">
        <v>35</v>
      </c>
      <c r="B222" s="30">
        <v>2.0</v>
      </c>
      <c r="C222" s="31" t="s">
        <v>36</v>
      </c>
      <c r="D222" s="21"/>
      <c r="E222" s="36"/>
      <c r="F222" s="36"/>
      <c r="G222" s="21"/>
      <c r="H222" s="21"/>
      <c r="I222" s="21"/>
      <c r="J222" s="24"/>
      <c r="K222" s="25">
        <f t="shared" si="47"/>
        <v>0</v>
      </c>
    </row>
    <row r="223" ht="13.5" customHeight="1">
      <c r="A223" s="26" t="s">
        <v>37</v>
      </c>
      <c r="B223" s="33"/>
      <c r="C223" s="34"/>
      <c r="D223" s="21"/>
      <c r="E223" s="36"/>
      <c r="F223" s="36"/>
      <c r="G223" s="21"/>
      <c r="H223" s="21"/>
      <c r="I223" s="21"/>
      <c r="J223" s="29"/>
      <c r="K223" s="25">
        <f t="shared" si="47"/>
        <v>0</v>
      </c>
    </row>
    <row r="224" ht="14.25" customHeight="1">
      <c r="A224" s="18" t="s">
        <v>38</v>
      </c>
      <c r="B224" s="19" t="s">
        <v>39</v>
      </c>
      <c r="C224" s="19" t="s">
        <v>40</v>
      </c>
      <c r="D224" s="21">
        <v>428.0</v>
      </c>
      <c r="E224" s="36">
        <v>50.0</v>
      </c>
      <c r="F224" s="36">
        <v>590.0</v>
      </c>
      <c r="G224" s="21"/>
      <c r="H224" s="21">
        <v>4522.0</v>
      </c>
      <c r="I224" s="21"/>
      <c r="J224" s="24">
        <v>310.0</v>
      </c>
      <c r="K224" s="25">
        <f t="shared" si="47"/>
        <v>5850</v>
      </c>
      <c r="L224" s="47"/>
      <c r="M224" s="12"/>
    </row>
    <row r="225" ht="13.5" customHeight="1">
      <c r="A225" s="35" t="s">
        <v>41</v>
      </c>
      <c r="B225" s="27"/>
      <c r="C225" s="27"/>
      <c r="D225" s="21">
        <v>425.0</v>
      </c>
      <c r="E225" s="36">
        <v>50.0</v>
      </c>
      <c r="F225" s="21">
        <v>650.0</v>
      </c>
      <c r="G225" s="21"/>
      <c r="H225" s="21">
        <v>4435.0</v>
      </c>
      <c r="I225" s="21"/>
      <c r="J225" s="21">
        <v>300.0</v>
      </c>
      <c r="K225" s="25">
        <f t="shared" si="47"/>
        <v>5810</v>
      </c>
    </row>
    <row r="226" ht="13.5" customHeight="1">
      <c r="A226" s="40" t="s">
        <v>7</v>
      </c>
      <c r="B226" s="40"/>
      <c r="C226" s="40"/>
      <c r="D226" s="10">
        <f t="shared" ref="D226:J226" si="48">SUM(D220:D225)</f>
        <v>1513</v>
      </c>
      <c r="E226" s="10">
        <f t="shared" si="48"/>
        <v>200</v>
      </c>
      <c r="F226" s="10">
        <f t="shared" si="48"/>
        <v>2010</v>
      </c>
      <c r="G226" s="10">
        <f t="shared" si="48"/>
        <v>55</v>
      </c>
      <c r="H226" s="10">
        <f t="shared" si="48"/>
        <v>10477</v>
      </c>
      <c r="I226" s="10">
        <f t="shared" si="48"/>
        <v>0</v>
      </c>
      <c r="J226" s="10">
        <f t="shared" si="48"/>
        <v>785</v>
      </c>
      <c r="K226" s="25">
        <f t="shared" si="47"/>
        <v>14840</v>
      </c>
    </row>
    <row r="227" ht="13.5" customHeight="1"/>
    <row r="228" ht="13.5" customHeight="1">
      <c r="A228" s="48" t="s">
        <v>326</v>
      </c>
    </row>
    <row r="229" ht="13.5" customHeight="1">
      <c r="A229" s="14" t="s">
        <v>25</v>
      </c>
      <c r="B229" s="14" t="s">
        <v>1</v>
      </c>
      <c r="C229" s="14" t="s">
        <v>27</v>
      </c>
      <c r="D229" s="15" t="s">
        <v>2</v>
      </c>
      <c r="E229" s="10" t="s">
        <v>325</v>
      </c>
      <c r="F229" s="16" t="s">
        <v>3</v>
      </c>
      <c r="G229" s="15" t="s">
        <v>4</v>
      </c>
      <c r="H229" s="14" t="s">
        <v>5</v>
      </c>
      <c r="I229" s="15" t="s">
        <v>29</v>
      </c>
      <c r="J229" s="14" t="s">
        <v>30</v>
      </c>
      <c r="K229" s="17" t="s">
        <v>7</v>
      </c>
    </row>
    <row r="230" ht="13.5" customHeight="1">
      <c r="A230" s="18" t="s">
        <v>31</v>
      </c>
      <c r="B230" s="19">
        <v>1.2</v>
      </c>
      <c r="C230" s="20" t="s">
        <v>33</v>
      </c>
      <c r="D230" s="21">
        <v>290.0</v>
      </c>
      <c r="E230" s="36">
        <v>50.0</v>
      </c>
      <c r="F230" s="36">
        <v>300.0</v>
      </c>
      <c r="G230" s="32"/>
      <c r="H230" s="21">
        <v>690.0</v>
      </c>
      <c r="I230" s="21"/>
      <c r="J230" s="21">
        <v>100.0</v>
      </c>
      <c r="K230" s="25">
        <f t="shared" ref="K230:K236" si="49">D230+F230+G230+H230+I230+J230</f>
        <v>1380</v>
      </c>
    </row>
    <row r="231" ht="13.5" customHeight="1">
      <c r="A231" s="26" t="s">
        <v>34</v>
      </c>
      <c r="B231" s="27"/>
      <c r="C231" s="28"/>
      <c r="D231" s="21">
        <v>360.0</v>
      </c>
      <c r="E231" s="36">
        <v>50.0</v>
      </c>
      <c r="F231" s="36">
        <v>490.0</v>
      </c>
      <c r="G231" s="32"/>
      <c r="H231" s="21">
        <v>980.0</v>
      </c>
      <c r="I231" s="21"/>
      <c r="J231" s="21">
        <v>100.0</v>
      </c>
      <c r="K231" s="25">
        <f t="shared" si="49"/>
        <v>1930</v>
      </c>
    </row>
    <row r="232" ht="13.5" customHeight="1">
      <c r="A232" s="18" t="s">
        <v>35</v>
      </c>
      <c r="B232" s="30">
        <v>2.0</v>
      </c>
      <c r="C232" s="31" t="s">
        <v>36</v>
      </c>
      <c r="D232" s="21"/>
      <c r="E232" s="36"/>
      <c r="F232" s="36"/>
      <c r="G232" s="32"/>
      <c r="H232" s="21"/>
      <c r="I232" s="21"/>
      <c r="J232" s="21"/>
      <c r="K232" s="25">
        <f t="shared" si="49"/>
        <v>0</v>
      </c>
    </row>
    <row r="233" ht="13.5" customHeight="1">
      <c r="A233" s="26" t="s">
        <v>37</v>
      </c>
      <c r="B233" s="33"/>
      <c r="C233" s="34"/>
      <c r="D233" s="21"/>
      <c r="E233" s="36"/>
      <c r="F233" s="36"/>
      <c r="G233" s="32"/>
      <c r="H233" s="21"/>
      <c r="I233" s="21"/>
      <c r="J233" s="21"/>
      <c r="K233" s="25">
        <f t="shared" si="49"/>
        <v>0</v>
      </c>
    </row>
    <row r="234" ht="14.25" customHeight="1">
      <c r="A234" s="18" t="s">
        <v>38</v>
      </c>
      <c r="B234" s="19" t="s">
        <v>39</v>
      </c>
      <c r="C234" s="19" t="s">
        <v>40</v>
      </c>
      <c r="D234" s="21">
        <v>420.0</v>
      </c>
      <c r="E234" s="36">
        <v>50.0</v>
      </c>
      <c r="F234" s="36">
        <v>590.0</v>
      </c>
      <c r="G234" s="32"/>
      <c r="H234" s="21">
        <v>4580.0</v>
      </c>
      <c r="I234" s="21"/>
      <c r="J234" s="21">
        <v>320.0</v>
      </c>
      <c r="K234" s="25">
        <f t="shared" si="49"/>
        <v>5910</v>
      </c>
      <c r="L234" s="47"/>
      <c r="M234" s="12"/>
    </row>
    <row r="235" ht="13.5" customHeight="1">
      <c r="A235" s="35" t="s">
        <v>41</v>
      </c>
      <c r="B235" s="27"/>
      <c r="C235" s="27"/>
      <c r="D235" s="21">
        <v>430.0</v>
      </c>
      <c r="E235" s="36">
        <v>50.0</v>
      </c>
      <c r="F235" s="36">
        <v>600.0</v>
      </c>
      <c r="G235" s="38"/>
      <c r="H235" s="21">
        <v>4520.0</v>
      </c>
      <c r="I235" s="29"/>
      <c r="J235" s="39">
        <v>330.0</v>
      </c>
      <c r="K235" s="25">
        <f t="shared" si="49"/>
        <v>5880</v>
      </c>
    </row>
    <row r="236" ht="13.5" customHeight="1">
      <c r="A236" s="40" t="s">
        <v>7</v>
      </c>
      <c r="B236" s="40"/>
      <c r="C236" s="40"/>
      <c r="D236" s="10">
        <f t="shared" ref="D236:J236" si="50">SUM(D230:D235)</f>
        <v>1500</v>
      </c>
      <c r="E236" s="10">
        <f t="shared" si="50"/>
        <v>200</v>
      </c>
      <c r="F236" s="10">
        <f t="shared" si="50"/>
        <v>1980</v>
      </c>
      <c r="G236" s="10">
        <f t="shared" si="50"/>
        <v>0</v>
      </c>
      <c r="H236" s="10">
        <f t="shared" si="50"/>
        <v>10770</v>
      </c>
      <c r="I236" s="10">
        <f t="shared" si="50"/>
        <v>0</v>
      </c>
      <c r="J236" s="10">
        <f t="shared" si="50"/>
        <v>850</v>
      </c>
      <c r="K236" s="25">
        <f t="shared" si="49"/>
        <v>15100</v>
      </c>
    </row>
    <row r="237" ht="13.5" customHeight="1"/>
    <row r="238" ht="13.5" customHeight="1">
      <c r="A238" s="48" t="s">
        <v>327</v>
      </c>
    </row>
    <row r="239" ht="13.5" customHeight="1">
      <c r="A239" s="14" t="s">
        <v>25</v>
      </c>
      <c r="B239" s="14" t="s">
        <v>1</v>
      </c>
      <c r="C239" s="14" t="s">
        <v>27</v>
      </c>
      <c r="D239" s="15" t="s">
        <v>2</v>
      </c>
      <c r="E239" s="10" t="s">
        <v>325</v>
      </c>
      <c r="F239" s="16" t="s">
        <v>3</v>
      </c>
      <c r="G239" s="15" t="s">
        <v>4</v>
      </c>
      <c r="H239" s="15" t="s">
        <v>5</v>
      </c>
      <c r="I239" s="15" t="s">
        <v>29</v>
      </c>
      <c r="J239" s="14" t="s">
        <v>30</v>
      </c>
      <c r="K239" s="17" t="s">
        <v>7</v>
      </c>
    </row>
    <row r="240" ht="13.5" customHeight="1">
      <c r="A240" s="18" t="s">
        <v>31</v>
      </c>
      <c r="B240" s="19">
        <v>1.2</v>
      </c>
      <c r="C240" s="20" t="s">
        <v>33</v>
      </c>
      <c r="D240" s="21">
        <v>270.0</v>
      </c>
      <c r="E240" s="36">
        <v>50.0</v>
      </c>
      <c r="F240" s="36">
        <v>320.0</v>
      </c>
      <c r="G240" s="32"/>
      <c r="H240" s="21">
        <v>710.0</v>
      </c>
      <c r="I240" s="23"/>
      <c r="J240" s="24">
        <v>130.0</v>
      </c>
      <c r="K240" s="25">
        <f t="shared" ref="K240:K246" si="51">D240+F240+G240+H240+I240+J240</f>
        <v>1430</v>
      </c>
    </row>
    <row r="241" ht="13.5" customHeight="1">
      <c r="A241" s="26" t="s">
        <v>34</v>
      </c>
      <c r="B241" s="27"/>
      <c r="C241" s="28"/>
      <c r="D241" s="21">
        <v>380.0</v>
      </c>
      <c r="E241" s="36">
        <v>50.0</v>
      </c>
      <c r="F241" s="36">
        <v>450.0</v>
      </c>
      <c r="G241" s="32"/>
      <c r="H241" s="21">
        <v>800.0</v>
      </c>
      <c r="I241" s="29"/>
      <c r="J241" s="29">
        <v>100.0</v>
      </c>
      <c r="K241" s="25">
        <f t="shared" si="51"/>
        <v>1730</v>
      </c>
    </row>
    <row r="242" ht="13.5" customHeight="1">
      <c r="A242" s="18" t="s">
        <v>35</v>
      </c>
      <c r="B242" s="30">
        <v>2.0</v>
      </c>
      <c r="C242" s="31" t="s">
        <v>36</v>
      </c>
      <c r="D242" s="21"/>
      <c r="E242" s="36"/>
      <c r="F242" s="36"/>
      <c r="G242" s="32"/>
      <c r="H242" s="21"/>
      <c r="I242" s="23"/>
      <c r="J242" s="24"/>
      <c r="K242" s="25">
        <f t="shared" si="51"/>
        <v>0</v>
      </c>
    </row>
    <row r="243" ht="13.5" customHeight="1">
      <c r="A243" s="26" t="s">
        <v>37</v>
      </c>
      <c r="B243" s="33"/>
      <c r="C243" s="34"/>
      <c r="D243" s="21"/>
      <c r="E243" s="36"/>
      <c r="F243" s="36"/>
      <c r="G243" s="32"/>
      <c r="H243" s="21"/>
      <c r="I243" s="29"/>
      <c r="J243" s="29"/>
      <c r="K243" s="25">
        <f t="shared" si="51"/>
        <v>0</v>
      </c>
    </row>
    <row r="244" ht="14.25" customHeight="1">
      <c r="A244" s="18" t="s">
        <v>38</v>
      </c>
      <c r="B244" s="19" t="s">
        <v>39</v>
      </c>
      <c r="C244" s="19" t="s">
        <v>40</v>
      </c>
      <c r="D244" s="21">
        <v>430.0</v>
      </c>
      <c r="E244" s="36">
        <v>50.0</v>
      </c>
      <c r="F244" s="36">
        <v>600.0</v>
      </c>
      <c r="G244" s="32"/>
      <c r="H244" s="21">
        <v>4610.0</v>
      </c>
      <c r="I244" s="23"/>
      <c r="J244" s="24">
        <v>330.0</v>
      </c>
      <c r="K244" s="25">
        <f t="shared" si="51"/>
        <v>5970</v>
      </c>
      <c r="L244" s="12"/>
    </row>
    <row r="245" ht="13.5" customHeight="1">
      <c r="A245" s="35" t="s">
        <v>41</v>
      </c>
      <c r="B245" s="27"/>
      <c r="C245" s="27"/>
      <c r="D245" s="21">
        <v>420.0</v>
      </c>
      <c r="E245" s="36">
        <v>50.0</v>
      </c>
      <c r="F245" s="21">
        <v>580.0</v>
      </c>
      <c r="G245" s="21"/>
      <c r="H245" s="21">
        <v>4370.0</v>
      </c>
      <c r="I245" s="21"/>
      <c r="J245" s="21">
        <v>350.0</v>
      </c>
      <c r="K245" s="25">
        <f t="shared" si="51"/>
        <v>5720</v>
      </c>
    </row>
    <row r="246" ht="13.5" customHeight="1">
      <c r="A246" s="40" t="s">
        <v>7</v>
      </c>
      <c r="B246" s="40"/>
      <c r="C246" s="40"/>
      <c r="D246" s="10">
        <f t="shared" ref="D246:J246" si="52">SUM(D240:D245)</f>
        <v>1500</v>
      </c>
      <c r="E246" s="10">
        <f t="shared" si="52"/>
        <v>200</v>
      </c>
      <c r="F246" s="10">
        <f t="shared" si="52"/>
        <v>1950</v>
      </c>
      <c r="G246" s="10">
        <f t="shared" si="52"/>
        <v>0</v>
      </c>
      <c r="H246" s="10">
        <f t="shared" si="52"/>
        <v>10490</v>
      </c>
      <c r="I246" s="10">
        <f t="shared" si="52"/>
        <v>0</v>
      </c>
      <c r="J246" s="10">
        <f t="shared" si="52"/>
        <v>910</v>
      </c>
      <c r="K246" s="25">
        <f t="shared" si="51"/>
        <v>14850</v>
      </c>
    </row>
    <row r="247" ht="13.5" customHeight="1"/>
    <row r="248" ht="13.5" customHeight="1">
      <c r="A248" s="48" t="s">
        <v>328</v>
      </c>
    </row>
    <row r="249" ht="13.5" customHeight="1">
      <c r="A249" s="14" t="s">
        <v>25</v>
      </c>
      <c r="B249" s="14" t="s">
        <v>1</v>
      </c>
      <c r="C249" s="14" t="s">
        <v>27</v>
      </c>
      <c r="D249" s="15" t="s">
        <v>2</v>
      </c>
      <c r="E249" s="10" t="s">
        <v>325</v>
      </c>
      <c r="F249" s="16" t="s">
        <v>3</v>
      </c>
      <c r="G249" s="15" t="s">
        <v>4</v>
      </c>
      <c r="H249" s="15" t="s">
        <v>5</v>
      </c>
      <c r="I249" s="15" t="s">
        <v>29</v>
      </c>
      <c r="J249" s="14" t="s">
        <v>30</v>
      </c>
      <c r="K249" s="17" t="s">
        <v>7</v>
      </c>
    </row>
    <row r="250" ht="14.25" customHeight="1">
      <c r="A250" s="18" t="s">
        <v>31</v>
      </c>
      <c r="B250" s="19">
        <v>1.2</v>
      </c>
      <c r="C250" s="20" t="s">
        <v>33</v>
      </c>
      <c r="D250" s="21">
        <v>280.0</v>
      </c>
      <c r="E250" s="36">
        <v>50.0</v>
      </c>
      <c r="F250" s="36">
        <v>290.0</v>
      </c>
      <c r="G250" s="36"/>
      <c r="H250" s="32">
        <v>790.0</v>
      </c>
      <c r="I250" s="23"/>
      <c r="J250" s="24">
        <v>130.0</v>
      </c>
      <c r="K250" s="25">
        <f t="shared" ref="K250:K256" si="53">D250+F250+G250+H250+I250+J250</f>
        <v>1490</v>
      </c>
    </row>
    <row r="251" ht="13.5" customHeight="1">
      <c r="A251" s="26" t="s">
        <v>34</v>
      </c>
      <c r="B251" s="27"/>
      <c r="C251" s="28"/>
      <c r="D251" s="21">
        <v>400.0</v>
      </c>
      <c r="E251" s="36">
        <v>50.0</v>
      </c>
      <c r="F251" s="36">
        <v>480.0</v>
      </c>
      <c r="G251" s="32"/>
      <c r="H251" s="36">
        <v>570.0</v>
      </c>
      <c r="I251" s="32"/>
      <c r="J251" s="21">
        <v>70.0</v>
      </c>
      <c r="K251" s="25">
        <f t="shared" si="53"/>
        <v>1520</v>
      </c>
    </row>
    <row r="252" ht="13.5" customHeight="1">
      <c r="A252" s="18" t="s">
        <v>35</v>
      </c>
      <c r="B252" s="30">
        <v>2.0</v>
      </c>
      <c r="C252" s="31" t="s">
        <v>36</v>
      </c>
      <c r="D252" s="21"/>
      <c r="E252" s="36"/>
      <c r="F252" s="36"/>
      <c r="G252" s="36"/>
      <c r="H252" s="32"/>
      <c r="I252" s="23"/>
      <c r="J252" s="24"/>
      <c r="K252" s="25">
        <f t="shared" si="53"/>
        <v>0</v>
      </c>
    </row>
    <row r="253" ht="13.5" customHeight="1">
      <c r="A253" s="26" t="s">
        <v>37</v>
      </c>
      <c r="B253" s="33"/>
      <c r="C253" s="34"/>
      <c r="D253" s="21"/>
      <c r="E253" s="36"/>
      <c r="F253" s="36"/>
      <c r="G253" s="21"/>
      <c r="H253" s="21"/>
      <c r="I253" s="21"/>
      <c r="J253" s="21"/>
      <c r="K253" s="25">
        <f t="shared" si="53"/>
        <v>0</v>
      </c>
    </row>
    <row r="254" ht="14.25" customHeight="1">
      <c r="A254" s="18" t="s">
        <v>38</v>
      </c>
      <c r="B254" s="19" t="s">
        <v>39</v>
      </c>
      <c r="C254" s="19" t="s">
        <v>40</v>
      </c>
      <c r="D254" s="10">
        <v>420.0</v>
      </c>
      <c r="E254" s="36">
        <v>50.0</v>
      </c>
      <c r="F254" s="10">
        <v>580.0</v>
      </c>
      <c r="G254" s="10"/>
      <c r="H254" s="10">
        <v>4560.0</v>
      </c>
      <c r="I254" s="10"/>
      <c r="J254" s="10">
        <v>290.0</v>
      </c>
      <c r="K254" s="25">
        <f t="shared" si="53"/>
        <v>5850</v>
      </c>
      <c r="L254" s="47"/>
      <c r="M254" s="12"/>
    </row>
    <row r="255" ht="13.5" customHeight="1">
      <c r="A255" s="35" t="s">
        <v>41</v>
      </c>
      <c r="B255" s="27"/>
      <c r="C255" s="27"/>
      <c r="D255" s="21">
        <v>420.0</v>
      </c>
      <c r="E255" s="36">
        <v>50.0</v>
      </c>
      <c r="F255" s="21">
        <v>600.0</v>
      </c>
      <c r="G255" s="21"/>
      <c r="H255" s="21">
        <v>4540.0</v>
      </c>
      <c r="I255" s="21"/>
      <c r="J255" s="21">
        <v>290.0</v>
      </c>
      <c r="K255" s="25">
        <f t="shared" si="53"/>
        <v>5850</v>
      </c>
    </row>
    <row r="256" ht="13.5" customHeight="1">
      <c r="A256" s="40" t="s">
        <v>7</v>
      </c>
      <c r="B256" s="40"/>
      <c r="C256" s="40"/>
      <c r="D256" s="10">
        <f t="shared" ref="D256:J256" si="54">SUM(D250:D255)</f>
        <v>1520</v>
      </c>
      <c r="E256" s="10">
        <f t="shared" si="54"/>
        <v>200</v>
      </c>
      <c r="F256" s="10">
        <f t="shared" si="54"/>
        <v>1950</v>
      </c>
      <c r="G256" s="10">
        <f t="shared" si="54"/>
        <v>0</v>
      </c>
      <c r="H256" s="10">
        <f t="shared" si="54"/>
        <v>10460</v>
      </c>
      <c r="I256" s="10">
        <f t="shared" si="54"/>
        <v>0</v>
      </c>
      <c r="J256" s="10">
        <f t="shared" si="54"/>
        <v>780</v>
      </c>
      <c r="K256" s="25">
        <f t="shared" si="53"/>
        <v>14710</v>
      </c>
    </row>
    <row r="257" ht="13.5" customHeight="1"/>
    <row r="258" ht="13.5" customHeight="1">
      <c r="A258" s="48" t="s">
        <v>329</v>
      </c>
    </row>
    <row r="259" ht="13.5" customHeight="1">
      <c r="A259" s="14" t="s">
        <v>25</v>
      </c>
      <c r="B259" s="14" t="s">
        <v>1</v>
      </c>
      <c r="C259" s="14" t="s">
        <v>27</v>
      </c>
      <c r="D259" s="15" t="s">
        <v>2</v>
      </c>
      <c r="E259" s="10" t="s">
        <v>325</v>
      </c>
      <c r="F259" s="16" t="s">
        <v>3</v>
      </c>
      <c r="G259" s="15" t="s">
        <v>4</v>
      </c>
      <c r="H259" s="15" t="s">
        <v>5</v>
      </c>
      <c r="I259" s="15" t="s">
        <v>29</v>
      </c>
      <c r="J259" s="14" t="s">
        <v>30</v>
      </c>
      <c r="K259" s="17" t="s">
        <v>7</v>
      </c>
    </row>
    <row r="260" ht="14.25" customHeight="1">
      <c r="A260" s="18" t="s">
        <v>31</v>
      </c>
      <c r="B260" s="19">
        <v>1.2</v>
      </c>
      <c r="C260" s="20" t="s">
        <v>33</v>
      </c>
      <c r="D260" s="21">
        <v>224.0</v>
      </c>
      <c r="E260" s="36">
        <v>50.0</v>
      </c>
      <c r="F260" s="36">
        <v>270.0</v>
      </c>
      <c r="G260" s="32"/>
      <c r="H260" s="21">
        <v>1036.0</v>
      </c>
      <c r="I260" s="23"/>
      <c r="J260" s="24">
        <v>104.0</v>
      </c>
      <c r="K260" s="25">
        <f t="shared" ref="K260:K266" si="55">D260+F260+G260+H260+I260+J260</f>
        <v>1634</v>
      </c>
    </row>
    <row r="261" ht="13.5" customHeight="1">
      <c r="A261" s="26" t="s">
        <v>34</v>
      </c>
      <c r="B261" s="27"/>
      <c r="C261" s="28"/>
      <c r="D261" s="21">
        <v>416.0</v>
      </c>
      <c r="E261" s="36">
        <v>50.0</v>
      </c>
      <c r="F261" s="36">
        <v>220.0</v>
      </c>
      <c r="G261" s="22"/>
      <c r="H261" s="21">
        <v>782.0</v>
      </c>
      <c r="I261" s="29"/>
      <c r="J261" s="29">
        <v>126.0</v>
      </c>
      <c r="K261" s="25">
        <f t="shared" si="55"/>
        <v>1544</v>
      </c>
    </row>
    <row r="262" ht="13.5" customHeight="1">
      <c r="A262" s="18" t="s">
        <v>35</v>
      </c>
      <c r="B262" s="30">
        <v>2.0</v>
      </c>
      <c r="C262" s="31" t="s">
        <v>36</v>
      </c>
      <c r="D262" s="21"/>
      <c r="E262" s="36"/>
      <c r="F262" s="10"/>
      <c r="G262" s="36"/>
      <c r="H262" s="21"/>
      <c r="I262" s="23"/>
      <c r="J262" s="24"/>
      <c r="K262" s="25">
        <f t="shared" si="55"/>
        <v>0</v>
      </c>
    </row>
    <row r="263" ht="13.5" customHeight="1">
      <c r="A263" s="26" t="s">
        <v>37</v>
      </c>
      <c r="B263" s="33"/>
      <c r="C263" s="34"/>
      <c r="D263" s="21"/>
      <c r="E263" s="36"/>
      <c r="F263" s="36"/>
      <c r="G263" s="22"/>
      <c r="H263" s="21"/>
      <c r="I263" s="29"/>
      <c r="J263" s="29"/>
      <c r="K263" s="25">
        <f t="shared" si="55"/>
        <v>0</v>
      </c>
    </row>
    <row r="264" ht="14.25" customHeight="1">
      <c r="A264" s="18" t="s">
        <v>38</v>
      </c>
      <c r="B264" s="19" t="s">
        <v>39</v>
      </c>
      <c r="C264" s="19" t="s">
        <v>40</v>
      </c>
      <c r="D264" s="21">
        <v>436.0</v>
      </c>
      <c r="E264" s="36">
        <v>50.0</v>
      </c>
      <c r="F264" s="36">
        <v>582.0</v>
      </c>
      <c r="G264" s="32"/>
      <c r="H264" s="21">
        <v>4466.0</v>
      </c>
      <c r="I264" s="23"/>
      <c r="J264" s="24">
        <v>310.0</v>
      </c>
      <c r="K264" s="25">
        <f t="shared" si="55"/>
        <v>5794</v>
      </c>
      <c r="L264" s="47"/>
      <c r="M264" s="12"/>
    </row>
    <row r="265" ht="13.5" customHeight="1">
      <c r="A265" s="35" t="s">
        <v>41</v>
      </c>
      <c r="B265" s="27"/>
      <c r="C265" s="27"/>
      <c r="D265" s="21">
        <v>440.0</v>
      </c>
      <c r="E265" s="36">
        <v>50.0</v>
      </c>
      <c r="F265" s="21">
        <v>554.0</v>
      </c>
      <c r="G265" s="21"/>
      <c r="H265" s="21">
        <v>4384.0</v>
      </c>
      <c r="I265" s="21"/>
      <c r="J265" s="21">
        <v>322.0</v>
      </c>
      <c r="K265" s="25">
        <f t="shared" si="55"/>
        <v>5700</v>
      </c>
    </row>
    <row r="266" ht="13.5" customHeight="1">
      <c r="A266" s="40" t="s">
        <v>7</v>
      </c>
      <c r="B266" s="40"/>
      <c r="C266" s="40"/>
      <c r="D266" s="10">
        <f t="shared" ref="D266:J266" si="56">SUM(D260:D265)</f>
        <v>1516</v>
      </c>
      <c r="E266" s="10">
        <f t="shared" si="56"/>
        <v>200</v>
      </c>
      <c r="F266" s="10">
        <f t="shared" si="56"/>
        <v>1626</v>
      </c>
      <c r="G266" s="10">
        <f t="shared" si="56"/>
        <v>0</v>
      </c>
      <c r="H266" s="10">
        <f t="shared" si="56"/>
        <v>10668</v>
      </c>
      <c r="I266" s="10">
        <f t="shared" si="56"/>
        <v>0</v>
      </c>
      <c r="J266" s="10">
        <f t="shared" si="56"/>
        <v>862</v>
      </c>
      <c r="K266" s="25">
        <f t="shared" si="55"/>
        <v>14672</v>
      </c>
    </row>
    <row r="267" ht="13.5" customHeight="1">
      <c r="A267" s="48"/>
    </row>
    <row r="268" ht="13.5" customHeight="1">
      <c r="A268" s="48" t="s">
        <v>330</v>
      </c>
    </row>
    <row r="269" ht="13.5" customHeight="1">
      <c r="A269" s="14" t="s">
        <v>25</v>
      </c>
      <c r="B269" s="14" t="s">
        <v>1</v>
      </c>
      <c r="C269" s="14" t="s">
        <v>27</v>
      </c>
      <c r="D269" s="15" t="s">
        <v>2</v>
      </c>
      <c r="E269" s="10" t="s">
        <v>325</v>
      </c>
      <c r="F269" s="16" t="s">
        <v>3</v>
      </c>
      <c r="G269" s="14" t="s">
        <v>4</v>
      </c>
      <c r="H269" s="15" t="s">
        <v>5</v>
      </c>
      <c r="I269" s="15" t="s">
        <v>29</v>
      </c>
      <c r="J269" s="14" t="s">
        <v>30</v>
      </c>
      <c r="K269" s="17" t="s">
        <v>7</v>
      </c>
    </row>
    <row r="270" ht="13.5" customHeight="1">
      <c r="A270" s="18" t="s">
        <v>31</v>
      </c>
      <c r="B270" s="19">
        <v>1.2</v>
      </c>
      <c r="C270" s="20" t="s">
        <v>33</v>
      </c>
      <c r="D270" s="21">
        <v>280.0</v>
      </c>
      <c r="E270" s="36">
        <v>50.0</v>
      </c>
      <c r="F270" s="36"/>
      <c r="G270" s="32"/>
      <c r="H270" s="21">
        <v>800.0</v>
      </c>
      <c r="I270" s="21"/>
      <c r="J270" s="24">
        <v>100.0</v>
      </c>
      <c r="K270" s="25">
        <f t="shared" ref="K270:K280" si="57">D270+F270+G270+H270+I270+J270</f>
        <v>1180</v>
      </c>
    </row>
    <row r="271" ht="13.5" customHeight="1">
      <c r="A271" s="26" t="s">
        <v>34</v>
      </c>
      <c r="B271" s="27"/>
      <c r="C271" s="28"/>
      <c r="D271" s="21">
        <v>400.0</v>
      </c>
      <c r="E271" s="36">
        <v>50.0</v>
      </c>
      <c r="F271" s="36"/>
      <c r="G271" s="22"/>
      <c r="H271" s="21">
        <v>1070.0</v>
      </c>
      <c r="I271" s="21"/>
      <c r="J271" s="29">
        <v>80.0</v>
      </c>
      <c r="K271" s="25">
        <f t="shared" si="57"/>
        <v>1550</v>
      </c>
    </row>
    <row r="272" ht="13.5" customHeight="1">
      <c r="A272" s="18" t="s">
        <v>35</v>
      </c>
      <c r="B272" s="30">
        <v>2.0</v>
      </c>
      <c r="C272" s="31" t="s">
        <v>36</v>
      </c>
      <c r="D272" s="21"/>
      <c r="E272" s="36"/>
      <c r="F272" s="36"/>
      <c r="G272" s="32"/>
      <c r="H272" s="21"/>
      <c r="I272" s="21"/>
      <c r="J272" s="24"/>
      <c r="K272" s="25">
        <f t="shared" si="57"/>
        <v>0</v>
      </c>
    </row>
    <row r="273" ht="13.5" customHeight="1">
      <c r="A273" s="26" t="s">
        <v>37</v>
      </c>
      <c r="B273" s="33"/>
      <c r="C273" s="34"/>
      <c r="D273" s="21"/>
      <c r="E273" s="36"/>
      <c r="F273" s="36"/>
      <c r="G273" s="22"/>
      <c r="H273" s="21"/>
      <c r="I273" s="21"/>
      <c r="J273" s="29"/>
      <c r="K273" s="25">
        <f t="shared" si="57"/>
        <v>0</v>
      </c>
    </row>
    <row r="274" ht="15.0" customHeight="1">
      <c r="A274" s="18" t="s">
        <v>38</v>
      </c>
      <c r="B274" s="19" t="s">
        <v>39</v>
      </c>
      <c r="C274" s="19" t="s">
        <v>40</v>
      </c>
      <c r="D274" s="21">
        <v>420.0</v>
      </c>
      <c r="E274" s="36">
        <v>50.0</v>
      </c>
      <c r="F274" s="41"/>
      <c r="G274" s="32"/>
      <c r="H274" s="21">
        <v>5000.0</v>
      </c>
      <c r="I274" s="21"/>
      <c r="J274" s="24"/>
      <c r="K274" s="25">
        <f t="shared" si="57"/>
        <v>5420</v>
      </c>
    </row>
    <row r="275" ht="13.5" customHeight="1">
      <c r="A275" s="35" t="s">
        <v>41</v>
      </c>
      <c r="B275" s="27"/>
      <c r="C275" s="27"/>
      <c r="D275" s="21">
        <v>450.0</v>
      </c>
      <c r="E275" s="36">
        <v>50.0</v>
      </c>
      <c r="F275" s="37"/>
      <c r="G275" s="38"/>
      <c r="H275" s="21">
        <v>4820.0</v>
      </c>
      <c r="I275" s="21"/>
      <c r="J275" s="39"/>
      <c r="K275" s="25">
        <f t="shared" si="57"/>
        <v>5270</v>
      </c>
    </row>
    <row r="276" ht="13.5" customHeight="1">
      <c r="A276" s="54" t="s">
        <v>100</v>
      </c>
      <c r="B276" s="55"/>
      <c r="C276" s="55"/>
      <c r="D276" s="21"/>
      <c r="E276" s="36"/>
      <c r="F276" s="36"/>
      <c r="G276" s="21"/>
      <c r="H276" s="21"/>
      <c r="I276" s="21"/>
      <c r="J276" s="56"/>
      <c r="K276" s="25">
        <f t="shared" si="57"/>
        <v>0</v>
      </c>
    </row>
    <row r="277" ht="13.5" customHeight="1">
      <c r="A277" s="26" t="s">
        <v>101</v>
      </c>
      <c r="B277" s="7"/>
      <c r="C277" s="7"/>
      <c r="D277" s="21"/>
      <c r="E277" s="36"/>
      <c r="F277" s="37"/>
      <c r="G277" s="22"/>
      <c r="H277" s="21"/>
      <c r="I277" s="29"/>
      <c r="J277" s="29"/>
      <c r="K277" s="25">
        <f t="shared" si="57"/>
        <v>0</v>
      </c>
    </row>
    <row r="278" ht="13.5" customHeight="1">
      <c r="A278" s="18" t="s">
        <v>102</v>
      </c>
      <c r="B278" s="57"/>
      <c r="C278" s="57"/>
      <c r="D278" s="21"/>
      <c r="E278" s="36"/>
      <c r="F278" s="41"/>
      <c r="G278" s="58"/>
      <c r="H278" s="21"/>
      <c r="I278" s="23"/>
      <c r="J278" s="59"/>
      <c r="K278" s="25">
        <f t="shared" si="57"/>
        <v>0</v>
      </c>
    </row>
    <row r="279" ht="13.5" customHeight="1">
      <c r="A279" s="35" t="s">
        <v>103</v>
      </c>
      <c r="B279" s="27"/>
      <c r="C279" s="27"/>
      <c r="D279" s="21"/>
      <c r="E279" s="36"/>
      <c r="F279" s="37"/>
      <c r="G279" s="60"/>
      <c r="H279" s="21"/>
      <c r="I279" s="29"/>
      <c r="J279" s="61"/>
      <c r="K279" s="25">
        <f t="shared" si="57"/>
        <v>0</v>
      </c>
    </row>
    <row r="280" ht="13.5" customHeight="1">
      <c r="A280" s="40" t="s">
        <v>7</v>
      </c>
      <c r="B280" s="40"/>
      <c r="C280" s="40"/>
      <c r="D280" s="10">
        <f t="shared" ref="D280:J280" si="58">SUM(D270:D279)</f>
        <v>1550</v>
      </c>
      <c r="E280" s="10">
        <f t="shared" si="58"/>
        <v>200</v>
      </c>
      <c r="F280" s="10">
        <f t="shared" si="58"/>
        <v>0</v>
      </c>
      <c r="G280" s="10">
        <f t="shared" si="58"/>
        <v>0</v>
      </c>
      <c r="H280" s="10">
        <f t="shared" si="58"/>
        <v>11690</v>
      </c>
      <c r="I280" s="10">
        <f t="shared" si="58"/>
        <v>0</v>
      </c>
      <c r="J280" s="10">
        <f t="shared" si="58"/>
        <v>180</v>
      </c>
      <c r="K280" s="25">
        <f t="shared" si="57"/>
        <v>13420</v>
      </c>
    </row>
    <row r="281" ht="13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 ht="13.5" customHeight="1">
      <c r="A282" s="48" t="s">
        <v>331</v>
      </c>
    </row>
    <row r="283" ht="13.5" customHeight="1">
      <c r="A283" s="14" t="s">
        <v>25</v>
      </c>
      <c r="B283" s="14" t="s">
        <v>1</v>
      </c>
      <c r="C283" s="14" t="s">
        <v>27</v>
      </c>
      <c r="D283" s="15" t="s">
        <v>2</v>
      </c>
      <c r="E283" s="10" t="s">
        <v>325</v>
      </c>
      <c r="F283" s="16" t="s">
        <v>3</v>
      </c>
      <c r="G283" s="14" t="s">
        <v>4</v>
      </c>
      <c r="H283" s="15" t="s">
        <v>5</v>
      </c>
      <c r="I283" s="15" t="s">
        <v>29</v>
      </c>
      <c r="J283" s="14" t="s">
        <v>30</v>
      </c>
      <c r="K283" s="17" t="s">
        <v>7</v>
      </c>
    </row>
    <row r="284" ht="13.5" customHeight="1">
      <c r="A284" s="18" t="s">
        <v>31</v>
      </c>
      <c r="B284" s="19">
        <v>1.2</v>
      </c>
      <c r="C284" s="20" t="s">
        <v>33</v>
      </c>
      <c r="D284" s="21">
        <v>280.0</v>
      </c>
      <c r="E284" s="36">
        <v>50.0</v>
      </c>
      <c r="F284" s="36">
        <v>300.0</v>
      </c>
      <c r="G284" s="32"/>
      <c r="H284" s="21">
        <v>770.0</v>
      </c>
      <c r="I284" s="21"/>
      <c r="J284" s="24">
        <v>130.0</v>
      </c>
      <c r="K284" s="25">
        <f t="shared" ref="K284:K294" si="59">D284+F284+G284+H284+I284+J284</f>
        <v>1480</v>
      </c>
    </row>
    <row r="285" ht="13.5" customHeight="1">
      <c r="A285" s="26" t="s">
        <v>34</v>
      </c>
      <c r="B285" s="27"/>
      <c r="C285" s="28"/>
      <c r="D285" s="21">
        <v>370.0</v>
      </c>
      <c r="E285" s="36">
        <v>50.0</v>
      </c>
      <c r="F285" s="36">
        <v>520.0</v>
      </c>
      <c r="G285" s="22"/>
      <c r="H285" s="21">
        <v>880.0</v>
      </c>
      <c r="I285" s="21"/>
      <c r="J285" s="29">
        <v>80.0</v>
      </c>
      <c r="K285" s="25">
        <f t="shared" si="59"/>
        <v>1850</v>
      </c>
    </row>
    <row r="286" ht="13.5" customHeight="1">
      <c r="A286" s="18" t="s">
        <v>35</v>
      </c>
      <c r="B286" s="30">
        <v>2.0</v>
      </c>
      <c r="C286" s="31" t="s">
        <v>36</v>
      </c>
      <c r="D286" s="21"/>
      <c r="E286" s="36"/>
      <c r="F286" s="36"/>
      <c r="G286" s="32"/>
      <c r="H286" s="21"/>
      <c r="I286" s="21"/>
      <c r="J286" s="24"/>
      <c r="K286" s="25">
        <f t="shared" si="59"/>
        <v>0</v>
      </c>
    </row>
    <row r="287" ht="13.5" customHeight="1">
      <c r="A287" s="26" t="s">
        <v>37</v>
      </c>
      <c r="B287" s="33"/>
      <c r="C287" s="34"/>
      <c r="D287" s="21"/>
      <c r="E287" s="36"/>
      <c r="F287" s="36"/>
      <c r="G287" s="22"/>
      <c r="H287" s="21"/>
      <c r="I287" s="21"/>
      <c r="J287" s="29"/>
      <c r="K287" s="25">
        <f t="shared" si="59"/>
        <v>0</v>
      </c>
    </row>
    <row r="288" ht="15.0" customHeight="1">
      <c r="A288" s="18" t="s">
        <v>38</v>
      </c>
      <c r="B288" s="19" t="s">
        <v>39</v>
      </c>
      <c r="C288" s="19" t="s">
        <v>40</v>
      </c>
      <c r="D288" s="21">
        <v>420.0</v>
      </c>
      <c r="E288" s="36">
        <v>50.0</v>
      </c>
      <c r="F288" s="41">
        <v>600.0</v>
      </c>
      <c r="G288" s="32"/>
      <c r="H288" s="21">
        <v>4570.0</v>
      </c>
      <c r="I288" s="21"/>
      <c r="J288" s="24">
        <v>290.0</v>
      </c>
      <c r="K288" s="25">
        <f t="shared" si="59"/>
        <v>5880</v>
      </c>
    </row>
    <row r="289" ht="13.5" customHeight="1">
      <c r="A289" s="35" t="s">
        <v>41</v>
      </c>
      <c r="B289" s="27"/>
      <c r="C289" s="27"/>
      <c r="D289" s="21">
        <v>410.0</v>
      </c>
      <c r="E289" s="36">
        <v>50.0</v>
      </c>
      <c r="F289" s="37">
        <v>600.0</v>
      </c>
      <c r="G289" s="38"/>
      <c r="H289" s="21">
        <v>4610.0</v>
      </c>
      <c r="I289" s="21"/>
      <c r="J289" s="39">
        <v>330.0</v>
      </c>
      <c r="K289" s="25">
        <f t="shared" si="59"/>
        <v>5950</v>
      </c>
    </row>
    <row r="290" ht="13.5" customHeight="1">
      <c r="A290" s="54" t="s">
        <v>100</v>
      </c>
      <c r="B290" s="55"/>
      <c r="C290" s="55"/>
      <c r="D290" s="21"/>
      <c r="E290" s="36"/>
      <c r="F290" s="36"/>
      <c r="G290" s="21"/>
      <c r="H290" s="21"/>
      <c r="I290" s="21"/>
      <c r="J290" s="56"/>
      <c r="K290" s="25">
        <f t="shared" si="59"/>
        <v>0</v>
      </c>
    </row>
    <row r="291" ht="13.5" customHeight="1">
      <c r="A291" s="26" t="s">
        <v>101</v>
      </c>
      <c r="B291" s="7"/>
      <c r="C291" s="7"/>
      <c r="D291" s="21"/>
      <c r="E291" s="36"/>
      <c r="F291" s="37"/>
      <c r="G291" s="22"/>
      <c r="H291" s="21"/>
      <c r="I291" s="29"/>
      <c r="J291" s="29"/>
      <c r="K291" s="25">
        <f t="shared" si="59"/>
        <v>0</v>
      </c>
    </row>
    <row r="292" ht="13.5" customHeight="1">
      <c r="A292" s="18" t="s">
        <v>102</v>
      </c>
      <c r="B292" s="57"/>
      <c r="C292" s="57"/>
      <c r="D292" s="21"/>
      <c r="E292" s="36"/>
      <c r="F292" s="41"/>
      <c r="G292" s="58"/>
      <c r="H292" s="21"/>
      <c r="I292" s="23"/>
      <c r="J292" s="59"/>
      <c r="K292" s="25">
        <f t="shared" si="59"/>
        <v>0</v>
      </c>
    </row>
    <row r="293" ht="13.5" customHeight="1">
      <c r="A293" s="35" t="s">
        <v>103</v>
      </c>
      <c r="B293" s="27"/>
      <c r="C293" s="27"/>
      <c r="D293" s="21"/>
      <c r="E293" s="36"/>
      <c r="F293" s="37"/>
      <c r="G293" s="60"/>
      <c r="H293" s="21"/>
      <c r="I293" s="29"/>
      <c r="J293" s="61"/>
      <c r="K293" s="25">
        <f t="shared" si="59"/>
        <v>0</v>
      </c>
    </row>
    <row r="294" ht="13.5" customHeight="1">
      <c r="A294" s="40" t="s">
        <v>7</v>
      </c>
      <c r="B294" s="40"/>
      <c r="C294" s="40"/>
      <c r="D294" s="10">
        <f t="shared" ref="D294:J294" si="60">SUM(D284:D293)</f>
        <v>1480</v>
      </c>
      <c r="E294" s="10">
        <f t="shared" si="60"/>
        <v>200</v>
      </c>
      <c r="F294" s="10">
        <f t="shared" si="60"/>
        <v>2020</v>
      </c>
      <c r="G294" s="10">
        <f t="shared" si="60"/>
        <v>0</v>
      </c>
      <c r="H294" s="10">
        <f t="shared" si="60"/>
        <v>10830</v>
      </c>
      <c r="I294" s="10">
        <f t="shared" si="60"/>
        <v>0</v>
      </c>
      <c r="J294" s="10">
        <f t="shared" si="60"/>
        <v>830</v>
      </c>
      <c r="K294" s="25">
        <f t="shared" si="59"/>
        <v>15160</v>
      </c>
    </row>
    <row r="295" ht="13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</row>
    <row r="296" ht="13.5" customHeight="1">
      <c r="A296" s="48" t="s">
        <v>332</v>
      </c>
    </row>
    <row r="297" ht="13.5" customHeight="1">
      <c r="A297" s="14" t="s">
        <v>25</v>
      </c>
      <c r="B297" s="14" t="s">
        <v>1</v>
      </c>
      <c r="C297" s="14" t="s">
        <v>27</v>
      </c>
      <c r="D297" s="15" t="s">
        <v>2</v>
      </c>
      <c r="E297" s="16" t="s">
        <v>333</v>
      </c>
      <c r="F297" s="16" t="s">
        <v>3</v>
      </c>
      <c r="G297" s="14" t="s">
        <v>4</v>
      </c>
      <c r="H297" s="15" t="s">
        <v>5</v>
      </c>
      <c r="I297" s="15" t="s">
        <v>29</v>
      </c>
      <c r="J297" s="14" t="s">
        <v>30</v>
      </c>
      <c r="K297" s="17" t="s">
        <v>7</v>
      </c>
    </row>
    <row r="298" ht="13.5" customHeight="1">
      <c r="A298" s="18" t="s">
        <v>31</v>
      </c>
      <c r="B298" s="19" t="s">
        <v>172</v>
      </c>
      <c r="C298" s="20" t="s">
        <v>33</v>
      </c>
      <c r="D298" s="21">
        <v>150.0</v>
      </c>
      <c r="E298" s="36">
        <v>80.0</v>
      </c>
      <c r="F298" s="36">
        <v>280.0</v>
      </c>
      <c r="G298" s="32"/>
      <c r="H298" s="21">
        <v>630.0</v>
      </c>
      <c r="I298" s="21"/>
      <c r="J298" s="24">
        <v>110.0</v>
      </c>
      <c r="K298" s="25">
        <f t="shared" ref="K298:K308" si="61">SUM(D298:J298)</f>
        <v>1250</v>
      </c>
    </row>
    <row r="299" ht="13.5" customHeight="1">
      <c r="A299" s="26" t="s">
        <v>34</v>
      </c>
      <c r="B299" s="27"/>
      <c r="C299" s="28"/>
      <c r="D299" s="21">
        <v>360.0</v>
      </c>
      <c r="E299" s="36">
        <v>80.0</v>
      </c>
      <c r="F299" s="36">
        <v>560.0</v>
      </c>
      <c r="G299" s="22"/>
      <c r="H299" s="21">
        <v>840.0</v>
      </c>
      <c r="I299" s="21"/>
      <c r="J299" s="29">
        <v>160.0</v>
      </c>
      <c r="K299" s="25">
        <f t="shared" si="61"/>
        <v>2000</v>
      </c>
    </row>
    <row r="300" ht="13.5" customHeight="1">
      <c r="A300" s="18" t="s">
        <v>35</v>
      </c>
      <c r="B300" s="30">
        <v>2.0</v>
      </c>
      <c r="C300" s="31" t="s">
        <v>36</v>
      </c>
      <c r="D300" s="21"/>
      <c r="E300" s="36"/>
      <c r="F300" s="36"/>
      <c r="G300" s="32"/>
      <c r="H300" s="21"/>
      <c r="I300" s="21"/>
      <c r="J300" s="24"/>
      <c r="K300" s="25">
        <f t="shared" si="61"/>
        <v>0</v>
      </c>
    </row>
    <row r="301" ht="13.5" customHeight="1">
      <c r="A301" s="26" t="s">
        <v>37</v>
      </c>
      <c r="B301" s="33"/>
      <c r="C301" s="34"/>
      <c r="D301" s="21"/>
      <c r="E301" s="36"/>
      <c r="F301" s="36"/>
      <c r="G301" s="22"/>
      <c r="H301" s="21"/>
      <c r="I301" s="21"/>
      <c r="J301" s="29"/>
      <c r="K301" s="25">
        <f t="shared" si="61"/>
        <v>0</v>
      </c>
    </row>
    <row r="302" ht="15.0" customHeight="1">
      <c r="A302" s="18" t="s">
        <v>38</v>
      </c>
      <c r="B302" s="19" t="s">
        <v>39</v>
      </c>
      <c r="C302" s="19" t="s">
        <v>40</v>
      </c>
      <c r="D302" s="21">
        <v>430.0</v>
      </c>
      <c r="E302" s="41"/>
      <c r="F302" s="41">
        <v>620.0</v>
      </c>
      <c r="G302" s="32"/>
      <c r="H302" s="21">
        <v>4620.0</v>
      </c>
      <c r="I302" s="21"/>
      <c r="J302" s="24">
        <v>310.0</v>
      </c>
      <c r="K302" s="25">
        <f t="shared" si="61"/>
        <v>5980</v>
      </c>
    </row>
    <row r="303" ht="13.5" customHeight="1">
      <c r="A303" s="35" t="s">
        <v>41</v>
      </c>
      <c r="B303" s="27"/>
      <c r="C303" s="27"/>
      <c r="D303" s="21">
        <v>440.0</v>
      </c>
      <c r="E303" s="36"/>
      <c r="F303" s="37">
        <v>610.0</v>
      </c>
      <c r="G303" s="38"/>
      <c r="H303" s="21">
        <v>4630.0</v>
      </c>
      <c r="I303" s="21"/>
      <c r="J303" s="39">
        <v>320.0</v>
      </c>
      <c r="K303" s="25">
        <f t="shared" si="61"/>
        <v>6000</v>
      </c>
    </row>
    <row r="304" ht="13.5" customHeight="1">
      <c r="A304" s="54" t="s">
        <v>100</v>
      </c>
      <c r="B304" s="55"/>
      <c r="C304" s="55"/>
      <c r="D304" s="21"/>
      <c r="E304" s="36"/>
      <c r="F304" s="36"/>
      <c r="G304" s="21"/>
      <c r="H304" s="21"/>
      <c r="I304" s="21"/>
      <c r="J304" s="56"/>
      <c r="K304" s="25">
        <f t="shared" si="61"/>
        <v>0</v>
      </c>
    </row>
    <row r="305" ht="13.5" customHeight="1">
      <c r="A305" s="26" t="s">
        <v>101</v>
      </c>
      <c r="B305" s="7"/>
      <c r="C305" s="7"/>
      <c r="D305" s="21"/>
      <c r="E305" s="36"/>
      <c r="F305" s="37"/>
      <c r="G305" s="22"/>
      <c r="H305" s="21"/>
      <c r="I305" s="29"/>
      <c r="J305" s="29"/>
      <c r="K305" s="25">
        <f t="shared" si="61"/>
        <v>0</v>
      </c>
    </row>
    <row r="306" ht="13.5" customHeight="1">
      <c r="A306" s="18" t="s">
        <v>102</v>
      </c>
      <c r="B306" s="57"/>
      <c r="C306" s="57"/>
      <c r="D306" s="21"/>
      <c r="E306" s="36"/>
      <c r="F306" s="41"/>
      <c r="G306" s="58"/>
      <c r="H306" s="21"/>
      <c r="I306" s="23"/>
      <c r="J306" s="59"/>
      <c r="K306" s="25">
        <f t="shared" si="61"/>
        <v>0</v>
      </c>
    </row>
    <row r="307" ht="13.5" customHeight="1">
      <c r="A307" s="35" t="s">
        <v>103</v>
      </c>
      <c r="B307" s="27"/>
      <c r="C307" s="27"/>
      <c r="D307" s="21"/>
      <c r="E307" s="36"/>
      <c r="F307" s="37"/>
      <c r="G307" s="60"/>
      <c r="H307" s="21"/>
      <c r="I307" s="29"/>
      <c r="J307" s="61"/>
      <c r="K307" s="25">
        <f t="shared" si="61"/>
        <v>0</v>
      </c>
    </row>
    <row r="308" ht="13.5" customHeight="1">
      <c r="A308" s="40" t="s">
        <v>7</v>
      </c>
      <c r="B308" s="40"/>
      <c r="C308" s="40"/>
      <c r="D308" s="10">
        <f t="shared" ref="D308:J308" si="62">SUM(D298:D307)</f>
        <v>1380</v>
      </c>
      <c r="E308" s="10">
        <f t="shared" si="62"/>
        <v>160</v>
      </c>
      <c r="F308" s="10">
        <f t="shared" si="62"/>
        <v>2070</v>
      </c>
      <c r="G308" s="10">
        <f t="shared" si="62"/>
        <v>0</v>
      </c>
      <c r="H308" s="10">
        <f t="shared" si="62"/>
        <v>10720</v>
      </c>
      <c r="I308" s="10">
        <f t="shared" si="62"/>
        <v>0</v>
      </c>
      <c r="J308" s="10">
        <f t="shared" si="62"/>
        <v>900</v>
      </c>
      <c r="K308" s="25">
        <f t="shared" si="61"/>
        <v>15230</v>
      </c>
    </row>
    <row r="309" ht="13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 ht="13.5" customHeight="1">
      <c r="A311" s="64" t="s">
        <v>334</v>
      </c>
      <c r="B311" s="65"/>
      <c r="C311" s="65"/>
      <c r="D311" s="5"/>
      <c r="E311" s="10"/>
      <c r="F311" s="10"/>
      <c r="G311" s="10"/>
      <c r="H311" s="10"/>
      <c r="I311" s="10"/>
      <c r="J311" s="10"/>
      <c r="K311" s="10"/>
    </row>
    <row r="312" ht="13.5" customHeight="1">
      <c r="A312" s="15" t="s">
        <v>25</v>
      </c>
      <c r="B312" s="15" t="s">
        <v>1</v>
      </c>
      <c r="C312" s="15" t="s">
        <v>27</v>
      </c>
      <c r="D312" s="15" t="s">
        <v>2</v>
      </c>
      <c r="E312" s="10" t="s">
        <v>28</v>
      </c>
      <c r="F312" s="16" t="s">
        <v>3</v>
      </c>
      <c r="G312" s="15" t="s">
        <v>4</v>
      </c>
      <c r="H312" s="15" t="s">
        <v>5</v>
      </c>
      <c r="I312" s="15" t="s">
        <v>29</v>
      </c>
      <c r="J312" s="15" t="s">
        <v>30</v>
      </c>
      <c r="K312" s="10" t="s">
        <v>7</v>
      </c>
    </row>
    <row r="313" ht="13.5" customHeight="1">
      <c r="A313" s="10" t="s">
        <v>31</v>
      </c>
      <c r="B313" s="19">
        <v>1.2</v>
      </c>
      <c r="C313" s="10" t="s">
        <v>33</v>
      </c>
      <c r="D313" s="21">
        <f t="shared" ref="D313:J313" si="63">D4+D14+D23+D32+D41+D50+D60+D70+D80+D90+D99+D109+D118+D127+D136+D145+D154+D163+D172+D181+D190+D200+D210+D220+D230+D240+D250+D260+D270+D284</f>
        <v>10284</v>
      </c>
      <c r="E313" s="21">
        <f t="shared" si="63"/>
        <v>350</v>
      </c>
      <c r="F313" s="21">
        <f t="shared" si="63"/>
        <v>14188</v>
      </c>
      <c r="G313" s="21">
        <f t="shared" si="63"/>
        <v>355</v>
      </c>
      <c r="H313" s="21">
        <f t="shared" si="63"/>
        <v>22652</v>
      </c>
      <c r="I313" s="21">
        <f t="shared" si="63"/>
        <v>1200</v>
      </c>
      <c r="J313" s="21">
        <f t="shared" si="63"/>
        <v>3907</v>
      </c>
      <c r="K313" s="10">
        <f t="shared" ref="K313:K319" si="65">D313+F313+G313+H313+I313+J313</f>
        <v>52586</v>
      </c>
    </row>
    <row r="314" ht="13.5" customHeight="1">
      <c r="A314" s="10" t="s">
        <v>34</v>
      </c>
      <c r="B314" s="27"/>
      <c r="C314" s="10"/>
      <c r="D314" s="21">
        <f t="shared" ref="D314:J314" si="64">D5+D15+D24+D33+D42+D51+D61+D71+D81+D91+D100+D110+D119+D128+D137+D146+D155+D164+D173+D182+D191+D201+D211+D221+D231+D241+D251+D261+D271+D285</f>
        <v>11438</v>
      </c>
      <c r="E314" s="21">
        <f t="shared" si="64"/>
        <v>350</v>
      </c>
      <c r="F314" s="21">
        <f t="shared" si="64"/>
        <v>16256</v>
      </c>
      <c r="G314" s="21">
        <f t="shared" si="64"/>
        <v>240</v>
      </c>
      <c r="H314" s="21">
        <f t="shared" si="64"/>
        <v>22550</v>
      </c>
      <c r="I314" s="21">
        <f t="shared" si="64"/>
        <v>0</v>
      </c>
      <c r="J314" s="21">
        <f t="shared" si="64"/>
        <v>3092</v>
      </c>
      <c r="K314" s="10">
        <f t="shared" si="65"/>
        <v>53576</v>
      </c>
    </row>
    <row r="315" ht="13.5" customHeight="1">
      <c r="A315" s="10" t="s">
        <v>35</v>
      </c>
      <c r="B315" s="67">
        <v>2.0</v>
      </c>
      <c r="C315" s="15" t="s">
        <v>36</v>
      </c>
      <c r="D315" s="21">
        <f t="shared" ref="D315:J315" si="66">D6+D16+D25+D34+D43+D52+D62+D72+D82+D92+D101+D111+D120+D129+D138+D147+D156+D165+D174+D183+D192+D202+D212+D222+D232+D242+D252+D262+D272+D286</f>
        <v>0</v>
      </c>
      <c r="E315" s="21">
        <f t="shared" si="66"/>
        <v>0</v>
      </c>
      <c r="F315" s="21">
        <f t="shared" si="66"/>
        <v>0</v>
      </c>
      <c r="G315" s="21">
        <f t="shared" si="66"/>
        <v>0</v>
      </c>
      <c r="H315" s="21">
        <f t="shared" si="66"/>
        <v>0</v>
      </c>
      <c r="I315" s="21">
        <f t="shared" si="66"/>
        <v>510</v>
      </c>
      <c r="J315" s="21">
        <f t="shared" si="66"/>
        <v>120</v>
      </c>
      <c r="K315" s="10">
        <f t="shared" si="65"/>
        <v>630</v>
      </c>
    </row>
    <row r="316" ht="13.5" customHeight="1">
      <c r="A316" s="10" t="s">
        <v>37</v>
      </c>
      <c r="B316" s="67"/>
      <c r="C316" s="15"/>
      <c r="D316" s="21">
        <f t="shared" ref="D316:J316" si="67">D7+D17+D26+D35+D44+D53+D63+D73+D83+D93+D102+D112+D121+D130+D139+D148+D157+D166+D175+D184+D193+D203+D213+D223+D233+D243+D253+D263+D273+D287</f>
        <v>0</v>
      </c>
      <c r="E316" s="21">
        <f t="shared" si="67"/>
        <v>0</v>
      </c>
      <c r="F316" s="21">
        <f t="shared" si="67"/>
        <v>0</v>
      </c>
      <c r="G316" s="21">
        <f t="shared" si="67"/>
        <v>0</v>
      </c>
      <c r="H316" s="21">
        <f t="shared" si="67"/>
        <v>0</v>
      </c>
      <c r="I316" s="21">
        <f t="shared" si="67"/>
        <v>0</v>
      </c>
      <c r="J316" s="21">
        <f t="shared" si="67"/>
        <v>0</v>
      </c>
      <c r="K316" s="10">
        <f t="shared" si="65"/>
        <v>0</v>
      </c>
    </row>
    <row r="317" ht="15.0" customHeight="1">
      <c r="A317" s="10" t="s">
        <v>38</v>
      </c>
      <c r="B317" s="66" t="s">
        <v>39</v>
      </c>
      <c r="C317" s="66" t="s">
        <v>40</v>
      </c>
      <c r="D317" s="21">
        <f t="shared" ref="D317:J317" si="68">D8+D18+D27+D36+D45+D54+D64+D74+D84+D94+D103+D113+D122+D131+D140+D149+D158+D167+D176+D185+D194+D204+D214+D224+D234+D244+D254+D264+D274+D288</f>
        <v>9972</v>
      </c>
      <c r="E317" s="21">
        <f t="shared" si="68"/>
        <v>350</v>
      </c>
      <c r="F317" s="21">
        <f t="shared" si="68"/>
        <v>14086</v>
      </c>
      <c r="G317" s="21">
        <f t="shared" si="68"/>
        <v>750</v>
      </c>
      <c r="H317" s="21">
        <f t="shared" si="68"/>
        <v>127966</v>
      </c>
      <c r="I317" s="21">
        <f t="shared" si="68"/>
        <v>7770</v>
      </c>
      <c r="J317" s="21">
        <f t="shared" si="68"/>
        <v>8160</v>
      </c>
      <c r="K317" s="10">
        <f t="shared" si="65"/>
        <v>168704</v>
      </c>
    </row>
    <row r="318" ht="13.5" customHeight="1">
      <c r="A318" s="10" t="s">
        <v>41</v>
      </c>
      <c r="B318" s="7"/>
      <c r="C318" s="7"/>
      <c r="D318" s="21">
        <f t="shared" ref="D318:J318" si="69">D9+D19+D28+D37+D46+D55+D65+D75+D85+D95+D104+D114+D123+D132+D141+D150+D159+D168+D177+D186+D195+D205+D215+D225+D235+D245+D255+D265+D275+D289</f>
        <v>10127</v>
      </c>
      <c r="E318" s="21">
        <f t="shared" si="69"/>
        <v>350</v>
      </c>
      <c r="F318" s="21">
        <f t="shared" si="69"/>
        <v>14922</v>
      </c>
      <c r="G318" s="21">
        <f t="shared" si="69"/>
        <v>750</v>
      </c>
      <c r="H318" s="21">
        <f t="shared" si="69"/>
        <v>125319</v>
      </c>
      <c r="I318" s="21">
        <f t="shared" si="69"/>
        <v>8870</v>
      </c>
      <c r="J318" s="21">
        <f t="shared" si="69"/>
        <v>8230</v>
      </c>
      <c r="K318" s="10">
        <f t="shared" si="65"/>
        <v>168218</v>
      </c>
    </row>
    <row r="319" ht="13.5" customHeight="1">
      <c r="A319" s="10" t="s">
        <v>7</v>
      </c>
      <c r="B319" s="10"/>
      <c r="C319" s="10"/>
      <c r="D319" s="21">
        <f t="shared" ref="D319:J319" si="70">SUM(D313:D318)</f>
        <v>41821</v>
      </c>
      <c r="E319" s="21">
        <f t="shared" si="70"/>
        <v>1400</v>
      </c>
      <c r="F319" s="21">
        <f t="shared" si="70"/>
        <v>59452</v>
      </c>
      <c r="G319" s="21">
        <f t="shared" si="70"/>
        <v>2095</v>
      </c>
      <c r="H319" s="21">
        <f t="shared" si="70"/>
        <v>298487</v>
      </c>
      <c r="I319" s="21">
        <f t="shared" si="70"/>
        <v>18350</v>
      </c>
      <c r="J319" s="21">
        <f t="shared" si="70"/>
        <v>23509</v>
      </c>
      <c r="K319" s="10">
        <f t="shared" si="65"/>
        <v>443714</v>
      </c>
    </row>
    <row r="320" ht="13.5" customHeight="1">
      <c r="A320" s="10"/>
      <c r="B320" s="10"/>
      <c r="C320" s="10"/>
      <c r="D320" s="15" t="s">
        <v>2</v>
      </c>
      <c r="E320" s="10" t="s">
        <v>28</v>
      </c>
      <c r="F320" s="16" t="s">
        <v>3</v>
      </c>
      <c r="G320" s="15" t="s">
        <v>4</v>
      </c>
      <c r="H320" s="15" t="s">
        <v>5</v>
      </c>
      <c r="I320" s="15" t="s">
        <v>29</v>
      </c>
      <c r="J320" s="15" t="s">
        <v>30</v>
      </c>
      <c r="K320" s="10" t="s">
        <v>7</v>
      </c>
    </row>
    <row r="321" ht="13.5" customHeight="1">
      <c r="A321" s="10"/>
      <c r="B321" s="66" t="s">
        <v>335</v>
      </c>
      <c r="C321" s="10" t="s">
        <v>33</v>
      </c>
      <c r="D321" s="10">
        <f t="shared" ref="D321:K321" si="71">D313+D314</f>
        <v>21722</v>
      </c>
      <c r="E321" s="10">
        <f t="shared" si="71"/>
        <v>700</v>
      </c>
      <c r="F321" s="10">
        <f t="shared" si="71"/>
        <v>30444</v>
      </c>
      <c r="G321" s="10">
        <f t="shared" si="71"/>
        <v>595</v>
      </c>
      <c r="H321" s="10">
        <f t="shared" si="71"/>
        <v>45202</v>
      </c>
      <c r="I321" s="10">
        <f t="shared" si="71"/>
        <v>1200</v>
      </c>
      <c r="J321" s="10">
        <f t="shared" si="71"/>
        <v>6999</v>
      </c>
      <c r="K321" s="10">
        <f t="shared" si="71"/>
        <v>106162</v>
      </c>
      <c r="L321" s="68"/>
    </row>
    <row r="322" ht="13.5" customHeight="1">
      <c r="A322" s="10" t="s">
        <v>7</v>
      </c>
      <c r="B322" s="7"/>
      <c r="C322" s="10"/>
      <c r="D322" s="10"/>
      <c r="E322" s="10"/>
      <c r="F322" s="10"/>
      <c r="G322" s="10"/>
      <c r="H322" s="10"/>
      <c r="I322" s="10"/>
      <c r="J322" s="10"/>
      <c r="K322" s="10"/>
    </row>
    <row r="323" ht="13.5" customHeight="1">
      <c r="A323" s="10"/>
      <c r="B323" s="67">
        <v>2.0</v>
      </c>
      <c r="C323" s="15" t="s">
        <v>36</v>
      </c>
      <c r="D323" s="10">
        <f t="shared" ref="D323:J323" si="72">D315+D316</f>
        <v>0</v>
      </c>
      <c r="E323" s="10">
        <f t="shared" si="72"/>
        <v>0</v>
      </c>
      <c r="F323" s="10">
        <f t="shared" si="72"/>
        <v>0</v>
      </c>
      <c r="G323" s="10">
        <f t="shared" si="72"/>
        <v>0</v>
      </c>
      <c r="H323" s="10">
        <f t="shared" si="72"/>
        <v>0</v>
      </c>
      <c r="I323" s="10">
        <f t="shared" si="72"/>
        <v>510</v>
      </c>
      <c r="J323" s="10">
        <f t="shared" si="72"/>
        <v>120</v>
      </c>
      <c r="K323" s="10">
        <f>SUM(D323:J323)</f>
        <v>630</v>
      </c>
    </row>
    <row r="324" ht="13.5" customHeight="1">
      <c r="A324" s="10"/>
      <c r="B324" s="67"/>
      <c r="C324" s="15"/>
      <c r="D324" s="10"/>
      <c r="E324" s="10"/>
      <c r="F324" s="10"/>
      <c r="G324" s="10"/>
      <c r="H324" s="10"/>
      <c r="I324" s="10"/>
      <c r="J324" s="10"/>
      <c r="K324" s="10"/>
    </row>
    <row r="325" ht="14.25" customHeight="1">
      <c r="A325" s="10"/>
      <c r="B325" s="66" t="s">
        <v>39</v>
      </c>
      <c r="C325" s="66" t="s">
        <v>40</v>
      </c>
      <c r="D325" s="10">
        <f t="shared" ref="D325:J325" si="73">D317+D318</f>
        <v>20099</v>
      </c>
      <c r="E325" s="10">
        <f t="shared" si="73"/>
        <v>700</v>
      </c>
      <c r="F325" s="10">
        <f t="shared" si="73"/>
        <v>29008</v>
      </c>
      <c r="G325" s="10">
        <f t="shared" si="73"/>
        <v>1500</v>
      </c>
      <c r="H325" s="10">
        <f t="shared" si="73"/>
        <v>253285</v>
      </c>
      <c r="I325" s="10">
        <f t="shared" si="73"/>
        <v>16640</v>
      </c>
      <c r="J325" s="10">
        <f t="shared" si="73"/>
        <v>16390</v>
      </c>
      <c r="K325" s="10">
        <f>SUM(D325:J325)</f>
        <v>337622</v>
      </c>
    </row>
    <row r="326" ht="13.5" customHeight="1">
      <c r="A326" s="10"/>
      <c r="B326" s="7"/>
      <c r="C326" s="7"/>
      <c r="D326" s="10"/>
      <c r="E326" s="10"/>
      <c r="F326" s="10"/>
      <c r="G326" s="10"/>
      <c r="H326" s="10"/>
      <c r="I326" s="10"/>
      <c r="J326" s="10"/>
      <c r="K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>
        <f>SUM(K321:K326)</f>
        <v>444414</v>
      </c>
    </row>
    <row r="328" ht="13.5" customHeight="1"/>
    <row r="329" ht="13.5" customHeight="1">
      <c r="D329" s="69"/>
    </row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3">
    <mergeCell ref="B103:B104"/>
    <mergeCell ref="C103:C104"/>
    <mergeCell ref="A107:D107"/>
    <mergeCell ref="B109:B110"/>
    <mergeCell ref="B113:B114"/>
    <mergeCell ref="C113:C114"/>
    <mergeCell ref="A116:D116"/>
    <mergeCell ref="B118:B119"/>
    <mergeCell ref="B122:B123"/>
    <mergeCell ref="C122:C123"/>
    <mergeCell ref="A125:D125"/>
    <mergeCell ref="B127:B128"/>
    <mergeCell ref="C131:C132"/>
    <mergeCell ref="A134:D134"/>
    <mergeCell ref="B131:B132"/>
    <mergeCell ref="B136:B137"/>
    <mergeCell ref="B140:B141"/>
    <mergeCell ref="C140:C141"/>
    <mergeCell ref="A143:D143"/>
    <mergeCell ref="B145:B146"/>
    <mergeCell ref="B149:B150"/>
    <mergeCell ref="C149:C150"/>
    <mergeCell ref="A152:D152"/>
    <mergeCell ref="B154:B155"/>
    <mergeCell ref="B158:B159"/>
    <mergeCell ref="C158:C159"/>
    <mergeCell ref="A161:D161"/>
    <mergeCell ref="B163:B164"/>
    <mergeCell ref="B167:B168"/>
    <mergeCell ref="C167:C168"/>
    <mergeCell ref="A170:D170"/>
    <mergeCell ref="B172:B173"/>
    <mergeCell ref="B176:B177"/>
    <mergeCell ref="C176:C177"/>
    <mergeCell ref="A179:D179"/>
    <mergeCell ref="B185:B186"/>
    <mergeCell ref="C185:C186"/>
    <mergeCell ref="A188:D188"/>
    <mergeCell ref="B190:B191"/>
    <mergeCell ref="B194:B195"/>
    <mergeCell ref="C194:C195"/>
    <mergeCell ref="A198:D198"/>
    <mergeCell ref="B200:B201"/>
    <mergeCell ref="B204:B205"/>
    <mergeCell ref="C204:C205"/>
    <mergeCell ref="A208:D208"/>
    <mergeCell ref="B210:B211"/>
    <mergeCell ref="C214:C215"/>
    <mergeCell ref="A218:D218"/>
    <mergeCell ref="B214:B215"/>
    <mergeCell ref="B220:B221"/>
    <mergeCell ref="B224:B225"/>
    <mergeCell ref="C224:C225"/>
    <mergeCell ref="A228:D228"/>
    <mergeCell ref="B230:B231"/>
    <mergeCell ref="B234:B235"/>
    <mergeCell ref="B254:B255"/>
    <mergeCell ref="C254:C255"/>
    <mergeCell ref="A258:D258"/>
    <mergeCell ref="B260:B261"/>
    <mergeCell ref="C264:C265"/>
    <mergeCell ref="A267:D267"/>
    <mergeCell ref="A268:D268"/>
    <mergeCell ref="C278:C279"/>
    <mergeCell ref="A282:D282"/>
    <mergeCell ref="B264:B265"/>
    <mergeCell ref="B270:B271"/>
    <mergeCell ref="B274:B275"/>
    <mergeCell ref="C274:C275"/>
    <mergeCell ref="B276:B277"/>
    <mergeCell ref="C276:C277"/>
    <mergeCell ref="B278:B279"/>
    <mergeCell ref="B284:B285"/>
    <mergeCell ref="B288:B289"/>
    <mergeCell ref="C288:C289"/>
    <mergeCell ref="B290:B291"/>
    <mergeCell ref="C290:C291"/>
    <mergeCell ref="C292:C293"/>
    <mergeCell ref="A296:D296"/>
    <mergeCell ref="C306:C307"/>
    <mergeCell ref="A311:D311"/>
    <mergeCell ref="B313:B314"/>
    <mergeCell ref="B317:B318"/>
    <mergeCell ref="C317:C318"/>
    <mergeCell ref="B321:B322"/>
    <mergeCell ref="B325:B326"/>
    <mergeCell ref="C325:C326"/>
    <mergeCell ref="B292:B293"/>
    <mergeCell ref="B298:B299"/>
    <mergeCell ref="B302:B303"/>
    <mergeCell ref="C302:C303"/>
    <mergeCell ref="B304:B305"/>
    <mergeCell ref="C304:C305"/>
    <mergeCell ref="B306:B307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8:D88"/>
    <mergeCell ref="B90:B91"/>
    <mergeCell ref="B94:B95"/>
    <mergeCell ref="C94:C95"/>
    <mergeCell ref="A97:D97"/>
    <mergeCell ref="B99:B100"/>
    <mergeCell ref="C234:C235"/>
    <mergeCell ref="A238:D238"/>
    <mergeCell ref="B240:B241"/>
    <mergeCell ref="B244:B245"/>
    <mergeCell ref="C244:C245"/>
    <mergeCell ref="A248:D248"/>
    <mergeCell ref="B250:B251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336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333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>
        <v>1.2</v>
      </c>
      <c r="C4" s="20" t="s">
        <v>33</v>
      </c>
      <c r="D4" s="21">
        <v>160.0</v>
      </c>
      <c r="E4" s="10">
        <v>80.0</v>
      </c>
      <c r="F4" s="10">
        <v>220.0</v>
      </c>
      <c r="G4" s="22"/>
      <c r="H4" s="21">
        <v>590.0</v>
      </c>
      <c r="I4" s="23"/>
      <c r="J4" s="24">
        <v>100.0</v>
      </c>
      <c r="K4" s="25">
        <f t="shared" ref="K4:K10" si="1">SUM(D4:J4)</f>
        <v>1150</v>
      </c>
      <c r="L4" s="43" t="s">
        <v>337</v>
      </c>
    </row>
    <row r="5" ht="15.0" customHeight="1">
      <c r="A5" s="26" t="s">
        <v>34</v>
      </c>
      <c r="B5" s="27"/>
      <c r="C5" s="28"/>
      <c r="D5" s="21">
        <v>350.0</v>
      </c>
      <c r="E5" s="10">
        <v>80.0</v>
      </c>
      <c r="F5" s="10">
        <v>550.0</v>
      </c>
      <c r="G5" s="22"/>
      <c r="H5" s="21">
        <v>970.0</v>
      </c>
      <c r="I5" s="29"/>
      <c r="J5" s="29">
        <v>150.0</v>
      </c>
      <c r="K5" s="25">
        <f t="shared" si="1"/>
        <v>2100</v>
      </c>
    </row>
    <row r="6" ht="13.5" customHeight="1">
      <c r="A6" s="18" t="s">
        <v>35</v>
      </c>
      <c r="B6" s="30">
        <v>2.0</v>
      </c>
      <c r="C6" s="31" t="s">
        <v>36</v>
      </c>
      <c r="D6" s="21"/>
      <c r="E6" s="10"/>
      <c r="F6" s="10"/>
      <c r="G6" s="32"/>
      <c r="H6" s="21"/>
      <c r="I6" s="22"/>
      <c r="J6" s="22"/>
      <c r="K6" s="25">
        <f t="shared" si="1"/>
        <v>0</v>
      </c>
    </row>
    <row r="7" ht="13.5" customHeight="1">
      <c r="A7" s="26" t="s">
        <v>37</v>
      </c>
      <c r="B7" s="33"/>
      <c r="C7" s="34"/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430.0</v>
      </c>
      <c r="E8" s="10"/>
      <c r="F8" s="10">
        <v>610.0</v>
      </c>
      <c r="G8" s="22"/>
      <c r="H8" s="21">
        <v>5140.0</v>
      </c>
      <c r="I8" s="29"/>
      <c r="J8" s="29">
        <v>310.0</v>
      </c>
      <c r="K8" s="25">
        <f t="shared" si="1"/>
        <v>6490</v>
      </c>
    </row>
    <row r="9" ht="15.0" customHeight="1">
      <c r="A9" s="35" t="s">
        <v>41</v>
      </c>
      <c r="B9" s="27"/>
      <c r="C9" s="27"/>
      <c r="D9" s="21">
        <v>420.0</v>
      </c>
      <c r="E9" s="36"/>
      <c r="F9" s="37">
        <v>590.0</v>
      </c>
      <c r="G9" s="38"/>
      <c r="H9" s="21">
        <v>5151.0</v>
      </c>
      <c r="I9" s="29"/>
      <c r="J9" s="39">
        <v>320.0</v>
      </c>
      <c r="K9" s="25">
        <f t="shared" si="1"/>
        <v>6481</v>
      </c>
    </row>
    <row r="10" ht="13.5" customHeight="1">
      <c r="A10" s="40" t="s">
        <v>7</v>
      </c>
      <c r="B10" s="40"/>
      <c r="C10" s="40"/>
      <c r="D10" s="10">
        <f t="shared" ref="D10:J10" si="2">SUM(D4:D9)</f>
        <v>1360</v>
      </c>
      <c r="E10" s="10">
        <f t="shared" si="2"/>
        <v>160</v>
      </c>
      <c r="F10" s="10">
        <f t="shared" si="2"/>
        <v>1970</v>
      </c>
      <c r="G10" s="10">
        <f t="shared" si="2"/>
        <v>0</v>
      </c>
      <c r="H10" s="10">
        <f t="shared" si="2"/>
        <v>11851</v>
      </c>
      <c r="I10" s="10">
        <f t="shared" si="2"/>
        <v>0</v>
      </c>
      <c r="J10" s="10">
        <f t="shared" si="2"/>
        <v>880</v>
      </c>
      <c r="K10" s="25">
        <f t="shared" si="1"/>
        <v>16221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338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>
        <v>1.2</v>
      </c>
      <c r="C14" s="20" t="s">
        <v>33</v>
      </c>
      <c r="D14" s="21">
        <v>170.0</v>
      </c>
      <c r="E14" s="10">
        <v>80.0</v>
      </c>
      <c r="F14" s="36">
        <v>270.0</v>
      </c>
      <c r="G14" s="32"/>
      <c r="H14" s="21">
        <v>1090.0</v>
      </c>
      <c r="I14" s="23"/>
      <c r="J14" s="24">
        <v>100.0</v>
      </c>
      <c r="K14" s="25">
        <f t="shared" ref="K14:K20" si="3">SUM(D14:J14)</f>
        <v>1710</v>
      </c>
    </row>
    <row r="15" ht="13.5" customHeight="1">
      <c r="A15" s="26" t="s">
        <v>34</v>
      </c>
      <c r="B15" s="27"/>
      <c r="C15" s="28"/>
      <c r="D15" s="21">
        <v>320.0</v>
      </c>
      <c r="E15" s="10">
        <v>80.0</v>
      </c>
      <c r="F15" s="36">
        <v>500.0</v>
      </c>
      <c r="G15" s="22"/>
      <c r="H15" s="21">
        <v>940.0</v>
      </c>
      <c r="I15" s="29"/>
      <c r="J15" s="29">
        <v>110.0</v>
      </c>
      <c r="K15" s="25">
        <f t="shared" si="3"/>
        <v>1950</v>
      </c>
    </row>
    <row r="16" ht="13.5" customHeight="1">
      <c r="A16" s="18" t="s">
        <v>35</v>
      </c>
      <c r="B16" s="30">
        <v>2.0</v>
      </c>
      <c r="C16" s="31" t="s">
        <v>36</v>
      </c>
      <c r="D16" s="21"/>
      <c r="E16" s="10"/>
      <c r="F16" s="36"/>
      <c r="G16" s="32"/>
      <c r="H16" s="21"/>
      <c r="I16" s="23"/>
      <c r="J16" s="24"/>
      <c r="K16" s="25">
        <f t="shared" si="3"/>
        <v>0</v>
      </c>
    </row>
    <row r="17" ht="13.5" customHeight="1">
      <c r="A17" s="26" t="s">
        <v>37</v>
      </c>
      <c r="B17" s="33"/>
      <c r="C17" s="34"/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300.0</v>
      </c>
      <c r="E18" s="10"/>
      <c r="F18" s="41">
        <v>430.0</v>
      </c>
      <c r="G18" s="32"/>
      <c r="H18" s="21">
        <v>5180.0</v>
      </c>
      <c r="I18" s="23"/>
      <c r="J18" s="24">
        <v>300.0</v>
      </c>
      <c r="K18" s="25">
        <f t="shared" si="3"/>
        <v>6210</v>
      </c>
    </row>
    <row r="19" ht="13.5" customHeight="1">
      <c r="A19" s="35" t="s">
        <v>41</v>
      </c>
      <c r="B19" s="27"/>
      <c r="C19" s="27"/>
      <c r="D19" s="21">
        <v>330.0</v>
      </c>
      <c r="E19" s="36"/>
      <c r="F19" s="37">
        <v>420.0</v>
      </c>
      <c r="G19" s="38"/>
      <c r="H19" s="21">
        <v>5130.0</v>
      </c>
      <c r="I19" s="29"/>
      <c r="J19" s="39">
        <v>330.0</v>
      </c>
      <c r="K19" s="25">
        <f t="shared" si="3"/>
        <v>6210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1120</v>
      </c>
      <c r="E20" s="10">
        <f t="shared" si="4"/>
        <v>160</v>
      </c>
      <c r="F20" s="10">
        <f t="shared" si="4"/>
        <v>1620</v>
      </c>
      <c r="G20" s="10">
        <f t="shared" si="4"/>
        <v>0</v>
      </c>
      <c r="H20" s="10">
        <f t="shared" si="4"/>
        <v>12340</v>
      </c>
      <c r="I20" s="10">
        <f t="shared" si="4"/>
        <v>0</v>
      </c>
      <c r="J20" s="10">
        <f t="shared" si="4"/>
        <v>840</v>
      </c>
      <c r="K20" s="25">
        <f t="shared" si="3"/>
        <v>16080</v>
      </c>
    </row>
    <row r="21" ht="13.5" customHeight="1">
      <c r="A21" s="13" t="s">
        <v>339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>
        <v>1.2</v>
      </c>
      <c r="C23" s="20" t="s">
        <v>33</v>
      </c>
      <c r="D23" s="21">
        <v>200.0</v>
      </c>
      <c r="E23" s="10"/>
      <c r="F23" s="36"/>
      <c r="G23" s="32"/>
      <c r="H23" s="21">
        <v>1020.0</v>
      </c>
      <c r="I23" s="23"/>
      <c r="J23" s="24">
        <v>100.0</v>
      </c>
      <c r="K23" s="25">
        <f t="shared" ref="K23:K29" si="5">SUM(D23:J23)</f>
        <v>1320</v>
      </c>
    </row>
    <row r="24" ht="13.5" customHeight="1">
      <c r="A24" s="26" t="s">
        <v>34</v>
      </c>
      <c r="B24" s="27"/>
      <c r="C24" s="28"/>
      <c r="D24" s="21">
        <v>300.0</v>
      </c>
      <c r="E24" s="36"/>
      <c r="F24" s="37"/>
      <c r="G24" s="22"/>
      <c r="H24" s="21">
        <v>1400.0</v>
      </c>
      <c r="I24" s="29"/>
      <c r="J24" s="29">
        <v>120.0</v>
      </c>
      <c r="K24" s="25">
        <f t="shared" si="5"/>
        <v>1820</v>
      </c>
    </row>
    <row r="25" ht="13.5" customHeight="1">
      <c r="A25" s="18" t="s">
        <v>35</v>
      </c>
      <c r="B25" s="30">
        <v>2.0</v>
      </c>
      <c r="C25" s="31" t="s">
        <v>36</v>
      </c>
      <c r="D25" s="21"/>
      <c r="E25" s="10"/>
      <c r="F25" s="41"/>
      <c r="G25" s="32"/>
      <c r="H25" s="21"/>
      <c r="I25" s="23"/>
      <c r="J25" s="24"/>
      <c r="K25" s="25">
        <f t="shared" si="5"/>
        <v>0</v>
      </c>
    </row>
    <row r="26" ht="13.5" customHeight="1">
      <c r="A26" s="26" t="s">
        <v>37</v>
      </c>
      <c r="B26" s="33"/>
      <c r="C26" s="34"/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420.0</v>
      </c>
      <c r="E27" s="10"/>
      <c r="F27" s="41"/>
      <c r="G27" s="32"/>
      <c r="H27" s="21">
        <v>5530.0</v>
      </c>
      <c r="I27" s="23"/>
      <c r="J27" s="24">
        <v>330.0</v>
      </c>
      <c r="K27" s="25">
        <f t="shared" si="5"/>
        <v>6280</v>
      </c>
    </row>
    <row r="28" ht="13.5" customHeight="1">
      <c r="A28" s="35" t="s">
        <v>41</v>
      </c>
      <c r="B28" s="27"/>
      <c r="C28" s="27"/>
      <c r="D28" s="21">
        <v>430.0</v>
      </c>
      <c r="E28" s="10"/>
      <c r="F28" s="36"/>
      <c r="G28" s="22"/>
      <c r="H28" s="21">
        <v>5620.0</v>
      </c>
      <c r="I28" s="29"/>
      <c r="J28" s="29">
        <v>330.0</v>
      </c>
      <c r="K28" s="25">
        <f t="shared" si="5"/>
        <v>6380</v>
      </c>
    </row>
    <row r="29" ht="13.5" customHeight="1">
      <c r="A29" s="40" t="s">
        <v>7</v>
      </c>
      <c r="B29" s="40"/>
      <c r="C29" s="40">
        <v>547.0</v>
      </c>
      <c r="D29" s="10"/>
      <c r="E29" s="10"/>
      <c r="F29" s="10"/>
      <c r="G29" s="10"/>
      <c r="H29" s="10"/>
      <c r="I29" s="10"/>
      <c r="J29" s="10"/>
      <c r="K29" s="25">
        <f t="shared" si="5"/>
        <v>0</v>
      </c>
    </row>
    <row r="30" ht="13.5" customHeight="1">
      <c r="A30" s="13" t="s">
        <v>340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>
        <v>1.2</v>
      </c>
      <c r="C32" s="20" t="s">
        <v>33</v>
      </c>
      <c r="D32" s="21">
        <v>560.0</v>
      </c>
      <c r="E32" s="10"/>
      <c r="F32" s="36"/>
      <c r="G32" s="32"/>
      <c r="H32" s="21">
        <v>1040.0</v>
      </c>
      <c r="I32" s="23"/>
      <c r="J32" s="24">
        <v>90.0</v>
      </c>
      <c r="K32" s="25">
        <f t="shared" ref="K32:K37" si="6">SUM(D32:J32)</f>
        <v>1690</v>
      </c>
    </row>
    <row r="33" ht="13.5" customHeight="1">
      <c r="A33" s="26" t="s">
        <v>34</v>
      </c>
      <c r="B33" s="27"/>
      <c r="C33" s="28"/>
      <c r="D33" s="21">
        <v>440.0</v>
      </c>
      <c r="E33" s="10"/>
      <c r="F33" s="36">
        <v>530.0</v>
      </c>
      <c r="G33" s="22"/>
      <c r="H33" s="21">
        <v>1010.0</v>
      </c>
      <c r="I33" s="21"/>
      <c r="J33" s="29">
        <v>160.0</v>
      </c>
      <c r="K33" s="25">
        <f t="shared" si="6"/>
        <v>2140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6"/>
        <v>0</v>
      </c>
    </row>
    <row r="35" ht="13.5" customHeight="1">
      <c r="A35" s="26" t="s">
        <v>37</v>
      </c>
      <c r="B35" s="33"/>
      <c r="C35" s="34"/>
      <c r="D35" s="21"/>
      <c r="E35" s="10"/>
      <c r="F35" s="36"/>
      <c r="G35" s="38"/>
      <c r="H35" s="21"/>
      <c r="I35" s="21"/>
      <c r="J35" s="29"/>
      <c r="K35" s="25">
        <f t="shared" si="6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420.0</v>
      </c>
      <c r="E36" s="10"/>
      <c r="F36" s="41"/>
      <c r="G36" s="32"/>
      <c r="H36" s="21">
        <v>5610.0</v>
      </c>
      <c r="I36" s="21"/>
      <c r="J36" s="24">
        <v>310.0</v>
      </c>
      <c r="K36" s="25">
        <f t="shared" si="6"/>
        <v>6340</v>
      </c>
    </row>
    <row r="37" ht="13.5" customHeight="1">
      <c r="A37" s="35" t="s">
        <v>41</v>
      </c>
      <c r="B37" s="27"/>
      <c r="C37" s="27"/>
      <c r="D37" s="21">
        <v>420.0</v>
      </c>
      <c r="E37" s="36"/>
      <c r="F37" s="37">
        <v>630.0</v>
      </c>
      <c r="G37" s="22"/>
      <c r="H37" s="21">
        <v>5020.0</v>
      </c>
      <c r="I37" s="29"/>
      <c r="J37" s="39">
        <v>320.0</v>
      </c>
      <c r="K37" s="25">
        <f t="shared" si="6"/>
        <v>6390</v>
      </c>
    </row>
    <row r="38" ht="13.5" customHeight="1">
      <c r="A38" s="40" t="s">
        <v>7</v>
      </c>
      <c r="B38" s="40"/>
      <c r="C38" s="40">
        <v>547.0</v>
      </c>
      <c r="D38" s="10">
        <f t="shared" ref="D38:K38" si="7">SUM(D32:D37)</f>
        <v>1840</v>
      </c>
      <c r="E38" s="10">
        <f t="shared" si="7"/>
        <v>0</v>
      </c>
      <c r="F38" s="10">
        <f t="shared" si="7"/>
        <v>1160</v>
      </c>
      <c r="G38" s="10">
        <f t="shared" si="7"/>
        <v>0</v>
      </c>
      <c r="H38" s="10">
        <f t="shared" si="7"/>
        <v>12680</v>
      </c>
      <c r="I38" s="10">
        <f t="shared" si="7"/>
        <v>0</v>
      </c>
      <c r="J38" s="10">
        <f t="shared" si="7"/>
        <v>880</v>
      </c>
      <c r="K38" s="10">
        <f t="shared" si="7"/>
        <v>16560</v>
      </c>
    </row>
    <row r="39" ht="13.5" customHeight="1">
      <c r="A39" s="42" t="s">
        <v>341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1.2</v>
      </c>
      <c r="C41" s="20" t="s">
        <v>33</v>
      </c>
      <c r="D41" s="21">
        <v>250.0</v>
      </c>
      <c r="E41" s="10"/>
      <c r="F41" s="36">
        <v>300.0</v>
      </c>
      <c r="G41" s="32"/>
      <c r="H41" s="21">
        <v>1000.0</v>
      </c>
      <c r="I41" s="21"/>
      <c r="J41" s="24">
        <v>100.0</v>
      </c>
      <c r="K41" s="25">
        <f t="shared" ref="K41:K47" si="8">SUM(D41:J41)</f>
        <v>1650</v>
      </c>
    </row>
    <row r="42" ht="13.5" customHeight="1">
      <c r="A42" s="26" t="s">
        <v>34</v>
      </c>
      <c r="B42" s="27"/>
      <c r="C42" s="28"/>
      <c r="D42" s="21">
        <v>400.0</v>
      </c>
      <c r="E42" s="10"/>
      <c r="F42" s="36">
        <v>500.0</v>
      </c>
      <c r="G42" s="22"/>
      <c r="H42" s="21">
        <v>1030.0</v>
      </c>
      <c r="I42" s="21"/>
      <c r="J42" s="29">
        <v>120.0</v>
      </c>
      <c r="K42" s="25">
        <f t="shared" si="8"/>
        <v>2050</v>
      </c>
    </row>
    <row r="43" ht="13.5" customHeight="1">
      <c r="A43" s="18" t="s">
        <v>35</v>
      </c>
      <c r="B43" s="30">
        <v>2.0</v>
      </c>
      <c r="C43" s="31" t="s">
        <v>36</v>
      </c>
      <c r="D43" s="21"/>
      <c r="E43" s="10"/>
      <c r="F43" s="36"/>
      <c r="G43" s="32"/>
      <c r="H43" s="21"/>
      <c r="I43" s="21"/>
      <c r="J43" s="24"/>
      <c r="K43" s="25">
        <f t="shared" si="8"/>
        <v>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8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430.0</v>
      </c>
      <c r="E45" s="10"/>
      <c r="F45" s="41">
        <v>600.0</v>
      </c>
      <c r="G45" s="32"/>
      <c r="H45" s="21">
        <v>5260.0</v>
      </c>
      <c r="I45" s="21"/>
      <c r="J45" s="24">
        <v>310.0</v>
      </c>
      <c r="K45" s="25">
        <f t="shared" si="8"/>
        <v>6600</v>
      </c>
    </row>
    <row r="46" ht="13.5" customHeight="1">
      <c r="A46" s="35" t="s">
        <v>41</v>
      </c>
      <c r="B46" s="27"/>
      <c r="C46" s="27"/>
      <c r="D46" s="21">
        <v>450.0</v>
      </c>
      <c r="E46" s="36"/>
      <c r="F46" s="37">
        <v>580.0</v>
      </c>
      <c r="G46" s="38"/>
      <c r="H46" s="21">
        <v>5270.0</v>
      </c>
      <c r="I46" s="21"/>
      <c r="J46" s="39">
        <v>280.0</v>
      </c>
      <c r="K46" s="25">
        <f t="shared" si="8"/>
        <v>6580</v>
      </c>
    </row>
    <row r="47" ht="13.5" customHeight="1">
      <c r="A47" s="40" t="s">
        <v>7</v>
      </c>
      <c r="B47" s="40"/>
      <c r="C47" s="40">
        <v>547.0</v>
      </c>
      <c r="D47" s="10">
        <f t="shared" ref="D47:J47" si="9">SUM(D41:D46)</f>
        <v>1530</v>
      </c>
      <c r="E47" s="10">
        <f t="shared" si="9"/>
        <v>0</v>
      </c>
      <c r="F47" s="10">
        <f t="shared" si="9"/>
        <v>1980</v>
      </c>
      <c r="G47" s="10">
        <f t="shared" si="9"/>
        <v>0</v>
      </c>
      <c r="H47" s="10">
        <f t="shared" si="9"/>
        <v>12560</v>
      </c>
      <c r="I47" s="10">
        <f t="shared" si="9"/>
        <v>0</v>
      </c>
      <c r="J47" s="10">
        <f t="shared" si="9"/>
        <v>810</v>
      </c>
      <c r="K47" s="25">
        <f t="shared" si="8"/>
        <v>16880</v>
      </c>
    </row>
    <row r="48" ht="13.5" customHeight="1">
      <c r="A48" s="13" t="s">
        <v>342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1.2</v>
      </c>
      <c r="C50" s="20" t="s">
        <v>33</v>
      </c>
      <c r="D50" s="21">
        <v>260.0</v>
      </c>
      <c r="E50" s="10"/>
      <c r="F50" s="36">
        <v>350.0</v>
      </c>
      <c r="G50" s="32"/>
      <c r="H50" s="21">
        <v>990.0</v>
      </c>
      <c r="I50" s="21"/>
      <c r="J50" s="24">
        <v>100.0</v>
      </c>
      <c r="K50" s="25">
        <f t="shared" ref="K50:K56" si="10">SUM(D50:J50)</f>
        <v>1700</v>
      </c>
    </row>
    <row r="51" ht="13.5" customHeight="1">
      <c r="A51" s="26" t="s">
        <v>34</v>
      </c>
      <c r="B51" s="27"/>
      <c r="C51" s="28">
        <v>206.0</v>
      </c>
      <c r="D51" s="21">
        <v>380.0</v>
      </c>
      <c r="E51" s="10"/>
      <c r="F51" s="36">
        <v>500.0</v>
      </c>
      <c r="G51" s="22"/>
      <c r="H51" s="21">
        <v>1300.0</v>
      </c>
      <c r="I51" s="21"/>
      <c r="J51" s="29"/>
      <c r="K51" s="25">
        <f t="shared" si="10"/>
        <v>2180</v>
      </c>
    </row>
    <row r="52" ht="13.5" customHeight="1">
      <c r="A52" s="18" t="s">
        <v>35</v>
      </c>
      <c r="B52" s="30">
        <v>2.0</v>
      </c>
      <c r="C52" s="31" t="s">
        <v>36</v>
      </c>
      <c r="D52" s="21"/>
      <c r="E52" s="10"/>
      <c r="F52" s="36"/>
      <c r="G52" s="38"/>
      <c r="H52" s="21"/>
      <c r="I52" s="21"/>
      <c r="J52" s="29"/>
      <c r="K52" s="25">
        <f t="shared" si="10"/>
        <v>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0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420.0</v>
      </c>
      <c r="E54" s="10"/>
      <c r="F54" s="41">
        <v>650.0</v>
      </c>
      <c r="G54" s="32"/>
      <c r="H54" s="21">
        <v>5530.0</v>
      </c>
      <c r="I54" s="21"/>
      <c r="J54" s="24">
        <v>100.0</v>
      </c>
      <c r="K54" s="25">
        <f t="shared" si="10"/>
        <v>6700</v>
      </c>
    </row>
    <row r="55" ht="13.5" customHeight="1">
      <c r="A55" s="35" t="s">
        <v>41</v>
      </c>
      <c r="B55" s="27"/>
      <c r="C55" s="27"/>
      <c r="D55" s="21">
        <v>420.0</v>
      </c>
      <c r="E55" s="36"/>
      <c r="F55" s="37">
        <v>550.0</v>
      </c>
      <c r="G55" s="38"/>
      <c r="H55" s="21">
        <v>5690.0</v>
      </c>
      <c r="I55" s="21"/>
      <c r="J55" s="39">
        <v>100.0</v>
      </c>
      <c r="K55" s="25">
        <f t="shared" si="10"/>
        <v>6760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1">SUM(D50:D55)</f>
        <v>1480</v>
      </c>
      <c r="E56" s="10">
        <f t="shared" si="11"/>
        <v>0</v>
      </c>
      <c r="F56" s="10">
        <f t="shared" si="11"/>
        <v>2050</v>
      </c>
      <c r="G56" s="10">
        <f t="shared" si="11"/>
        <v>0</v>
      </c>
      <c r="H56" s="10">
        <f t="shared" si="11"/>
        <v>13510</v>
      </c>
      <c r="I56" s="10">
        <f t="shared" si="11"/>
        <v>0</v>
      </c>
      <c r="J56" s="10">
        <f t="shared" si="11"/>
        <v>300</v>
      </c>
      <c r="K56" s="25">
        <f t="shared" si="10"/>
        <v>17340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343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  <c r="L59" s="43" t="s">
        <v>325</v>
      </c>
    </row>
    <row r="60" ht="13.5" customHeight="1">
      <c r="A60" s="18" t="s">
        <v>31</v>
      </c>
      <c r="B60" s="19">
        <v>1.2</v>
      </c>
      <c r="C60" s="20" t="s">
        <v>33</v>
      </c>
      <c r="D60" s="21">
        <v>260.0</v>
      </c>
      <c r="E60" s="10"/>
      <c r="F60" s="36">
        <v>300.0</v>
      </c>
      <c r="G60" s="21"/>
      <c r="H60" s="10">
        <v>1240.0</v>
      </c>
      <c r="I60" s="10"/>
      <c r="J60" s="24"/>
      <c r="K60" s="25">
        <f t="shared" ref="K60:K66" si="12">SUM(D60:J60)</f>
        <v>1800</v>
      </c>
    </row>
    <row r="61" ht="13.5" customHeight="1">
      <c r="A61" s="26" t="s">
        <v>34</v>
      </c>
      <c r="B61" s="27"/>
      <c r="C61" s="28"/>
      <c r="D61" s="21">
        <v>380.0</v>
      </c>
      <c r="E61" s="10"/>
      <c r="F61" s="36">
        <v>480.0</v>
      </c>
      <c r="G61" s="21"/>
      <c r="H61" s="10">
        <v>1290.0</v>
      </c>
      <c r="I61" s="10"/>
      <c r="J61" s="29"/>
      <c r="K61" s="25">
        <f t="shared" si="12"/>
        <v>2150</v>
      </c>
    </row>
    <row r="62" ht="13.5" customHeight="1">
      <c r="A62" s="18" t="s">
        <v>35</v>
      </c>
      <c r="B62" s="30">
        <v>2.0</v>
      </c>
      <c r="C62" s="31" t="s">
        <v>36</v>
      </c>
      <c r="D62" s="21"/>
      <c r="E62" s="10"/>
      <c r="F62" s="36"/>
      <c r="G62" s="21"/>
      <c r="H62" s="10"/>
      <c r="I62" s="10"/>
      <c r="J62" s="24"/>
      <c r="K62" s="25">
        <f t="shared" si="12"/>
        <v>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2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440.0</v>
      </c>
      <c r="E64" s="10"/>
      <c r="F64" s="43">
        <v>600.0</v>
      </c>
      <c r="G64" s="21"/>
      <c r="H64" s="10">
        <v>5700.0</v>
      </c>
      <c r="I64" s="10"/>
      <c r="J64" s="24"/>
      <c r="K64" s="25">
        <f t="shared" si="12"/>
        <v>6740</v>
      </c>
      <c r="L64" s="10">
        <v>100.0</v>
      </c>
    </row>
    <row r="65" ht="13.5" customHeight="1">
      <c r="A65" s="35" t="s">
        <v>41</v>
      </c>
      <c r="B65" s="27"/>
      <c r="C65" s="27"/>
      <c r="D65" s="21">
        <v>420.0</v>
      </c>
      <c r="E65" s="36"/>
      <c r="F65" s="36">
        <v>580.0</v>
      </c>
      <c r="G65" s="21"/>
      <c r="H65" s="10">
        <v>5680.0</v>
      </c>
      <c r="I65" s="10"/>
      <c r="J65" s="39"/>
      <c r="K65" s="25">
        <f t="shared" si="12"/>
        <v>6680</v>
      </c>
      <c r="L65" s="36">
        <v>100.0</v>
      </c>
    </row>
    <row r="66" ht="13.5" customHeight="1">
      <c r="A66" s="40" t="s">
        <v>7</v>
      </c>
      <c r="B66" s="40"/>
      <c r="C66" s="40">
        <v>547.0</v>
      </c>
      <c r="D66" s="10">
        <f t="shared" ref="D66:J66" si="13">SUM(D60:D65)</f>
        <v>1500</v>
      </c>
      <c r="E66" s="10">
        <f t="shared" si="13"/>
        <v>0</v>
      </c>
      <c r="F66" s="10">
        <f t="shared" si="13"/>
        <v>1960</v>
      </c>
      <c r="G66" s="10">
        <f t="shared" si="13"/>
        <v>0</v>
      </c>
      <c r="H66" s="10">
        <f t="shared" si="13"/>
        <v>13910</v>
      </c>
      <c r="I66" s="10">
        <f t="shared" si="13"/>
        <v>0</v>
      </c>
      <c r="J66" s="10">
        <f t="shared" si="13"/>
        <v>0</v>
      </c>
      <c r="K66" s="25">
        <f t="shared" si="12"/>
        <v>17370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344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  <c r="L69" s="43" t="s">
        <v>325</v>
      </c>
    </row>
    <row r="70" ht="13.5" customHeight="1">
      <c r="A70" s="18" t="s">
        <v>31</v>
      </c>
      <c r="B70" s="19">
        <v>1.13</v>
      </c>
      <c r="C70" s="20" t="s">
        <v>33</v>
      </c>
      <c r="D70" s="21">
        <v>310.0</v>
      </c>
      <c r="E70" s="10"/>
      <c r="F70" s="36">
        <v>600.0</v>
      </c>
      <c r="G70" s="21"/>
      <c r="H70" s="10">
        <v>3170.0</v>
      </c>
      <c r="I70" s="10"/>
      <c r="J70" s="24"/>
      <c r="K70" s="25">
        <f t="shared" ref="K70:K76" si="14">SUM(D70:J70)</f>
        <v>4080</v>
      </c>
    </row>
    <row r="71" ht="13.5" customHeight="1">
      <c r="A71" s="26" t="s">
        <v>34</v>
      </c>
      <c r="B71" s="27"/>
      <c r="C71" s="28"/>
      <c r="D71" s="21">
        <v>370.0</v>
      </c>
      <c r="E71" s="10"/>
      <c r="F71" s="36">
        <v>470.0</v>
      </c>
      <c r="G71" s="21"/>
      <c r="H71" s="10">
        <v>1360.0</v>
      </c>
      <c r="I71" s="10"/>
      <c r="J71" s="29"/>
      <c r="K71" s="25">
        <f t="shared" si="14"/>
        <v>2200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4"/>
        <v>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>
        <v>5820.0</v>
      </c>
      <c r="I73" s="10"/>
      <c r="J73" s="29"/>
      <c r="K73" s="25">
        <f t="shared" si="14"/>
        <v>5820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420.0</v>
      </c>
      <c r="E74" s="10"/>
      <c r="F74" s="10">
        <v>600.0</v>
      </c>
      <c r="G74" s="21"/>
      <c r="H74" s="10">
        <v>5930.0</v>
      </c>
      <c r="I74" s="10"/>
      <c r="J74" s="24"/>
      <c r="K74" s="25">
        <f t="shared" si="14"/>
        <v>6950</v>
      </c>
      <c r="L74" s="10">
        <v>100.0</v>
      </c>
    </row>
    <row r="75" ht="13.5" customHeight="1">
      <c r="A75" s="35" t="s">
        <v>41</v>
      </c>
      <c r="B75" s="27"/>
      <c r="C75" s="27"/>
      <c r="D75" s="21">
        <v>400.0</v>
      </c>
      <c r="E75" s="36"/>
      <c r="F75" s="36">
        <v>600.0</v>
      </c>
      <c r="G75" s="21"/>
      <c r="H75" s="10"/>
      <c r="I75" s="10"/>
      <c r="J75" s="39"/>
      <c r="K75" s="25">
        <f t="shared" si="14"/>
        <v>1000</v>
      </c>
      <c r="L75" s="36">
        <v>100.0</v>
      </c>
    </row>
    <row r="76" ht="13.5" customHeight="1">
      <c r="A76" s="40" t="s">
        <v>7</v>
      </c>
      <c r="B76" s="40"/>
      <c r="C76" s="40">
        <v>547.0</v>
      </c>
      <c r="D76" s="40">
        <f t="shared" ref="D76:J76" si="15">SUM(D70:D75)</f>
        <v>1500</v>
      </c>
      <c r="E76" s="40">
        <f t="shared" si="15"/>
        <v>0</v>
      </c>
      <c r="F76" s="40">
        <f t="shared" si="15"/>
        <v>2270</v>
      </c>
      <c r="G76" s="40">
        <f t="shared" si="15"/>
        <v>0</v>
      </c>
      <c r="H76" s="40">
        <f t="shared" si="15"/>
        <v>16280</v>
      </c>
      <c r="I76" s="40">
        <f t="shared" si="15"/>
        <v>0</v>
      </c>
      <c r="J76" s="40">
        <f t="shared" si="15"/>
        <v>0</v>
      </c>
      <c r="K76" s="25">
        <f t="shared" si="14"/>
        <v>20050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345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  <c r="L79" s="43" t="s">
        <v>325</v>
      </c>
    </row>
    <row r="80" ht="13.5" customHeight="1">
      <c r="A80" s="18" t="s">
        <v>31</v>
      </c>
      <c r="B80" s="19">
        <v>1.2</v>
      </c>
      <c r="C80" s="20" t="s">
        <v>33</v>
      </c>
      <c r="D80" s="21">
        <v>270.0</v>
      </c>
      <c r="E80" s="36"/>
      <c r="F80" s="36">
        <v>300.0</v>
      </c>
      <c r="G80" s="22"/>
      <c r="H80" s="21">
        <v>1410.0</v>
      </c>
      <c r="I80" s="21"/>
      <c r="J80" s="29"/>
      <c r="K80" s="25">
        <f t="shared" ref="K80:K86" si="16">SUM(D80:J80)</f>
        <v>1980</v>
      </c>
    </row>
    <row r="81" ht="13.5" customHeight="1">
      <c r="A81" s="26" t="s">
        <v>34</v>
      </c>
      <c r="B81" s="27"/>
      <c r="C81" s="28"/>
      <c r="D81" s="21">
        <v>380.0</v>
      </c>
      <c r="E81" s="36"/>
      <c r="F81" s="36">
        <v>500.0</v>
      </c>
      <c r="G81" s="22"/>
      <c r="H81" s="21">
        <v>1420.0</v>
      </c>
      <c r="I81" s="21"/>
      <c r="J81" s="29"/>
      <c r="K81" s="25">
        <f t="shared" si="16"/>
        <v>2300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6"/>
        <v>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6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420.0</v>
      </c>
      <c r="E84" s="41"/>
      <c r="F84" s="41">
        <v>600.0</v>
      </c>
      <c r="G84" s="32"/>
      <c r="H84" s="44">
        <v>6960.0</v>
      </c>
      <c r="I84" s="21"/>
      <c r="J84" s="24"/>
      <c r="K84" s="25">
        <f t="shared" si="16"/>
        <v>7980</v>
      </c>
      <c r="L84" s="10">
        <v>100.0</v>
      </c>
    </row>
    <row r="85" ht="13.5" customHeight="1">
      <c r="A85" s="35" t="s">
        <v>41</v>
      </c>
      <c r="B85" s="27"/>
      <c r="C85" s="27"/>
      <c r="D85" s="21">
        <v>440.0</v>
      </c>
      <c r="E85" s="36"/>
      <c r="F85" s="37">
        <v>600.0</v>
      </c>
      <c r="G85" s="38"/>
      <c r="H85" s="21">
        <v>7100.0</v>
      </c>
      <c r="I85" s="29"/>
      <c r="J85" s="39"/>
      <c r="K85" s="25">
        <f t="shared" si="16"/>
        <v>8140</v>
      </c>
      <c r="L85" s="36">
        <v>100.0</v>
      </c>
    </row>
    <row r="86" ht="13.5" customHeight="1">
      <c r="A86" s="40" t="s">
        <v>7</v>
      </c>
      <c r="B86" s="40"/>
      <c r="C86" s="40">
        <v>547.0</v>
      </c>
      <c r="D86" s="10">
        <f t="shared" ref="D86:J86" si="17">SUM(D80:D85)</f>
        <v>1510</v>
      </c>
      <c r="E86" s="10">
        <f t="shared" si="17"/>
        <v>0</v>
      </c>
      <c r="F86" s="10">
        <f t="shared" si="17"/>
        <v>2000</v>
      </c>
      <c r="G86" s="10">
        <f t="shared" si="17"/>
        <v>0</v>
      </c>
      <c r="H86" s="10">
        <f t="shared" si="17"/>
        <v>16890</v>
      </c>
      <c r="I86" s="10">
        <f t="shared" si="17"/>
        <v>0</v>
      </c>
      <c r="J86" s="10">
        <f t="shared" si="17"/>
        <v>0</v>
      </c>
      <c r="K86" s="25">
        <f t="shared" si="16"/>
        <v>20400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3" t="s">
        <v>346</v>
      </c>
    </row>
    <row r="89" ht="13.5" customHeight="1">
      <c r="A89" s="14" t="s">
        <v>25</v>
      </c>
      <c r="B89" s="14" t="s">
        <v>1</v>
      </c>
      <c r="C89" s="14" t="s">
        <v>27</v>
      </c>
      <c r="D89" s="15" t="s">
        <v>2</v>
      </c>
      <c r="E89" s="10" t="s">
        <v>28</v>
      </c>
      <c r="F89" s="16" t="s">
        <v>3</v>
      </c>
      <c r="G89" s="15" t="s">
        <v>4</v>
      </c>
      <c r="H89" s="15" t="s">
        <v>5</v>
      </c>
      <c r="I89" s="15" t="s">
        <v>29</v>
      </c>
      <c r="J89" s="14" t="s">
        <v>30</v>
      </c>
      <c r="K89" s="17" t="s">
        <v>7</v>
      </c>
      <c r="L89" s="43" t="s">
        <v>325</v>
      </c>
    </row>
    <row r="90" ht="14.25" customHeight="1">
      <c r="A90" s="18" t="s">
        <v>31</v>
      </c>
      <c r="B90" s="19">
        <v>1.2</v>
      </c>
      <c r="C90" s="20" t="s">
        <v>33</v>
      </c>
      <c r="D90" s="21">
        <v>310.0</v>
      </c>
      <c r="E90" s="10"/>
      <c r="F90" s="36">
        <v>550.0</v>
      </c>
      <c r="G90" s="32"/>
      <c r="H90" s="21">
        <v>1340.0</v>
      </c>
      <c r="I90" s="21"/>
      <c r="J90" s="24"/>
      <c r="K90" s="25">
        <f t="shared" ref="K90:K96" si="18">SUM(D90:J90)</f>
        <v>2200</v>
      </c>
    </row>
    <row r="91" ht="13.5" customHeight="1">
      <c r="A91" s="26" t="s">
        <v>34</v>
      </c>
      <c r="B91" s="27"/>
      <c r="C91" s="28"/>
      <c r="D91" s="21">
        <v>330.0</v>
      </c>
      <c r="E91" s="10"/>
      <c r="F91" s="36"/>
      <c r="G91" s="32"/>
      <c r="H91" s="21">
        <v>1540.0</v>
      </c>
      <c r="I91" s="21"/>
      <c r="J91" s="29">
        <v>100.0</v>
      </c>
      <c r="K91" s="25">
        <f t="shared" si="18"/>
        <v>1970</v>
      </c>
    </row>
    <row r="92" ht="13.5" customHeight="1">
      <c r="A92" s="18" t="s">
        <v>35</v>
      </c>
      <c r="B92" s="30">
        <v>2.0</v>
      </c>
      <c r="C92" s="31" t="s">
        <v>36</v>
      </c>
      <c r="D92" s="21"/>
      <c r="E92" s="10"/>
      <c r="F92" s="36"/>
      <c r="G92" s="32"/>
      <c r="H92" s="21"/>
      <c r="I92" s="21"/>
      <c r="J92" s="24"/>
      <c r="K92" s="25">
        <f t="shared" si="18"/>
        <v>0</v>
      </c>
    </row>
    <row r="93" ht="13.5" customHeight="1">
      <c r="A93" s="26" t="s">
        <v>37</v>
      </c>
      <c r="B93" s="33"/>
      <c r="C93" s="34">
        <v>91.0</v>
      </c>
      <c r="D93" s="21"/>
      <c r="E93" s="10"/>
      <c r="F93" s="36"/>
      <c r="G93" s="32"/>
      <c r="H93" s="21"/>
      <c r="I93" s="21"/>
      <c r="J93" s="29"/>
      <c r="K93" s="25">
        <f t="shared" si="18"/>
        <v>0</v>
      </c>
    </row>
    <row r="94" ht="15.0" customHeight="1">
      <c r="A94" s="18" t="s">
        <v>38</v>
      </c>
      <c r="B94" s="19" t="s">
        <v>39</v>
      </c>
      <c r="C94" s="19" t="s">
        <v>40</v>
      </c>
      <c r="D94" s="21">
        <v>430.0</v>
      </c>
      <c r="E94" s="36"/>
      <c r="F94" s="41"/>
      <c r="G94" s="32"/>
      <c r="H94" s="21">
        <v>7950.0</v>
      </c>
      <c r="I94" s="21"/>
      <c r="J94" s="24"/>
      <c r="K94" s="25">
        <f t="shared" si="18"/>
        <v>8380</v>
      </c>
      <c r="L94" s="10">
        <v>100.0</v>
      </c>
    </row>
    <row r="95" ht="13.5" customHeight="1">
      <c r="A95" s="35" t="s">
        <v>41</v>
      </c>
      <c r="B95" s="27"/>
      <c r="C95" s="27"/>
      <c r="D95" s="21">
        <v>420.0</v>
      </c>
      <c r="E95" s="36"/>
      <c r="F95" s="37"/>
      <c r="G95" s="38"/>
      <c r="H95" s="21">
        <v>5900.0</v>
      </c>
      <c r="I95" s="21"/>
      <c r="J95" s="39">
        <v>320.0</v>
      </c>
      <c r="K95" s="25">
        <f t="shared" si="18"/>
        <v>6640</v>
      </c>
      <c r="L95" s="36">
        <v>100.0</v>
      </c>
    </row>
    <row r="96" ht="13.5" customHeight="1">
      <c r="A96" s="40" t="s">
        <v>7</v>
      </c>
      <c r="B96" s="40"/>
      <c r="C96" s="40">
        <v>563.0</v>
      </c>
      <c r="D96" s="10">
        <f t="shared" ref="D96:J96" si="19">SUM(D90:D95)</f>
        <v>1490</v>
      </c>
      <c r="E96" s="10">
        <f t="shared" si="19"/>
        <v>0</v>
      </c>
      <c r="F96" s="10">
        <f t="shared" si="19"/>
        <v>550</v>
      </c>
      <c r="G96" s="10">
        <f t="shared" si="19"/>
        <v>0</v>
      </c>
      <c r="H96" s="10">
        <f t="shared" si="19"/>
        <v>16730</v>
      </c>
      <c r="I96" s="10">
        <f t="shared" si="19"/>
        <v>0</v>
      </c>
      <c r="J96" s="10">
        <f t="shared" si="19"/>
        <v>420</v>
      </c>
      <c r="K96" s="25">
        <f t="shared" si="18"/>
        <v>19190</v>
      </c>
    </row>
    <row r="97" ht="13.5" customHeight="1">
      <c r="A97" s="13" t="s">
        <v>347</v>
      </c>
    </row>
    <row r="98" ht="13.5" customHeight="1">
      <c r="A98" s="14" t="s">
        <v>25</v>
      </c>
      <c r="B98" s="14" t="s">
        <v>1</v>
      </c>
      <c r="C98" s="14" t="s">
        <v>27</v>
      </c>
      <c r="D98" s="15" t="s">
        <v>2</v>
      </c>
      <c r="E98" s="10" t="s">
        <v>28</v>
      </c>
      <c r="F98" s="16" t="s">
        <v>3</v>
      </c>
      <c r="G98" s="15" t="s">
        <v>4</v>
      </c>
      <c r="H98" s="15" t="s">
        <v>5</v>
      </c>
      <c r="I98" s="15" t="s">
        <v>29</v>
      </c>
      <c r="J98" s="14" t="s">
        <v>30</v>
      </c>
      <c r="K98" s="10" t="s">
        <v>7</v>
      </c>
    </row>
    <row r="99" ht="14.25" customHeight="1">
      <c r="A99" s="18" t="s">
        <v>31</v>
      </c>
      <c r="B99" s="19">
        <v>1.2</v>
      </c>
      <c r="C99" s="20" t="s">
        <v>33</v>
      </c>
      <c r="D99" s="21">
        <v>230.0</v>
      </c>
      <c r="E99" s="10"/>
      <c r="F99" s="36">
        <v>300.0</v>
      </c>
      <c r="G99" s="32"/>
      <c r="H99" s="21">
        <v>1030.0</v>
      </c>
      <c r="I99" s="21"/>
      <c r="J99" s="21">
        <v>100.0</v>
      </c>
      <c r="K99" s="10">
        <f t="shared" ref="K99:K105" si="20">SUM(D99:J99)</f>
        <v>1660</v>
      </c>
    </row>
    <row r="100" ht="13.5" customHeight="1">
      <c r="A100" s="26" t="s">
        <v>34</v>
      </c>
      <c r="B100" s="27"/>
      <c r="C100" s="28"/>
      <c r="D100" s="21">
        <v>440.0</v>
      </c>
      <c r="E100" s="10"/>
      <c r="F100" s="36">
        <v>540.0</v>
      </c>
      <c r="G100" s="32"/>
      <c r="H100" s="21">
        <v>950.0</v>
      </c>
      <c r="I100" s="21"/>
      <c r="J100" s="21">
        <v>160.0</v>
      </c>
      <c r="K100" s="10">
        <f t="shared" si="20"/>
        <v>2090</v>
      </c>
    </row>
    <row r="101" ht="13.5" customHeight="1">
      <c r="A101" s="18" t="s">
        <v>35</v>
      </c>
      <c r="B101" s="30">
        <v>2.0</v>
      </c>
      <c r="C101" s="31" t="s">
        <v>36</v>
      </c>
      <c r="D101" s="21"/>
      <c r="E101" s="10"/>
      <c r="F101" s="36"/>
      <c r="G101" s="32"/>
      <c r="H101" s="21"/>
      <c r="I101" s="21"/>
      <c r="J101" s="21"/>
      <c r="K101" s="10">
        <f t="shared" si="20"/>
        <v>0</v>
      </c>
    </row>
    <row r="102" ht="13.5" customHeight="1">
      <c r="A102" s="26" t="s">
        <v>37</v>
      </c>
      <c r="B102" s="33"/>
      <c r="C102" s="34">
        <v>91.0</v>
      </c>
      <c r="D102" s="21"/>
      <c r="E102" s="10"/>
      <c r="F102" s="36"/>
      <c r="G102" s="32"/>
      <c r="H102" s="21"/>
      <c r="I102" s="21"/>
      <c r="J102" s="21"/>
      <c r="K102" s="10">
        <f t="shared" si="20"/>
        <v>0</v>
      </c>
    </row>
    <row r="103" ht="14.25" customHeight="1">
      <c r="A103" s="18" t="s">
        <v>38</v>
      </c>
      <c r="B103" s="19" t="s">
        <v>39</v>
      </c>
      <c r="C103" s="19" t="s">
        <v>40</v>
      </c>
      <c r="D103" s="21">
        <v>430.0</v>
      </c>
      <c r="E103" s="36"/>
      <c r="F103" s="41">
        <v>610.0</v>
      </c>
      <c r="G103" s="32"/>
      <c r="H103" s="21">
        <v>5360.0</v>
      </c>
      <c r="I103" s="21"/>
      <c r="J103" s="21">
        <v>330.0</v>
      </c>
      <c r="K103" s="10">
        <f t="shared" si="20"/>
        <v>6730</v>
      </c>
    </row>
    <row r="104" ht="13.5" customHeight="1">
      <c r="A104" s="35" t="s">
        <v>41</v>
      </c>
      <c r="B104" s="27"/>
      <c r="C104" s="27"/>
      <c r="D104" s="21">
        <v>430.0</v>
      </c>
      <c r="E104" s="36"/>
      <c r="F104" s="37">
        <v>620.0</v>
      </c>
      <c r="G104" s="38"/>
      <c r="H104" s="21">
        <v>5280.0</v>
      </c>
      <c r="I104" s="21"/>
      <c r="J104" s="21">
        <v>340.0</v>
      </c>
      <c r="K104" s="10">
        <f t="shared" si="20"/>
        <v>6670</v>
      </c>
    </row>
    <row r="105" ht="13.5" customHeight="1">
      <c r="A105" s="40" t="s">
        <v>7</v>
      </c>
      <c r="B105" s="40"/>
      <c r="C105" s="40">
        <v>563.0</v>
      </c>
      <c r="D105" s="10">
        <f t="shared" ref="D105:J105" si="21">SUM(D99:D104)</f>
        <v>1530</v>
      </c>
      <c r="E105" s="10">
        <f t="shared" si="21"/>
        <v>0</v>
      </c>
      <c r="F105" s="10">
        <f t="shared" si="21"/>
        <v>2070</v>
      </c>
      <c r="G105" s="10">
        <f t="shared" si="21"/>
        <v>0</v>
      </c>
      <c r="H105" s="10">
        <f t="shared" si="21"/>
        <v>12620</v>
      </c>
      <c r="I105" s="10">
        <f t="shared" si="21"/>
        <v>0</v>
      </c>
      <c r="J105" s="10">
        <f t="shared" si="21"/>
        <v>930</v>
      </c>
      <c r="K105" s="10">
        <f t="shared" si="20"/>
        <v>17150</v>
      </c>
    </row>
    <row r="106" ht="13.5" customHeight="1">
      <c r="A106" s="14"/>
      <c r="B106" s="14"/>
      <c r="C106" s="14"/>
      <c r="D106" s="14"/>
      <c r="E106" s="14"/>
      <c r="F106" s="14"/>
      <c r="G106" s="15"/>
      <c r="H106" s="15"/>
      <c r="I106" s="15"/>
      <c r="J106" s="10"/>
      <c r="K106" s="10"/>
    </row>
    <row r="107" ht="13.5" customHeight="1">
      <c r="A107" s="45" t="s">
        <v>348</v>
      </c>
    </row>
    <row r="108" ht="13.5" customHeight="1">
      <c r="A108" s="14" t="s">
        <v>25</v>
      </c>
      <c r="B108" s="14" t="s">
        <v>1</v>
      </c>
      <c r="C108" s="14" t="s">
        <v>27</v>
      </c>
      <c r="D108" s="15" t="s">
        <v>2</v>
      </c>
      <c r="E108" s="10" t="s">
        <v>28</v>
      </c>
      <c r="F108" s="16" t="s">
        <v>3</v>
      </c>
      <c r="G108" s="15" t="s">
        <v>4</v>
      </c>
      <c r="H108" s="15" t="s">
        <v>5</v>
      </c>
      <c r="I108" s="15" t="s">
        <v>29</v>
      </c>
      <c r="J108" s="14" t="s">
        <v>30</v>
      </c>
      <c r="K108" s="17" t="s">
        <v>7</v>
      </c>
    </row>
    <row r="109" ht="14.25" customHeight="1">
      <c r="A109" s="18" t="s">
        <v>31</v>
      </c>
      <c r="B109" s="19">
        <v>1.2</v>
      </c>
      <c r="C109" s="20" t="s">
        <v>33</v>
      </c>
      <c r="D109" s="21">
        <v>290.0</v>
      </c>
      <c r="E109" s="10"/>
      <c r="F109" s="10">
        <v>320.0</v>
      </c>
      <c r="G109" s="32"/>
      <c r="H109" s="21">
        <v>1150.0</v>
      </c>
      <c r="I109" s="21"/>
      <c r="J109" s="21">
        <v>100.0</v>
      </c>
      <c r="K109" s="25">
        <f t="shared" ref="K109:K115" si="22">SUM(D109:J109)</f>
        <v>1860</v>
      </c>
    </row>
    <row r="110" ht="13.5" customHeight="1">
      <c r="A110" s="26" t="s">
        <v>34</v>
      </c>
      <c r="B110" s="27"/>
      <c r="C110" s="28"/>
      <c r="D110" s="21">
        <v>360.0</v>
      </c>
      <c r="E110" s="10"/>
      <c r="F110" s="10">
        <v>460.0</v>
      </c>
      <c r="G110" s="32"/>
      <c r="H110" s="21">
        <v>1230.0</v>
      </c>
      <c r="I110" s="21"/>
      <c r="J110" s="21">
        <v>150.0</v>
      </c>
      <c r="K110" s="25">
        <f t="shared" si="22"/>
        <v>2200</v>
      </c>
    </row>
    <row r="111" ht="13.5" customHeight="1">
      <c r="A111" s="18" t="s">
        <v>35</v>
      </c>
      <c r="B111" s="30"/>
      <c r="C111" s="31" t="s">
        <v>36</v>
      </c>
      <c r="D111" s="21"/>
      <c r="E111" s="10"/>
      <c r="F111" s="10"/>
      <c r="G111" s="32"/>
      <c r="H111" s="21"/>
      <c r="I111" s="21"/>
      <c r="J111" s="21"/>
      <c r="K111" s="25">
        <f t="shared" si="22"/>
        <v>0</v>
      </c>
    </row>
    <row r="112" ht="13.5" customHeight="1">
      <c r="A112" s="26" t="s">
        <v>37</v>
      </c>
      <c r="B112" s="33"/>
      <c r="C112" s="34">
        <v>91.0</v>
      </c>
      <c r="D112" s="21"/>
      <c r="E112" s="10"/>
      <c r="F112" s="36"/>
      <c r="G112" s="32"/>
      <c r="H112" s="21"/>
      <c r="I112" s="21"/>
      <c r="J112" s="21"/>
      <c r="K112" s="25">
        <f t="shared" si="22"/>
        <v>0</v>
      </c>
    </row>
    <row r="113" ht="15.0" customHeight="1">
      <c r="A113" s="18" t="s">
        <v>38</v>
      </c>
      <c r="B113" s="19" t="s">
        <v>39</v>
      </c>
      <c r="C113" s="19" t="s">
        <v>40</v>
      </c>
      <c r="D113" s="21">
        <v>440.0</v>
      </c>
      <c r="E113" s="36"/>
      <c r="F113" s="41">
        <v>550.0</v>
      </c>
      <c r="G113" s="32"/>
      <c r="H113" s="21">
        <v>5390.0</v>
      </c>
      <c r="I113" s="21"/>
      <c r="J113" s="21">
        <v>350.0</v>
      </c>
      <c r="K113" s="25">
        <f t="shared" si="22"/>
        <v>6730</v>
      </c>
    </row>
    <row r="114" ht="13.5" customHeight="1">
      <c r="A114" s="35" t="s">
        <v>41</v>
      </c>
      <c r="B114" s="27"/>
      <c r="C114" s="27"/>
      <c r="D114" s="21">
        <v>400.0</v>
      </c>
      <c r="E114" s="36"/>
      <c r="F114" s="41">
        <v>600.0</v>
      </c>
      <c r="G114" s="32"/>
      <c r="H114" s="21">
        <v>5510.0</v>
      </c>
      <c r="I114" s="21"/>
      <c r="J114" s="21">
        <v>330.0</v>
      </c>
      <c r="K114" s="25">
        <f t="shared" si="22"/>
        <v>6840</v>
      </c>
    </row>
    <row r="115" ht="13.5" customHeight="1">
      <c r="A115" s="40" t="s">
        <v>7</v>
      </c>
      <c r="B115" s="40"/>
      <c r="C115" s="40">
        <v>563.0</v>
      </c>
      <c r="D115" s="10">
        <f t="shared" ref="D115:J115" si="23">SUM(D109:D114)</f>
        <v>1490</v>
      </c>
      <c r="E115" s="10">
        <f t="shared" si="23"/>
        <v>0</v>
      </c>
      <c r="F115" s="10">
        <f t="shared" si="23"/>
        <v>1930</v>
      </c>
      <c r="G115" s="10">
        <f t="shared" si="23"/>
        <v>0</v>
      </c>
      <c r="H115" s="10">
        <f t="shared" si="23"/>
        <v>13280</v>
      </c>
      <c r="I115" s="10">
        <f t="shared" si="23"/>
        <v>0</v>
      </c>
      <c r="J115" s="10">
        <f t="shared" si="23"/>
        <v>930</v>
      </c>
      <c r="K115" s="25">
        <f t="shared" si="22"/>
        <v>17630</v>
      </c>
    </row>
    <row r="116" ht="13.5" customHeight="1">
      <c r="A116" s="13" t="s">
        <v>349</v>
      </c>
    </row>
    <row r="117" ht="13.5" customHeight="1">
      <c r="A117" s="14" t="s">
        <v>25</v>
      </c>
      <c r="B117" s="14" t="s">
        <v>1</v>
      </c>
      <c r="C117" s="14" t="s">
        <v>27</v>
      </c>
      <c r="D117" s="15" t="s">
        <v>2</v>
      </c>
      <c r="E117" s="10" t="s">
        <v>28</v>
      </c>
      <c r="F117" s="16" t="s">
        <v>3</v>
      </c>
      <c r="G117" s="15" t="s">
        <v>4</v>
      </c>
      <c r="H117" s="15" t="s">
        <v>5</v>
      </c>
      <c r="I117" s="15" t="s">
        <v>29</v>
      </c>
      <c r="J117" s="14" t="s">
        <v>30</v>
      </c>
      <c r="K117" s="17" t="s">
        <v>7</v>
      </c>
    </row>
    <row r="118" ht="14.25" customHeight="1">
      <c r="A118" s="18" t="s">
        <v>31</v>
      </c>
      <c r="B118" s="19">
        <v>1.2</v>
      </c>
      <c r="C118" s="20" t="s">
        <v>33</v>
      </c>
      <c r="D118" s="21">
        <v>230.0</v>
      </c>
      <c r="E118" s="10"/>
      <c r="F118" s="36">
        <v>290.0</v>
      </c>
      <c r="G118" s="32"/>
      <c r="H118" s="21">
        <v>1160.0</v>
      </c>
      <c r="I118" s="21"/>
      <c r="J118" s="21">
        <v>100.0</v>
      </c>
      <c r="K118" s="25">
        <f t="shared" ref="K118:K124" si="24">SUM(D118:J118)</f>
        <v>1780</v>
      </c>
    </row>
    <row r="119" ht="13.5" customHeight="1">
      <c r="A119" s="26" t="s">
        <v>34</v>
      </c>
      <c r="B119" s="27"/>
      <c r="C119" s="28">
        <v>130.0</v>
      </c>
      <c r="D119" s="21">
        <v>440.0</v>
      </c>
      <c r="E119" s="10"/>
      <c r="F119" s="36">
        <v>550.0</v>
      </c>
      <c r="G119" s="32"/>
      <c r="H119" s="21">
        <v>1030.0</v>
      </c>
      <c r="I119" s="21"/>
      <c r="J119" s="21">
        <v>150.0</v>
      </c>
      <c r="K119" s="25">
        <f t="shared" si="24"/>
        <v>2170</v>
      </c>
    </row>
    <row r="120" ht="13.5" customHeight="1">
      <c r="A120" s="18" t="s">
        <v>35</v>
      </c>
      <c r="B120" s="30">
        <v>2.0</v>
      </c>
      <c r="C120" s="31" t="s">
        <v>36</v>
      </c>
      <c r="D120" s="21"/>
      <c r="E120" s="10"/>
      <c r="F120" s="36"/>
      <c r="G120" s="32"/>
      <c r="H120" s="21"/>
      <c r="I120" s="21"/>
      <c r="J120" s="21"/>
      <c r="K120" s="25">
        <f t="shared" si="24"/>
        <v>0</v>
      </c>
    </row>
    <row r="121" ht="13.5" customHeight="1">
      <c r="A121" s="26" t="s">
        <v>37</v>
      </c>
      <c r="B121" s="33"/>
      <c r="C121" s="34">
        <v>91.0</v>
      </c>
      <c r="D121" s="21"/>
      <c r="E121" s="10"/>
      <c r="F121" s="36"/>
      <c r="G121" s="32"/>
      <c r="H121" s="21">
        <v>5460.0</v>
      </c>
      <c r="I121" s="21"/>
      <c r="J121" s="21">
        <v>310.0</v>
      </c>
      <c r="K121" s="25">
        <f t="shared" si="24"/>
        <v>5770</v>
      </c>
    </row>
    <row r="122" ht="15.0" customHeight="1">
      <c r="A122" s="18" t="s">
        <v>38</v>
      </c>
      <c r="B122" s="19" t="s">
        <v>39</v>
      </c>
      <c r="C122" s="19" t="s">
        <v>40</v>
      </c>
      <c r="D122" s="21">
        <v>430.0</v>
      </c>
      <c r="E122" s="36"/>
      <c r="F122" s="41">
        <v>610.0</v>
      </c>
      <c r="G122" s="44"/>
      <c r="H122" s="44">
        <v>5420.0</v>
      </c>
      <c r="I122" s="23"/>
      <c r="J122" s="23">
        <v>300.0</v>
      </c>
      <c r="K122" s="25">
        <f t="shared" si="24"/>
        <v>6760</v>
      </c>
    </row>
    <row r="123" ht="13.5" customHeight="1">
      <c r="A123" s="35" t="s">
        <v>41</v>
      </c>
      <c r="B123" s="27"/>
      <c r="C123" s="27"/>
      <c r="D123" s="21">
        <v>420.0</v>
      </c>
      <c r="E123" s="36"/>
      <c r="F123" s="37">
        <v>620.0</v>
      </c>
      <c r="G123" s="38"/>
      <c r="H123" s="21"/>
      <c r="I123" s="29"/>
      <c r="J123" s="39"/>
      <c r="K123" s="25">
        <f t="shared" si="24"/>
        <v>1040</v>
      </c>
    </row>
    <row r="124" ht="13.5" customHeight="1">
      <c r="A124" s="40" t="s">
        <v>7</v>
      </c>
      <c r="B124" s="40"/>
      <c r="C124" s="40">
        <v>563.0</v>
      </c>
      <c r="D124" s="10">
        <f t="shared" ref="D124:J124" si="25">SUM(D118:D123)</f>
        <v>1520</v>
      </c>
      <c r="E124" s="10">
        <f t="shared" si="25"/>
        <v>0</v>
      </c>
      <c r="F124" s="10">
        <f t="shared" si="25"/>
        <v>2070</v>
      </c>
      <c r="G124" s="10">
        <f t="shared" si="25"/>
        <v>0</v>
      </c>
      <c r="H124" s="10">
        <f t="shared" si="25"/>
        <v>13070</v>
      </c>
      <c r="I124" s="10">
        <f t="shared" si="25"/>
        <v>0</v>
      </c>
      <c r="J124" s="10">
        <f t="shared" si="25"/>
        <v>860</v>
      </c>
      <c r="K124" s="25">
        <f t="shared" si="24"/>
        <v>17520</v>
      </c>
    </row>
    <row r="125" ht="13.5" customHeight="1">
      <c r="A125" s="13" t="s">
        <v>350</v>
      </c>
    </row>
    <row r="126" ht="13.5" customHeight="1">
      <c r="A126" s="14" t="s">
        <v>25</v>
      </c>
      <c r="B126" s="14" t="s">
        <v>1</v>
      </c>
      <c r="C126" s="14" t="s">
        <v>27</v>
      </c>
      <c r="D126" s="15" t="s">
        <v>2</v>
      </c>
      <c r="E126" s="10" t="s">
        <v>28</v>
      </c>
      <c r="F126" s="16" t="s">
        <v>3</v>
      </c>
      <c r="G126" s="15" t="s">
        <v>4</v>
      </c>
      <c r="H126" s="15" t="s">
        <v>5</v>
      </c>
      <c r="I126" s="15" t="s">
        <v>29</v>
      </c>
      <c r="J126" s="14" t="s">
        <v>30</v>
      </c>
      <c r="K126" s="17" t="s">
        <v>7</v>
      </c>
    </row>
    <row r="127" ht="13.5" customHeight="1">
      <c r="A127" s="18" t="s">
        <v>31</v>
      </c>
      <c r="B127" s="19">
        <v>1.2</v>
      </c>
      <c r="C127" s="20" t="s">
        <v>33</v>
      </c>
      <c r="D127" s="21">
        <v>260.0</v>
      </c>
      <c r="E127" s="36"/>
      <c r="F127" s="36">
        <v>320.0</v>
      </c>
      <c r="G127" s="32"/>
      <c r="H127" s="21">
        <v>1180.0</v>
      </c>
      <c r="I127" s="21"/>
      <c r="J127" s="21">
        <v>120.0</v>
      </c>
      <c r="K127" s="25">
        <f t="shared" ref="K127:K133" si="26">SUM(D127:J127)</f>
        <v>1880</v>
      </c>
    </row>
    <row r="128" ht="13.5" customHeight="1">
      <c r="A128" s="26" t="s">
        <v>34</v>
      </c>
      <c r="B128" s="27"/>
      <c r="C128" s="28">
        <v>130.0</v>
      </c>
      <c r="D128" s="21">
        <v>400.0</v>
      </c>
      <c r="E128" s="36"/>
      <c r="F128" s="36">
        <v>450.0</v>
      </c>
      <c r="G128" s="32"/>
      <c r="H128" s="21">
        <v>1130.0</v>
      </c>
      <c r="I128" s="21"/>
      <c r="J128" s="21">
        <v>120.0</v>
      </c>
      <c r="K128" s="25">
        <f t="shared" si="26"/>
        <v>2100</v>
      </c>
    </row>
    <row r="129" ht="13.5" customHeight="1">
      <c r="A129" s="18" t="s">
        <v>35</v>
      </c>
      <c r="B129" s="30">
        <v>2.0</v>
      </c>
      <c r="C129" s="31" t="s">
        <v>36</v>
      </c>
      <c r="D129" s="21"/>
      <c r="E129" s="36"/>
      <c r="F129" s="36"/>
      <c r="G129" s="32"/>
      <c r="H129" s="21"/>
      <c r="I129" s="21"/>
      <c r="J129" s="21"/>
      <c r="K129" s="25">
        <f t="shared" si="26"/>
        <v>0</v>
      </c>
    </row>
    <row r="130" ht="13.5" customHeight="1">
      <c r="A130" s="26" t="s">
        <v>37</v>
      </c>
      <c r="B130" s="33"/>
      <c r="C130" s="34">
        <v>91.0</v>
      </c>
      <c r="D130" s="21"/>
      <c r="E130" s="36"/>
      <c r="F130" s="36"/>
      <c r="G130" s="32"/>
      <c r="H130" s="21"/>
      <c r="I130" s="21"/>
      <c r="J130" s="21"/>
      <c r="K130" s="25">
        <f t="shared" si="26"/>
        <v>0</v>
      </c>
    </row>
    <row r="131" ht="15.0" customHeight="1">
      <c r="A131" s="18" t="s">
        <v>38</v>
      </c>
      <c r="B131" s="19" t="s">
        <v>39</v>
      </c>
      <c r="C131" s="19" t="s">
        <v>40</v>
      </c>
      <c r="D131" s="21">
        <v>420.0</v>
      </c>
      <c r="E131" s="36"/>
      <c r="F131" s="36">
        <v>580.0</v>
      </c>
      <c r="G131" s="21"/>
      <c r="H131" s="21">
        <v>5700.0</v>
      </c>
      <c r="I131" s="21"/>
      <c r="J131" s="21">
        <v>320.0</v>
      </c>
      <c r="K131" s="25">
        <f t="shared" si="26"/>
        <v>7020</v>
      </c>
    </row>
    <row r="132" ht="13.5" customHeight="1">
      <c r="A132" s="35" t="s">
        <v>41</v>
      </c>
      <c r="B132" s="27"/>
      <c r="C132" s="27"/>
      <c r="D132" s="21">
        <v>430.0</v>
      </c>
      <c r="E132" s="36"/>
      <c r="F132" s="36">
        <v>600.0</v>
      </c>
      <c r="G132" s="21"/>
      <c r="H132" s="21">
        <v>5270.0</v>
      </c>
      <c r="I132" s="21"/>
      <c r="J132" s="21">
        <v>370.0</v>
      </c>
      <c r="K132" s="25">
        <f t="shared" si="26"/>
        <v>6670</v>
      </c>
    </row>
    <row r="133" ht="13.5" customHeight="1">
      <c r="A133" s="40" t="s">
        <v>7</v>
      </c>
      <c r="B133" s="40"/>
      <c r="C133" s="40">
        <v>563.0</v>
      </c>
      <c r="D133" s="10">
        <f t="shared" ref="D133:J133" si="27">SUM(D127:D132)</f>
        <v>1510</v>
      </c>
      <c r="E133" s="10">
        <f t="shared" si="27"/>
        <v>0</v>
      </c>
      <c r="F133" s="10">
        <f t="shared" si="27"/>
        <v>1950</v>
      </c>
      <c r="G133" s="10">
        <f t="shared" si="27"/>
        <v>0</v>
      </c>
      <c r="H133" s="10">
        <f t="shared" si="27"/>
        <v>13280</v>
      </c>
      <c r="I133" s="10">
        <f t="shared" si="27"/>
        <v>0</v>
      </c>
      <c r="J133" s="10">
        <f t="shared" si="27"/>
        <v>930</v>
      </c>
      <c r="K133" s="25">
        <f t="shared" si="26"/>
        <v>17670</v>
      </c>
    </row>
    <row r="134" ht="13.5" customHeight="1">
      <c r="A134" s="46" t="s">
        <v>351</v>
      </c>
    </row>
    <row r="135" ht="13.5" customHeight="1">
      <c r="A135" s="14" t="s">
        <v>25</v>
      </c>
      <c r="B135" s="14" t="s">
        <v>1</v>
      </c>
      <c r="C135" s="14" t="s">
        <v>27</v>
      </c>
      <c r="D135" s="15" t="s">
        <v>2</v>
      </c>
      <c r="E135" s="10" t="s">
        <v>28</v>
      </c>
      <c r="F135" s="16" t="s">
        <v>3</v>
      </c>
      <c r="G135" s="15" t="s">
        <v>4</v>
      </c>
      <c r="H135" s="15" t="s">
        <v>5</v>
      </c>
      <c r="I135" s="15" t="s">
        <v>29</v>
      </c>
      <c r="J135" s="14" t="s">
        <v>30</v>
      </c>
      <c r="K135" s="17" t="s">
        <v>7</v>
      </c>
    </row>
    <row r="136" ht="13.5" customHeight="1">
      <c r="A136" s="18" t="s">
        <v>31</v>
      </c>
      <c r="B136" s="19">
        <v>1.2</v>
      </c>
      <c r="C136" s="20" t="s">
        <v>33</v>
      </c>
      <c r="D136" s="21">
        <v>320.0</v>
      </c>
      <c r="E136" s="36"/>
      <c r="F136" s="36">
        <v>380.0</v>
      </c>
      <c r="G136" s="32"/>
      <c r="H136" s="21">
        <v>1210.0</v>
      </c>
      <c r="I136" s="21"/>
      <c r="J136" s="21">
        <v>120.0</v>
      </c>
      <c r="K136" s="25">
        <f>SUM(D136:J136)</f>
        <v>2030</v>
      </c>
    </row>
    <row r="137" ht="13.5" customHeight="1">
      <c r="A137" s="26" t="s">
        <v>34</v>
      </c>
      <c r="B137" s="27"/>
      <c r="C137" s="28">
        <v>130.0</v>
      </c>
      <c r="D137" s="21">
        <v>320.0</v>
      </c>
      <c r="E137" s="36"/>
      <c r="F137" s="36">
        <v>420.0</v>
      </c>
      <c r="G137" s="32"/>
      <c r="H137" s="21">
        <v>1100.0</v>
      </c>
      <c r="I137" s="21"/>
      <c r="J137" s="21">
        <v>110.0</v>
      </c>
      <c r="K137" s="25">
        <v>1200.0</v>
      </c>
    </row>
    <row r="138" ht="13.5" customHeight="1">
      <c r="A138" s="18" t="s">
        <v>35</v>
      </c>
      <c r="B138" s="30">
        <v>2.0</v>
      </c>
      <c r="C138" s="31" t="s">
        <v>36</v>
      </c>
      <c r="D138" s="21"/>
      <c r="E138" s="36"/>
      <c r="F138" s="36"/>
      <c r="G138" s="32"/>
      <c r="H138" s="21"/>
      <c r="I138" s="21"/>
      <c r="J138" s="21"/>
      <c r="K138" s="25">
        <f t="shared" ref="K138:K141" si="28">SUM(D138:J138)</f>
        <v>0</v>
      </c>
    </row>
    <row r="139" ht="13.5" customHeight="1">
      <c r="A139" s="26" t="s">
        <v>37</v>
      </c>
      <c r="B139" s="33"/>
      <c r="C139" s="34">
        <v>91.0</v>
      </c>
      <c r="D139" s="21"/>
      <c r="E139" s="36"/>
      <c r="F139" s="36"/>
      <c r="G139" s="32"/>
      <c r="H139" s="21"/>
      <c r="I139" s="21"/>
      <c r="J139" s="21"/>
      <c r="K139" s="25">
        <f t="shared" si="28"/>
        <v>0</v>
      </c>
    </row>
    <row r="140" ht="15.0" customHeight="1">
      <c r="A140" s="18" t="s">
        <v>38</v>
      </c>
      <c r="B140" s="19" t="s">
        <v>39</v>
      </c>
      <c r="C140" s="19" t="s">
        <v>40</v>
      </c>
      <c r="D140" s="44">
        <v>430.0</v>
      </c>
      <c r="E140" s="41"/>
      <c r="F140" s="41">
        <v>620.0</v>
      </c>
      <c r="G140" s="44"/>
      <c r="H140" s="44">
        <v>3080.0</v>
      </c>
      <c r="I140" s="23"/>
      <c r="J140" s="24">
        <v>330.0</v>
      </c>
      <c r="K140" s="25">
        <f t="shared" si="28"/>
        <v>4460</v>
      </c>
      <c r="L140" s="47"/>
      <c r="M140" s="12"/>
    </row>
    <row r="141" ht="13.5" customHeight="1">
      <c r="A141" s="35" t="s">
        <v>41</v>
      </c>
      <c r="B141" s="27"/>
      <c r="C141" s="27"/>
      <c r="D141" s="21">
        <v>410.0</v>
      </c>
      <c r="E141" s="36"/>
      <c r="F141" s="36">
        <v>580.0</v>
      </c>
      <c r="G141" s="21"/>
      <c r="H141" s="21">
        <v>3160.0</v>
      </c>
      <c r="I141" s="29"/>
      <c r="J141" s="39">
        <v>300.0</v>
      </c>
      <c r="K141" s="25">
        <f t="shared" si="28"/>
        <v>4450</v>
      </c>
    </row>
    <row r="142" ht="13.5" customHeight="1">
      <c r="A142" s="40" t="s">
        <v>7</v>
      </c>
      <c r="B142" s="40"/>
      <c r="C142" s="40">
        <v>563.0</v>
      </c>
      <c r="D142" s="10">
        <f t="shared" ref="D142:K142" si="29">SUM(D136:D141)</f>
        <v>1480</v>
      </c>
      <c r="E142" s="10">
        <f t="shared" si="29"/>
        <v>0</v>
      </c>
      <c r="F142" s="10">
        <f t="shared" si="29"/>
        <v>2000</v>
      </c>
      <c r="G142" s="10">
        <f t="shared" si="29"/>
        <v>0</v>
      </c>
      <c r="H142" s="10">
        <f t="shared" si="29"/>
        <v>8550</v>
      </c>
      <c r="I142" s="10">
        <f t="shared" si="29"/>
        <v>0</v>
      </c>
      <c r="J142" s="10">
        <f t="shared" si="29"/>
        <v>860</v>
      </c>
      <c r="K142" s="25">
        <f t="shared" si="29"/>
        <v>12140</v>
      </c>
    </row>
    <row r="143" ht="13.5" customHeight="1">
      <c r="A143" s="48" t="s">
        <v>352</v>
      </c>
    </row>
    <row r="144" ht="13.5" customHeight="1">
      <c r="A144" s="14" t="s">
        <v>25</v>
      </c>
      <c r="B144" s="14" t="s">
        <v>1</v>
      </c>
      <c r="C144" s="14" t="s">
        <v>27</v>
      </c>
      <c r="D144" s="15" t="s">
        <v>2</v>
      </c>
      <c r="E144" s="10" t="s">
        <v>28</v>
      </c>
      <c r="F144" s="16" t="s">
        <v>3</v>
      </c>
      <c r="G144" s="15" t="s">
        <v>4</v>
      </c>
      <c r="H144" s="15" t="s">
        <v>5</v>
      </c>
      <c r="I144" s="15" t="s">
        <v>29</v>
      </c>
      <c r="J144" s="14" t="s">
        <v>30</v>
      </c>
      <c r="K144" s="17" t="s">
        <v>7</v>
      </c>
    </row>
    <row r="145" ht="15.0" customHeight="1">
      <c r="A145" s="18" t="s">
        <v>31</v>
      </c>
      <c r="B145" s="19">
        <v>1.2</v>
      </c>
      <c r="C145" s="20" t="s">
        <v>33</v>
      </c>
      <c r="D145" s="21">
        <v>320.0</v>
      </c>
      <c r="E145" s="36"/>
      <c r="F145" s="36">
        <v>360.0</v>
      </c>
      <c r="G145" s="32"/>
      <c r="H145" s="21">
        <v>1120.0</v>
      </c>
      <c r="I145" s="23"/>
      <c r="J145" s="24">
        <v>130.0</v>
      </c>
      <c r="K145" s="25">
        <f t="shared" ref="K145:K151" si="30">SUM(D145:J145)</f>
        <v>1930</v>
      </c>
    </row>
    <row r="146" ht="13.5" customHeight="1">
      <c r="A146" s="26" t="s">
        <v>34</v>
      </c>
      <c r="B146" s="27"/>
      <c r="C146" s="28">
        <v>130.0</v>
      </c>
      <c r="D146" s="21">
        <v>320.0</v>
      </c>
      <c r="E146" s="36"/>
      <c r="F146" s="36">
        <v>420.0</v>
      </c>
      <c r="G146" s="32"/>
      <c r="H146" s="21">
        <v>1190.0</v>
      </c>
      <c r="I146" s="21"/>
      <c r="J146" s="29">
        <v>110.0</v>
      </c>
      <c r="K146" s="25">
        <f t="shared" si="30"/>
        <v>2040</v>
      </c>
    </row>
    <row r="147" ht="13.5" customHeight="1">
      <c r="A147" s="18" t="s">
        <v>35</v>
      </c>
      <c r="B147" s="30">
        <v>2.0</v>
      </c>
      <c r="C147" s="31" t="s">
        <v>36</v>
      </c>
      <c r="D147" s="21"/>
      <c r="E147" s="36"/>
      <c r="F147" s="41"/>
      <c r="G147" s="32"/>
      <c r="H147" s="21"/>
      <c r="I147" s="21"/>
      <c r="J147" s="24"/>
      <c r="K147" s="25">
        <f t="shared" si="30"/>
        <v>0</v>
      </c>
    </row>
    <row r="148" ht="13.5" customHeight="1">
      <c r="A148" s="26" t="s">
        <v>37</v>
      </c>
      <c r="B148" s="33"/>
      <c r="C148" s="34">
        <v>91.0</v>
      </c>
      <c r="D148" s="21"/>
      <c r="E148" s="21"/>
      <c r="F148" s="21"/>
      <c r="G148" s="21"/>
      <c r="H148" s="21"/>
      <c r="I148" s="21"/>
      <c r="J148" s="21"/>
      <c r="K148" s="25">
        <f t="shared" si="30"/>
        <v>0</v>
      </c>
    </row>
    <row r="149" ht="14.25" customHeight="1">
      <c r="A149" s="18" t="s">
        <v>38</v>
      </c>
      <c r="B149" s="19" t="s">
        <v>39</v>
      </c>
      <c r="C149" s="19" t="s">
        <v>40</v>
      </c>
      <c r="D149" s="21">
        <v>440.0</v>
      </c>
      <c r="E149" s="36"/>
      <c r="F149" s="41">
        <v>620.0</v>
      </c>
      <c r="G149" s="32"/>
      <c r="H149" s="21">
        <v>6050.0</v>
      </c>
      <c r="I149" s="21"/>
      <c r="J149" s="24">
        <v>320.0</v>
      </c>
      <c r="K149" s="25">
        <f t="shared" si="30"/>
        <v>7430</v>
      </c>
      <c r="L149" s="47"/>
      <c r="M149" s="12"/>
    </row>
    <row r="150" ht="13.5" customHeight="1">
      <c r="A150" s="35" t="s">
        <v>41</v>
      </c>
      <c r="B150" s="27"/>
      <c r="C150" s="27"/>
      <c r="D150" s="21">
        <v>440.0</v>
      </c>
      <c r="E150" s="21"/>
      <c r="F150" s="21">
        <v>600.0</v>
      </c>
      <c r="G150" s="21"/>
      <c r="H150" s="21">
        <v>6030.0</v>
      </c>
      <c r="I150" s="21"/>
      <c r="J150" s="21">
        <v>320.0</v>
      </c>
      <c r="K150" s="25">
        <f t="shared" si="30"/>
        <v>7390</v>
      </c>
    </row>
    <row r="151" ht="13.5" customHeight="1">
      <c r="A151" s="40" t="s">
        <v>7</v>
      </c>
      <c r="B151" s="40"/>
      <c r="C151" s="40">
        <v>563.0</v>
      </c>
      <c r="D151" s="10">
        <f t="shared" ref="D151:J151" si="31">SUM(D145:D150)</f>
        <v>1520</v>
      </c>
      <c r="E151" s="10">
        <f t="shared" si="31"/>
        <v>0</v>
      </c>
      <c r="F151" s="10">
        <f t="shared" si="31"/>
        <v>2000</v>
      </c>
      <c r="G151" s="10">
        <f t="shared" si="31"/>
        <v>0</v>
      </c>
      <c r="H151" s="10">
        <f t="shared" si="31"/>
        <v>14390</v>
      </c>
      <c r="I151" s="10">
        <f t="shared" si="31"/>
        <v>0</v>
      </c>
      <c r="J151" s="10">
        <f t="shared" si="31"/>
        <v>880</v>
      </c>
      <c r="K151" s="25">
        <f t="shared" si="30"/>
        <v>18790</v>
      </c>
    </row>
    <row r="152" ht="13.5" customHeight="1">
      <c r="A152" s="48" t="s">
        <v>353</v>
      </c>
    </row>
    <row r="153" ht="13.5" customHeight="1">
      <c r="A153" s="14" t="s">
        <v>25</v>
      </c>
      <c r="B153" s="14" t="s">
        <v>1</v>
      </c>
      <c r="C153" s="14" t="s">
        <v>27</v>
      </c>
      <c r="D153" s="15" t="s">
        <v>2</v>
      </c>
      <c r="E153" s="10" t="s">
        <v>28</v>
      </c>
      <c r="F153" s="16" t="s">
        <v>3</v>
      </c>
      <c r="G153" s="15" t="s">
        <v>4</v>
      </c>
      <c r="H153" s="15" t="s">
        <v>5</v>
      </c>
      <c r="I153" s="15" t="s">
        <v>29</v>
      </c>
      <c r="J153" s="14" t="s">
        <v>30</v>
      </c>
      <c r="K153" s="17" t="s">
        <v>7</v>
      </c>
      <c r="L153" s="49"/>
      <c r="M153" s="70"/>
    </row>
    <row r="154" ht="13.5" customHeight="1">
      <c r="A154" s="18" t="s">
        <v>31</v>
      </c>
      <c r="B154" s="19">
        <v>1.2</v>
      </c>
      <c r="C154" s="20" t="s">
        <v>33</v>
      </c>
      <c r="D154" s="21">
        <v>350.0</v>
      </c>
      <c r="E154" s="36"/>
      <c r="F154" s="36">
        <v>400.0</v>
      </c>
      <c r="G154" s="32"/>
      <c r="H154" s="21">
        <v>1100.0</v>
      </c>
      <c r="I154" s="21"/>
      <c r="J154" s="21">
        <v>130.0</v>
      </c>
      <c r="K154" s="25">
        <f t="shared" ref="K154:K160" si="32">SUM(D154:J154)</f>
        <v>1980</v>
      </c>
    </row>
    <row r="155" ht="13.5" customHeight="1">
      <c r="A155" s="26" t="s">
        <v>34</v>
      </c>
      <c r="B155" s="27"/>
      <c r="C155" s="28"/>
      <c r="D155" s="21">
        <v>350.0</v>
      </c>
      <c r="E155" s="36"/>
      <c r="F155" s="36">
        <v>420.0</v>
      </c>
      <c r="G155" s="32"/>
      <c r="H155" s="21">
        <v>1110.0</v>
      </c>
      <c r="I155" s="21"/>
      <c r="J155" s="21">
        <v>120.0</v>
      </c>
      <c r="K155" s="25">
        <f t="shared" si="32"/>
        <v>2000</v>
      </c>
    </row>
    <row r="156" ht="13.5" customHeight="1">
      <c r="A156" s="18" t="s">
        <v>35</v>
      </c>
      <c r="B156" s="30">
        <v>2.0</v>
      </c>
      <c r="C156" s="31" t="s">
        <v>36</v>
      </c>
      <c r="D156" s="21"/>
      <c r="E156" s="36"/>
      <c r="F156" s="36"/>
      <c r="G156" s="32"/>
      <c r="H156" s="21"/>
      <c r="I156" s="21"/>
      <c r="J156" s="21"/>
      <c r="K156" s="25">
        <f t="shared" si="32"/>
        <v>0</v>
      </c>
    </row>
    <row r="157" ht="13.5" customHeight="1">
      <c r="A157" s="26" t="s">
        <v>37</v>
      </c>
      <c r="B157" s="33"/>
      <c r="C157" s="34"/>
      <c r="D157" s="21"/>
      <c r="E157" s="36"/>
      <c r="F157" s="36"/>
      <c r="G157" s="32"/>
      <c r="H157" s="21"/>
      <c r="I157" s="21"/>
      <c r="J157" s="21"/>
      <c r="K157" s="25">
        <f t="shared" si="32"/>
        <v>0</v>
      </c>
    </row>
    <row r="158" ht="14.25" customHeight="1">
      <c r="A158" s="18" t="s">
        <v>38</v>
      </c>
      <c r="B158" s="19" t="s">
        <v>39</v>
      </c>
      <c r="C158" s="19" t="s">
        <v>40</v>
      </c>
      <c r="D158" s="21">
        <v>420.0</v>
      </c>
      <c r="E158" s="36"/>
      <c r="F158" s="36"/>
      <c r="G158" s="21"/>
      <c r="H158" s="21">
        <v>6210.0</v>
      </c>
      <c r="I158" s="21"/>
      <c r="J158" s="21">
        <v>300.0</v>
      </c>
      <c r="K158" s="25">
        <f t="shared" si="32"/>
        <v>6930</v>
      </c>
      <c r="L158" s="47"/>
      <c r="M158" s="12"/>
    </row>
    <row r="159" ht="13.5" customHeight="1">
      <c r="A159" s="35" t="s">
        <v>41</v>
      </c>
      <c r="B159" s="27"/>
      <c r="C159" s="27"/>
      <c r="D159" s="21">
        <v>420.0</v>
      </c>
      <c r="E159" s="21"/>
      <c r="F159" s="21">
        <v>600.0</v>
      </c>
      <c r="G159" s="21"/>
      <c r="H159" s="21">
        <v>6070.0</v>
      </c>
      <c r="I159" s="21"/>
      <c r="J159" s="21">
        <v>310.0</v>
      </c>
      <c r="K159" s="25">
        <f t="shared" si="32"/>
        <v>7400</v>
      </c>
    </row>
    <row r="160" ht="13.5" customHeight="1">
      <c r="A160" s="40" t="s">
        <v>7</v>
      </c>
      <c r="B160" s="40"/>
      <c r="C160" s="40"/>
      <c r="D160" s="10">
        <f t="shared" ref="D160:J160" si="33">SUM(D154:D159)</f>
        <v>1540</v>
      </c>
      <c r="E160" s="10">
        <f t="shared" si="33"/>
        <v>0</v>
      </c>
      <c r="F160" s="10">
        <f t="shared" si="33"/>
        <v>1420</v>
      </c>
      <c r="G160" s="10">
        <f t="shared" si="33"/>
        <v>0</v>
      </c>
      <c r="H160" s="10">
        <f t="shared" si="33"/>
        <v>14490</v>
      </c>
      <c r="I160" s="10">
        <f t="shared" si="33"/>
        <v>0</v>
      </c>
      <c r="J160" s="10">
        <f t="shared" si="33"/>
        <v>860</v>
      </c>
      <c r="K160" s="25">
        <f t="shared" si="32"/>
        <v>18310</v>
      </c>
    </row>
    <row r="161" ht="13.5" customHeight="1">
      <c r="A161" s="48" t="s">
        <v>354</v>
      </c>
    </row>
    <row r="162" ht="13.5" customHeight="1">
      <c r="A162" s="14" t="s">
        <v>25</v>
      </c>
      <c r="B162" s="14" t="s">
        <v>1</v>
      </c>
      <c r="C162" s="14" t="s">
        <v>27</v>
      </c>
      <c r="D162" s="15" t="s">
        <v>2</v>
      </c>
      <c r="E162" s="10" t="s">
        <v>28</v>
      </c>
      <c r="F162" s="16" t="s">
        <v>3</v>
      </c>
      <c r="G162" s="15" t="s">
        <v>4</v>
      </c>
      <c r="H162" s="15" t="s">
        <v>5</v>
      </c>
      <c r="I162" s="15" t="s">
        <v>29</v>
      </c>
      <c r="J162" s="14" t="s">
        <v>30</v>
      </c>
      <c r="K162" s="17" t="s">
        <v>7</v>
      </c>
    </row>
    <row r="163" ht="13.5" customHeight="1">
      <c r="A163" s="18" t="s">
        <v>31</v>
      </c>
      <c r="B163" s="19">
        <v>1.2</v>
      </c>
      <c r="C163" s="20" t="s">
        <v>33</v>
      </c>
      <c r="D163" s="21">
        <v>300.0</v>
      </c>
      <c r="E163" s="36"/>
      <c r="F163" s="36">
        <v>360.0</v>
      </c>
      <c r="G163" s="32"/>
      <c r="H163" s="21">
        <v>1160.0</v>
      </c>
      <c r="I163" s="21"/>
      <c r="J163" s="24">
        <v>110.0</v>
      </c>
      <c r="K163" s="25">
        <f t="shared" ref="K163:K169" si="34">SUM(D163:J163)</f>
        <v>1930</v>
      </c>
    </row>
    <row r="164" ht="13.5" customHeight="1">
      <c r="A164" s="26" t="s">
        <v>34</v>
      </c>
      <c r="B164" s="27"/>
      <c r="C164" s="28"/>
      <c r="D164" s="21">
        <v>340.0</v>
      </c>
      <c r="E164" s="36"/>
      <c r="F164" s="36">
        <v>440.0</v>
      </c>
      <c r="G164" s="32"/>
      <c r="H164" s="21">
        <v>790.0</v>
      </c>
      <c r="I164" s="21"/>
      <c r="J164" s="29">
        <v>130.0</v>
      </c>
      <c r="K164" s="25">
        <f t="shared" si="34"/>
        <v>1700</v>
      </c>
    </row>
    <row r="165" ht="13.5" customHeight="1">
      <c r="A165" s="18" t="s">
        <v>35</v>
      </c>
      <c r="B165" s="30">
        <v>2.0</v>
      </c>
      <c r="C165" s="31" t="s">
        <v>36</v>
      </c>
      <c r="D165" s="21"/>
      <c r="E165" s="36"/>
      <c r="F165" s="36"/>
      <c r="G165" s="32"/>
      <c r="H165" s="21"/>
      <c r="I165" s="21"/>
      <c r="J165" s="24"/>
      <c r="K165" s="25">
        <f t="shared" si="34"/>
        <v>0</v>
      </c>
    </row>
    <row r="166" ht="13.5" customHeight="1">
      <c r="A166" s="26" t="s">
        <v>37</v>
      </c>
      <c r="B166" s="33"/>
      <c r="C166" s="34"/>
      <c r="D166" s="21"/>
      <c r="E166" s="36"/>
      <c r="F166" s="36"/>
      <c r="G166" s="21"/>
      <c r="H166" s="21"/>
      <c r="I166" s="21"/>
      <c r="J166" s="29"/>
      <c r="K166" s="25">
        <f t="shared" si="34"/>
        <v>0</v>
      </c>
    </row>
    <row r="167" ht="14.25" customHeight="1">
      <c r="A167" s="18" t="s">
        <v>38</v>
      </c>
      <c r="B167" s="19" t="s">
        <v>39</v>
      </c>
      <c r="C167" s="19" t="s">
        <v>40</v>
      </c>
      <c r="D167" s="21">
        <v>420.0</v>
      </c>
      <c r="E167" s="36"/>
      <c r="F167" s="36">
        <v>600.0</v>
      </c>
      <c r="G167" s="21"/>
      <c r="H167" s="21">
        <v>5580.0</v>
      </c>
      <c r="I167" s="21"/>
      <c r="J167" s="21">
        <v>300.0</v>
      </c>
      <c r="K167" s="25">
        <f t="shared" si="34"/>
        <v>6900</v>
      </c>
      <c r="L167" s="47"/>
      <c r="M167" s="12"/>
    </row>
    <row r="168" ht="13.5" customHeight="1">
      <c r="A168" s="35" t="s">
        <v>41</v>
      </c>
      <c r="B168" s="27"/>
      <c r="C168" s="27"/>
      <c r="D168" s="21">
        <v>430.0</v>
      </c>
      <c r="E168" s="21"/>
      <c r="F168" s="21">
        <v>590.0</v>
      </c>
      <c r="G168" s="21"/>
      <c r="H168" s="21">
        <v>3720.0</v>
      </c>
      <c r="I168" s="21"/>
      <c r="J168" s="21">
        <v>310.0</v>
      </c>
      <c r="K168" s="25">
        <f t="shared" si="34"/>
        <v>5050</v>
      </c>
    </row>
    <row r="169" ht="13.5" customHeight="1">
      <c r="A169" s="40" t="s">
        <v>7</v>
      </c>
      <c r="B169" s="40"/>
      <c r="C169" s="40"/>
      <c r="D169" s="10">
        <f t="shared" ref="D169:J169" si="35">SUM(D163:D168)</f>
        <v>1490</v>
      </c>
      <c r="E169" s="10">
        <f t="shared" si="35"/>
        <v>0</v>
      </c>
      <c r="F169" s="10">
        <f t="shared" si="35"/>
        <v>1990</v>
      </c>
      <c r="G169" s="10">
        <f t="shared" si="35"/>
        <v>0</v>
      </c>
      <c r="H169" s="10">
        <f t="shared" si="35"/>
        <v>11250</v>
      </c>
      <c r="I169" s="10">
        <f t="shared" si="35"/>
        <v>0</v>
      </c>
      <c r="J169" s="10">
        <f t="shared" si="35"/>
        <v>850</v>
      </c>
      <c r="K169" s="25">
        <f t="shared" si="34"/>
        <v>15580</v>
      </c>
    </row>
    <row r="170" ht="13.5" customHeight="1">
      <c r="A170" s="48" t="s">
        <v>355</v>
      </c>
    </row>
    <row r="171" ht="13.5" customHeight="1">
      <c r="A171" s="14"/>
      <c r="B171" s="14" t="s">
        <v>1</v>
      </c>
      <c r="C171" s="14" t="s">
        <v>27</v>
      </c>
      <c r="D171" s="15" t="s">
        <v>2</v>
      </c>
      <c r="E171" s="10" t="s">
        <v>28</v>
      </c>
      <c r="F171" s="16" t="s">
        <v>3</v>
      </c>
      <c r="G171" s="15" t="s">
        <v>4</v>
      </c>
      <c r="H171" s="15" t="s">
        <v>5</v>
      </c>
      <c r="I171" s="15" t="s">
        <v>77</v>
      </c>
      <c r="J171" s="14" t="s">
        <v>30</v>
      </c>
      <c r="K171" s="17" t="s">
        <v>7</v>
      </c>
    </row>
    <row r="172" ht="13.5" customHeight="1">
      <c r="A172" s="18" t="s">
        <v>31</v>
      </c>
      <c r="B172" s="19">
        <v>1.2</v>
      </c>
      <c r="C172" s="20" t="s">
        <v>33</v>
      </c>
      <c r="D172" s="21">
        <v>320.0</v>
      </c>
      <c r="E172" s="36"/>
      <c r="F172" s="36">
        <v>370.0</v>
      </c>
      <c r="G172" s="32"/>
      <c r="H172" s="21">
        <v>1210.0</v>
      </c>
      <c r="I172" s="21"/>
      <c r="J172" s="24">
        <v>100.0</v>
      </c>
      <c r="K172" s="25">
        <f t="shared" ref="K172:K178" si="36">SUM(D172:J172)</f>
        <v>2000</v>
      </c>
    </row>
    <row r="173" ht="13.5" customHeight="1">
      <c r="A173" s="26" t="s">
        <v>34</v>
      </c>
      <c r="B173" s="27"/>
      <c r="C173" s="28"/>
      <c r="D173" s="21">
        <v>330.0</v>
      </c>
      <c r="E173" s="36"/>
      <c r="F173" s="36">
        <v>430.0</v>
      </c>
      <c r="G173" s="32"/>
      <c r="H173" s="21">
        <v>740.0</v>
      </c>
      <c r="I173" s="21"/>
      <c r="J173" s="24">
        <v>80.0</v>
      </c>
      <c r="K173" s="25">
        <f t="shared" si="36"/>
        <v>1580</v>
      </c>
    </row>
    <row r="174" ht="13.5" customHeight="1">
      <c r="A174" s="18" t="s">
        <v>35</v>
      </c>
      <c r="B174" s="30">
        <v>2.0</v>
      </c>
      <c r="C174" s="31" t="s">
        <v>36</v>
      </c>
      <c r="D174" s="21"/>
      <c r="E174" s="36"/>
      <c r="F174" s="41"/>
      <c r="G174" s="32"/>
      <c r="H174" s="21"/>
      <c r="I174" s="21"/>
      <c r="J174" s="24"/>
      <c r="K174" s="25">
        <f t="shared" si="36"/>
        <v>0</v>
      </c>
    </row>
    <row r="175" ht="13.5" customHeight="1">
      <c r="A175" s="26" t="s">
        <v>37</v>
      </c>
      <c r="B175" s="33"/>
      <c r="C175" s="34"/>
      <c r="D175" s="21"/>
      <c r="E175" s="36"/>
      <c r="F175" s="41"/>
      <c r="G175" s="32"/>
      <c r="H175" s="21"/>
      <c r="I175" s="21"/>
      <c r="J175" s="29"/>
      <c r="K175" s="25">
        <f t="shared" si="36"/>
        <v>0</v>
      </c>
    </row>
    <row r="176" ht="14.25" customHeight="1">
      <c r="A176" s="18" t="s">
        <v>38</v>
      </c>
      <c r="B176" s="19" t="s">
        <v>39</v>
      </c>
      <c r="C176" s="19" t="s">
        <v>40</v>
      </c>
      <c r="D176" s="21">
        <v>420.0</v>
      </c>
      <c r="E176" s="36"/>
      <c r="F176" s="36">
        <v>600.0</v>
      </c>
      <c r="G176" s="21"/>
      <c r="H176" s="21">
        <v>5450.0</v>
      </c>
      <c r="I176" s="21"/>
      <c r="J176" s="21">
        <v>290.0</v>
      </c>
      <c r="K176" s="25">
        <f t="shared" si="36"/>
        <v>6760</v>
      </c>
      <c r="L176" s="47"/>
      <c r="M176" s="12"/>
    </row>
    <row r="177" ht="13.5" customHeight="1">
      <c r="A177" s="35" t="s">
        <v>41</v>
      </c>
      <c r="B177" s="27"/>
      <c r="C177" s="27"/>
      <c r="D177" s="21">
        <v>420.0</v>
      </c>
      <c r="E177" s="36"/>
      <c r="F177" s="36">
        <v>580.0</v>
      </c>
      <c r="G177" s="21"/>
      <c r="H177" s="21">
        <v>5780.0</v>
      </c>
      <c r="I177" s="21"/>
      <c r="J177" s="21">
        <v>280.0</v>
      </c>
      <c r="K177" s="25">
        <f t="shared" si="36"/>
        <v>7060</v>
      </c>
    </row>
    <row r="178" ht="13.5" customHeight="1">
      <c r="A178" s="40" t="s">
        <v>7</v>
      </c>
      <c r="B178" s="40"/>
      <c r="C178" s="40"/>
      <c r="D178" s="10">
        <f t="shared" ref="D178:J178" si="37">SUM(D172:D177)</f>
        <v>1490</v>
      </c>
      <c r="E178" s="10">
        <f t="shared" si="37"/>
        <v>0</v>
      </c>
      <c r="F178" s="10">
        <f t="shared" si="37"/>
        <v>1980</v>
      </c>
      <c r="G178" s="10">
        <f t="shared" si="37"/>
        <v>0</v>
      </c>
      <c r="H178" s="10">
        <f t="shared" si="37"/>
        <v>13180</v>
      </c>
      <c r="I178" s="10">
        <f t="shared" si="37"/>
        <v>0</v>
      </c>
      <c r="J178" s="10">
        <f t="shared" si="37"/>
        <v>750</v>
      </c>
      <c r="K178" s="25">
        <f t="shared" si="36"/>
        <v>17400</v>
      </c>
    </row>
    <row r="179" ht="13.5" customHeight="1">
      <c r="A179" s="48" t="s">
        <v>356</v>
      </c>
    </row>
    <row r="180" ht="13.5" customHeight="1">
      <c r="A180" s="14" t="s">
        <v>25</v>
      </c>
      <c r="B180" s="14" t="s">
        <v>1</v>
      </c>
      <c r="C180" s="14" t="s">
        <v>27</v>
      </c>
      <c r="D180" s="15" t="s">
        <v>2</v>
      </c>
      <c r="E180" s="10" t="s">
        <v>28</v>
      </c>
      <c r="F180" s="16" t="s">
        <v>3</v>
      </c>
      <c r="G180" s="15" t="s">
        <v>4</v>
      </c>
      <c r="H180" s="15" t="s">
        <v>5</v>
      </c>
      <c r="I180" s="15" t="s">
        <v>77</v>
      </c>
      <c r="J180" s="14" t="s">
        <v>30</v>
      </c>
      <c r="K180" s="17" t="s">
        <v>7</v>
      </c>
    </row>
    <row r="181" ht="13.5" customHeight="1">
      <c r="A181" s="18" t="s">
        <v>31</v>
      </c>
      <c r="B181" s="43">
        <v>1.2</v>
      </c>
      <c r="C181" s="20" t="s">
        <v>33</v>
      </c>
      <c r="D181" s="21">
        <v>320.0</v>
      </c>
      <c r="E181" s="36"/>
      <c r="F181" s="41">
        <v>400.0</v>
      </c>
      <c r="G181" s="32"/>
      <c r="H181" s="21">
        <v>740.0</v>
      </c>
      <c r="I181" s="21"/>
      <c r="J181" s="24">
        <v>80.0</v>
      </c>
      <c r="K181" s="25">
        <f t="shared" ref="K181:K187" si="38">SUM(D181:J181)</f>
        <v>1540</v>
      </c>
    </row>
    <row r="182" ht="13.5" customHeight="1">
      <c r="A182" s="26" t="s">
        <v>34</v>
      </c>
      <c r="C182" s="28"/>
      <c r="D182" s="21">
        <v>300.0</v>
      </c>
      <c r="E182" s="36"/>
      <c r="F182" s="41">
        <v>300.0</v>
      </c>
      <c r="G182" s="32"/>
      <c r="H182" s="21">
        <v>780.0</v>
      </c>
      <c r="I182" s="21"/>
      <c r="J182" s="29">
        <v>50.0</v>
      </c>
      <c r="K182" s="25">
        <f t="shared" si="38"/>
        <v>1430</v>
      </c>
    </row>
    <row r="183" ht="13.5" customHeight="1">
      <c r="A183" s="18" t="s">
        <v>35</v>
      </c>
      <c r="B183" s="30">
        <v>2.0</v>
      </c>
      <c r="C183" s="31" t="s">
        <v>36</v>
      </c>
      <c r="D183" s="21"/>
      <c r="E183" s="36"/>
      <c r="F183" s="41"/>
      <c r="G183" s="32"/>
      <c r="H183" s="21"/>
      <c r="I183" s="21"/>
      <c r="J183" s="24"/>
      <c r="K183" s="25">
        <f t="shared" si="38"/>
        <v>0</v>
      </c>
    </row>
    <row r="184" ht="13.5" customHeight="1">
      <c r="A184" s="26" t="s">
        <v>37</v>
      </c>
      <c r="B184" s="33"/>
      <c r="C184" s="34"/>
      <c r="D184" s="21"/>
      <c r="E184" s="36"/>
      <c r="F184" s="41"/>
      <c r="G184" s="32"/>
      <c r="H184" s="21"/>
      <c r="I184" s="21"/>
      <c r="J184" s="29"/>
      <c r="K184" s="25">
        <f t="shared" si="38"/>
        <v>0</v>
      </c>
    </row>
    <row r="185" ht="14.25" customHeight="1">
      <c r="A185" s="18" t="s">
        <v>38</v>
      </c>
      <c r="B185" s="19" t="s">
        <v>39</v>
      </c>
      <c r="C185" s="19" t="s">
        <v>40</v>
      </c>
      <c r="D185" s="21">
        <v>420.0</v>
      </c>
      <c r="E185" s="36"/>
      <c r="F185" s="36">
        <v>590.0</v>
      </c>
      <c r="G185" s="21"/>
      <c r="H185" s="21">
        <v>5550.0</v>
      </c>
      <c r="I185" s="21"/>
      <c r="J185" s="21">
        <v>290.0</v>
      </c>
      <c r="K185" s="25">
        <f t="shared" si="38"/>
        <v>6850</v>
      </c>
      <c r="L185" s="47"/>
      <c r="M185" s="12"/>
    </row>
    <row r="186" ht="13.5" customHeight="1">
      <c r="A186" s="35" t="s">
        <v>41</v>
      </c>
      <c r="B186" s="27"/>
      <c r="C186" s="27"/>
      <c r="D186" s="21">
        <v>400.0</v>
      </c>
      <c r="E186" s="21"/>
      <c r="F186" s="21">
        <v>600.0</v>
      </c>
      <c r="G186" s="21"/>
      <c r="H186" s="21">
        <v>5710.0</v>
      </c>
      <c r="I186" s="21"/>
      <c r="J186" s="21">
        <v>340.0</v>
      </c>
      <c r="K186" s="25">
        <f t="shared" si="38"/>
        <v>7050</v>
      </c>
    </row>
    <row r="187" ht="13.5" customHeight="1">
      <c r="A187" s="40" t="s">
        <v>7</v>
      </c>
      <c r="B187" s="40"/>
      <c r="C187" s="40"/>
      <c r="D187" s="10">
        <f t="shared" ref="D187:J187" si="39">SUM(D181:D186)</f>
        <v>1440</v>
      </c>
      <c r="E187" s="10">
        <f t="shared" si="39"/>
        <v>0</v>
      </c>
      <c r="F187" s="10">
        <f t="shared" si="39"/>
        <v>1890</v>
      </c>
      <c r="G187" s="10">
        <f t="shared" si="39"/>
        <v>0</v>
      </c>
      <c r="H187" s="10">
        <f t="shared" si="39"/>
        <v>12780</v>
      </c>
      <c r="I187" s="10">
        <f t="shared" si="39"/>
        <v>0</v>
      </c>
      <c r="J187" s="10">
        <f t="shared" si="39"/>
        <v>760</v>
      </c>
      <c r="K187" s="25">
        <f t="shared" si="38"/>
        <v>16870</v>
      </c>
    </row>
    <row r="188" ht="13.5" customHeight="1">
      <c r="A188" s="48" t="s">
        <v>357</v>
      </c>
    </row>
    <row r="189" ht="13.5" customHeight="1">
      <c r="A189" s="14" t="s">
        <v>25</v>
      </c>
      <c r="B189" s="14" t="s">
        <v>1</v>
      </c>
      <c r="C189" s="14" t="s">
        <v>27</v>
      </c>
      <c r="D189" s="15" t="s">
        <v>2</v>
      </c>
      <c r="E189" s="10" t="s">
        <v>28</v>
      </c>
      <c r="F189" s="16" t="s">
        <v>3</v>
      </c>
      <c r="G189" s="15" t="s">
        <v>4</v>
      </c>
      <c r="H189" s="15" t="s">
        <v>5</v>
      </c>
      <c r="I189" s="15" t="s">
        <v>82</v>
      </c>
      <c r="J189" s="14" t="s">
        <v>30</v>
      </c>
      <c r="K189" s="17" t="s">
        <v>7</v>
      </c>
    </row>
    <row r="190" ht="13.5" customHeight="1">
      <c r="A190" s="18" t="s">
        <v>31</v>
      </c>
      <c r="B190" s="19">
        <v>1.2</v>
      </c>
      <c r="C190" s="20" t="s">
        <v>33</v>
      </c>
      <c r="D190" s="21">
        <v>330.0</v>
      </c>
      <c r="E190" s="36"/>
      <c r="F190" s="36">
        <v>360.0</v>
      </c>
      <c r="G190" s="32"/>
      <c r="H190" s="21">
        <v>660.0</v>
      </c>
      <c r="I190" s="21"/>
      <c r="J190" s="50">
        <v>50.0</v>
      </c>
      <c r="K190" s="25">
        <f t="shared" ref="K190:K196" si="40">SUM(D190:J190)</f>
        <v>1400</v>
      </c>
    </row>
    <row r="191" ht="13.5" customHeight="1">
      <c r="A191" s="26" t="s">
        <v>34</v>
      </c>
      <c r="B191" s="27"/>
      <c r="C191" s="28"/>
      <c r="D191" s="21">
        <v>330.0</v>
      </c>
      <c r="E191" s="36"/>
      <c r="F191" s="36">
        <v>400.0</v>
      </c>
      <c r="G191" s="32"/>
      <c r="H191" s="21">
        <v>700.0</v>
      </c>
      <c r="I191" s="21"/>
      <c r="J191" s="51">
        <v>50.0</v>
      </c>
      <c r="K191" s="25">
        <f t="shared" si="40"/>
        <v>1480</v>
      </c>
    </row>
    <row r="192" ht="13.5" customHeight="1">
      <c r="A192" s="18" t="s">
        <v>35</v>
      </c>
      <c r="B192" s="30">
        <v>2.0</v>
      </c>
      <c r="C192" s="31" t="s">
        <v>36</v>
      </c>
      <c r="D192" s="21"/>
      <c r="E192" s="36"/>
      <c r="F192" s="36"/>
      <c r="G192" s="32"/>
      <c r="H192" s="21"/>
      <c r="I192" s="21"/>
      <c r="J192" s="50"/>
      <c r="K192" s="25">
        <f t="shared" si="40"/>
        <v>0</v>
      </c>
    </row>
    <row r="193" ht="13.5" customHeight="1">
      <c r="A193" s="26" t="s">
        <v>37</v>
      </c>
      <c r="B193" s="33"/>
      <c r="C193" s="34"/>
      <c r="D193" s="10"/>
      <c r="E193" s="10"/>
      <c r="F193" s="10"/>
      <c r="G193" s="32"/>
      <c r="H193" s="10"/>
      <c r="I193" s="10"/>
      <c r="J193" s="52"/>
      <c r="K193" s="25">
        <f t="shared" si="40"/>
        <v>0</v>
      </c>
    </row>
    <row r="194" ht="14.25" customHeight="1">
      <c r="A194" s="18" t="s">
        <v>38</v>
      </c>
      <c r="B194" s="19" t="s">
        <v>39</v>
      </c>
      <c r="C194" s="19" t="s">
        <v>40</v>
      </c>
      <c r="D194" s="21">
        <v>410.0</v>
      </c>
      <c r="E194" s="36"/>
      <c r="F194" s="36">
        <v>600.0</v>
      </c>
      <c r="G194" s="21"/>
      <c r="H194" s="21">
        <v>5470.0</v>
      </c>
      <c r="I194" s="21"/>
      <c r="J194" s="21">
        <v>280.0</v>
      </c>
      <c r="K194" s="25">
        <f t="shared" si="40"/>
        <v>6760</v>
      </c>
      <c r="L194" s="47"/>
      <c r="M194" s="12"/>
    </row>
    <row r="195" ht="13.5" customHeight="1">
      <c r="A195" s="35" t="s">
        <v>41</v>
      </c>
      <c r="B195" s="27"/>
      <c r="C195" s="27"/>
      <c r="D195" s="21">
        <v>410.0</v>
      </c>
      <c r="E195" s="21"/>
      <c r="F195" s="21">
        <v>580.0</v>
      </c>
      <c r="G195" s="21"/>
      <c r="H195" s="21">
        <v>4040.0</v>
      </c>
      <c r="I195" s="21"/>
      <c r="J195" s="21">
        <v>320.0</v>
      </c>
      <c r="K195" s="25">
        <f t="shared" si="40"/>
        <v>5350</v>
      </c>
    </row>
    <row r="196" ht="13.5" customHeight="1">
      <c r="A196" s="40" t="s">
        <v>7</v>
      </c>
      <c r="B196" s="40"/>
      <c r="C196" s="40"/>
      <c r="D196" s="10">
        <f t="shared" ref="D196:J196" si="41">SUM(D190:D195)</f>
        <v>1480</v>
      </c>
      <c r="E196" s="10">
        <f t="shared" si="41"/>
        <v>0</v>
      </c>
      <c r="F196" s="10">
        <f t="shared" si="41"/>
        <v>1940</v>
      </c>
      <c r="G196" s="10">
        <f t="shared" si="41"/>
        <v>0</v>
      </c>
      <c r="H196" s="10">
        <f t="shared" si="41"/>
        <v>10870</v>
      </c>
      <c r="I196" s="10">
        <f t="shared" si="41"/>
        <v>0</v>
      </c>
      <c r="J196" s="10">
        <f t="shared" si="41"/>
        <v>700</v>
      </c>
      <c r="K196" s="25">
        <f t="shared" si="40"/>
        <v>14990</v>
      </c>
    </row>
    <row r="197" ht="13.5" customHeight="1"/>
    <row r="198" ht="13.5" customHeight="1">
      <c r="A198" s="48" t="s">
        <v>358</v>
      </c>
    </row>
    <row r="199" ht="13.5" customHeight="1">
      <c r="A199" s="14" t="s">
        <v>25</v>
      </c>
      <c r="B199" s="14" t="s">
        <v>1</v>
      </c>
      <c r="C199" s="14" t="s">
        <v>27</v>
      </c>
      <c r="D199" s="15" t="s">
        <v>2</v>
      </c>
      <c r="E199" s="10" t="s">
        <v>28</v>
      </c>
      <c r="F199" s="16" t="s">
        <v>3</v>
      </c>
      <c r="G199" s="15" t="s">
        <v>4</v>
      </c>
      <c r="H199" s="15" t="s">
        <v>5</v>
      </c>
      <c r="I199" s="15" t="s">
        <v>29</v>
      </c>
      <c r="J199" s="14" t="s">
        <v>30</v>
      </c>
      <c r="K199" s="17" t="s">
        <v>7</v>
      </c>
    </row>
    <row r="200" ht="13.5" customHeight="1">
      <c r="A200" s="18" t="s">
        <v>31</v>
      </c>
      <c r="B200" s="19">
        <v>1.2</v>
      </c>
      <c r="C200" s="20" t="s">
        <v>33</v>
      </c>
      <c r="D200" s="21">
        <v>310.0</v>
      </c>
      <c r="E200" s="36"/>
      <c r="F200" s="41">
        <v>360.0</v>
      </c>
      <c r="G200" s="32"/>
      <c r="H200" s="21">
        <v>660.0</v>
      </c>
      <c r="I200" s="21"/>
      <c r="J200" s="24">
        <v>60.0</v>
      </c>
      <c r="K200" s="25">
        <f t="shared" ref="K200:K206" si="42">SUM(D200:J200)</f>
        <v>1390</v>
      </c>
    </row>
    <row r="201" ht="13.5" customHeight="1">
      <c r="A201" s="26" t="s">
        <v>34</v>
      </c>
      <c r="B201" s="27"/>
      <c r="C201" s="28"/>
      <c r="D201" s="21">
        <v>310.0</v>
      </c>
      <c r="E201" s="36"/>
      <c r="F201" s="41">
        <v>420.0</v>
      </c>
      <c r="G201" s="32"/>
      <c r="H201" s="21">
        <v>580.0</v>
      </c>
      <c r="I201" s="21"/>
      <c r="J201" s="29">
        <v>60.0</v>
      </c>
      <c r="K201" s="25">
        <f t="shared" si="42"/>
        <v>1370</v>
      </c>
    </row>
    <row r="202" ht="13.5" customHeight="1">
      <c r="A202" s="18" t="s">
        <v>35</v>
      </c>
      <c r="B202" s="30">
        <v>2.0</v>
      </c>
      <c r="C202" s="31" t="s">
        <v>36</v>
      </c>
      <c r="D202" s="21"/>
      <c r="E202" s="41"/>
      <c r="F202" s="10"/>
      <c r="G202" s="32"/>
      <c r="H202" s="21"/>
      <c r="I202" s="24"/>
      <c r="J202" s="24"/>
      <c r="K202" s="25">
        <f t="shared" si="42"/>
        <v>0</v>
      </c>
    </row>
    <row r="203" ht="13.5" customHeight="1">
      <c r="A203" s="26" t="s">
        <v>37</v>
      </c>
      <c r="B203" s="33"/>
      <c r="C203" s="34"/>
      <c r="D203" s="21"/>
      <c r="E203" s="36"/>
      <c r="F203" s="36"/>
      <c r="G203" s="32"/>
      <c r="H203" s="21"/>
      <c r="I203" s="29"/>
      <c r="J203" s="29"/>
      <c r="K203" s="25">
        <f t="shared" si="42"/>
        <v>0</v>
      </c>
    </row>
    <row r="204" ht="14.25" customHeight="1">
      <c r="A204" s="18" t="s">
        <v>38</v>
      </c>
      <c r="B204" s="19" t="s">
        <v>39</v>
      </c>
      <c r="C204" s="19" t="s">
        <v>40</v>
      </c>
      <c r="D204" s="21">
        <v>430.0</v>
      </c>
      <c r="E204" s="36"/>
      <c r="F204" s="36">
        <v>600.0</v>
      </c>
      <c r="G204" s="21"/>
      <c r="H204" s="21">
        <v>5580.0</v>
      </c>
      <c r="I204" s="21"/>
      <c r="J204" s="24">
        <v>300.0</v>
      </c>
      <c r="K204" s="25">
        <f t="shared" si="42"/>
        <v>6910</v>
      </c>
      <c r="L204" s="47"/>
      <c r="M204" s="12"/>
    </row>
    <row r="205" ht="13.5" customHeight="1">
      <c r="A205" s="35" t="s">
        <v>41</v>
      </c>
      <c r="B205" s="27"/>
      <c r="C205" s="27"/>
      <c r="D205" s="21">
        <v>430.0</v>
      </c>
      <c r="E205" s="36"/>
      <c r="F205" s="36">
        <v>580.0</v>
      </c>
      <c r="G205" s="21"/>
      <c r="H205" s="21">
        <v>5550.0</v>
      </c>
      <c r="I205" s="21"/>
      <c r="J205" s="39">
        <v>310.0</v>
      </c>
      <c r="K205" s="25">
        <f t="shared" si="42"/>
        <v>6870</v>
      </c>
    </row>
    <row r="206" ht="13.5" customHeight="1">
      <c r="A206" s="40" t="s">
        <v>7</v>
      </c>
      <c r="B206" s="40"/>
      <c r="C206" s="40"/>
      <c r="D206" s="10">
        <f t="shared" ref="D206:J206" si="43">SUM(D200:D205)</f>
        <v>1480</v>
      </c>
      <c r="E206" s="10">
        <f t="shared" si="43"/>
        <v>0</v>
      </c>
      <c r="F206" s="10">
        <f t="shared" si="43"/>
        <v>1960</v>
      </c>
      <c r="G206" s="10">
        <f t="shared" si="43"/>
        <v>0</v>
      </c>
      <c r="H206" s="10">
        <f t="shared" si="43"/>
        <v>12370</v>
      </c>
      <c r="I206" s="10">
        <f t="shared" si="43"/>
        <v>0</v>
      </c>
      <c r="J206" s="10">
        <f t="shared" si="43"/>
        <v>730</v>
      </c>
      <c r="K206" s="25">
        <f t="shared" si="42"/>
        <v>16540</v>
      </c>
    </row>
    <row r="207" ht="13.5" customHeight="1"/>
    <row r="208" ht="13.5" customHeight="1">
      <c r="A208" s="48" t="s">
        <v>359</v>
      </c>
    </row>
    <row r="209" ht="13.5" customHeight="1">
      <c r="A209" s="14"/>
      <c r="B209" s="14" t="s">
        <v>1</v>
      </c>
      <c r="C209" s="14" t="s">
        <v>27</v>
      </c>
      <c r="D209" s="15" t="s">
        <v>2</v>
      </c>
      <c r="E209" s="10" t="s">
        <v>28</v>
      </c>
      <c r="F209" s="16" t="s">
        <v>3</v>
      </c>
      <c r="G209" s="15" t="s">
        <v>4</v>
      </c>
      <c r="H209" s="15" t="s">
        <v>5</v>
      </c>
      <c r="I209" s="15" t="s">
        <v>29</v>
      </c>
      <c r="J209" s="14" t="s">
        <v>30</v>
      </c>
      <c r="K209" s="17" t="s">
        <v>7</v>
      </c>
    </row>
    <row r="210" ht="13.5" customHeight="1">
      <c r="A210" s="18" t="s">
        <v>31</v>
      </c>
      <c r="B210" s="19">
        <v>1.2</v>
      </c>
      <c r="C210" s="20" t="s">
        <v>33</v>
      </c>
      <c r="D210" s="21">
        <v>310.0</v>
      </c>
      <c r="E210" s="36"/>
      <c r="F210" s="36">
        <v>350.0</v>
      </c>
      <c r="G210" s="32"/>
      <c r="H210" s="21">
        <v>700.0</v>
      </c>
      <c r="I210" s="23"/>
      <c r="J210" s="24">
        <v>70.0</v>
      </c>
      <c r="K210" s="25">
        <f t="shared" ref="K210:K216" si="44">SUM(D210:J210)</f>
        <v>1430</v>
      </c>
    </row>
    <row r="211" ht="13.5" customHeight="1">
      <c r="A211" s="26" t="s">
        <v>34</v>
      </c>
      <c r="B211" s="27"/>
      <c r="C211" s="28"/>
      <c r="D211" s="21">
        <v>330.0</v>
      </c>
      <c r="E211" s="36"/>
      <c r="F211" s="37"/>
      <c r="G211" s="53"/>
      <c r="H211" s="22">
        <v>610.0</v>
      </c>
      <c r="I211" s="29"/>
      <c r="J211" s="29">
        <v>80.0</v>
      </c>
      <c r="K211" s="25">
        <f t="shared" si="44"/>
        <v>1020</v>
      </c>
    </row>
    <row r="212" ht="13.5" customHeight="1">
      <c r="A212" s="18" t="s">
        <v>35</v>
      </c>
      <c r="B212" s="30">
        <v>2.0</v>
      </c>
      <c r="C212" s="31" t="s">
        <v>36</v>
      </c>
      <c r="D212" s="21"/>
      <c r="E212" s="36"/>
      <c r="F212" s="36"/>
      <c r="G212" s="21"/>
      <c r="H212" s="21"/>
      <c r="I212" s="21"/>
      <c r="J212" s="24"/>
      <c r="K212" s="25">
        <f t="shared" si="44"/>
        <v>0</v>
      </c>
    </row>
    <row r="213" ht="13.5" customHeight="1">
      <c r="A213" s="26" t="s">
        <v>37</v>
      </c>
      <c r="B213" s="33"/>
      <c r="C213" s="34"/>
      <c r="D213" s="21"/>
      <c r="E213" s="36"/>
      <c r="F213" s="36"/>
      <c r="G213" s="21"/>
      <c r="H213" s="21"/>
      <c r="I213" s="21"/>
      <c r="J213" s="29"/>
      <c r="K213" s="25">
        <f t="shared" si="44"/>
        <v>0</v>
      </c>
    </row>
    <row r="214" ht="14.25" customHeight="1">
      <c r="A214" s="18" t="s">
        <v>38</v>
      </c>
      <c r="B214" s="19" t="s">
        <v>39</v>
      </c>
      <c r="C214" s="19" t="s">
        <v>40</v>
      </c>
      <c r="D214" s="21">
        <v>420.0</v>
      </c>
      <c r="E214" s="36"/>
      <c r="F214" s="36">
        <v>700.0</v>
      </c>
      <c r="G214" s="21"/>
      <c r="H214" s="21">
        <v>5370.0</v>
      </c>
      <c r="I214" s="21"/>
      <c r="J214" s="24">
        <v>300.0</v>
      </c>
      <c r="K214" s="25">
        <f t="shared" si="44"/>
        <v>6790</v>
      </c>
      <c r="L214" s="47"/>
      <c r="M214" s="12"/>
    </row>
    <row r="215" ht="13.5" customHeight="1">
      <c r="A215" s="35" t="s">
        <v>41</v>
      </c>
      <c r="B215" s="27"/>
      <c r="C215" s="27"/>
      <c r="D215" s="21">
        <v>430.0</v>
      </c>
      <c r="E215" s="21"/>
      <c r="F215" s="21"/>
      <c r="G215" s="21"/>
      <c r="H215" s="21">
        <v>5650.0</v>
      </c>
      <c r="I215" s="21"/>
      <c r="J215" s="21">
        <v>320.0</v>
      </c>
      <c r="K215" s="25">
        <f t="shared" si="44"/>
        <v>6400</v>
      </c>
    </row>
    <row r="216" ht="13.5" customHeight="1">
      <c r="A216" s="40" t="s">
        <v>7</v>
      </c>
      <c r="B216" s="40"/>
      <c r="C216" s="40"/>
      <c r="D216" s="10">
        <f t="shared" ref="D216:J216" si="45">SUM(D210:D215)</f>
        <v>1490</v>
      </c>
      <c r="E216" s="10">
        <f t="shared" si="45"/>
        <v>0</v>
      </c>
      <c r="F216" s="10">
        <f t="shared" si="45"/>
        <v>1050</v>
      </c>
      <c r="G216" s="10">
        <f t="shared" si="45"/>
        <v>0</v>
      </c>
      <c r="H216" s="10">
        <f t="shared" si="45"/>
        <v>12330</v>
      </c>
      <c r="I216" s="10">
        <f t="shared" si="45"/>
        <v>0</v>
      </c>
      <c r="J216" s="10">
        <f t="shared" si="45"/>
        <v>770</v>
      </c>
      <c r="K216" s="25">
        <f t="shared" si="44"/>
        <v>15640</v>
      </c>
    </row>
    <row r="217" ht="13.5" customHeight="1"/>
    <row r="218" ht="13.5" customHeight="1">
      <c r="A218" s="48" t="s">
        <v>360</v>
      </c>
    </row>
    <row r="219" ht="13.5" customHeight="1">
      <c r="A219" s="14" t="s">
        <v>25</v>
      </c>
      <c r="B219" s="14" t="s">
        <v>1</v>
      </c>
      <c r="C219" s="14" t="s">
        <v>27</v>
      </c>
      <c r="D219" s="15" t="s">
        <v>2</v>
      </c>
      <c r="E219" s="10" t="s">
        <v>325</v>
      </c>
      <c r="F219" s="16" t="s">
        <v>3</v>
      </c>
      <c r="G219" s="15" t="s">
        <v>4</v>
      </c>
      <c r="H219" s="15" t="s">
        <v>5</v>
      </c>
      <c r="I219" s="15" t="s">
        <v>29</v>
      </c>
      <c r="J219" s="14" t="s">
        <v>30</v>
      </c>
      <c r="K219" s="17" t="s">
        <v>7</v>
      </c>
    </row>
    <row r="220" ht="13.5" customHeight="1">
      <c r="A220" s="18" t="s">
        <v>31</v>
      </c>
      <c r="B220" s="19">
        <v>1.2</v>
      </c>
      <c r="C220" s="20" t="s">
        <v>33</v>
      </c>
      <c r="D220" s="21">
        <v>320.0</v>
      </c>
      <c r="E220" s="36"/>
      <c r="F220" s="36">
        <v>350.0</v>
      </c>
      <c r="G220" s="32"/>
      <c r="H220" s="21">
        <v>910.0</v>
      </c>
      <c r="I220" s="23"/>
      <c r="J220" s="24">
        <v>100.0</v>
      </c>
      <c r="K220" s="25">
        <f t="shared" ref="K220:K226" si="46">D220+F220+G220+H220+I220+J220</f>
        <v>1680</v>
      </c>
    </row>
    <row r="221" ht="13.5" customHeight="1">
      <c r="A221" s="26" t="s">
        <v>34</v>
      </c>
      <c r="B221" s="27"/>
      <c r="C221" s="28"/>
      <c r="D221" s="21">
        <v>300.0</v>
      </c>
      <c r="E221" s="36"/>
      <c r="F221" s="37">
        <v>420.0</v>
      </c>
      <c r="G221" s="53"/>
      <c r="H221" s="22">
        <v>820.0</v>
      </c>
      <c r="I221" s="29"/>
      <c r="J221" s="29">
        <v>80.0</v>
      </c>
      <c r="K221" s="25">
        <f t="shared" si="46"/>
        <v>1620</v>
      </c>
    </row>
    <row r="222" ht="13.5" customHeight="1">
      <c r="A222" s="18" t="s">
        <v>35</v>
      </c>
      <c r="B222" s="30">
        <v>2.0</v>
      </c>
      <c r="C222" s="31" t="s">
        <v>36</v>
      </c>
      <c r="D222" s="21"/>
      <c r="E222" s="36"/>
      <c r="F222" s="36"/>
      <c r="G222" s="21"/>
      <c r="H222" s="21"/>
      <c r="I222" s="21"/>
      <c r="J222" s="24"/>
      <c r="K222" s="25">
        <f t="shared" si="46"/>
        <v>0</v>
      </c>
    </row>
    <row r="223" ht="13.5" customHeight="1">
      <c r="A223" s="26" t="s">
        <v>37</v>
      </c>
      <c r="B223" s="33"/>
      <c r="C223" s="34"/>
      <c r="D223" s="21"/>
      <c r="E223" s="36"/>
      <c r="F223" s="36"/>
      <c r="G223" s="21"/>
      <c r="H223" s="21"/>
      <c r="I223" s="21"/>
      <c r="J223" s="29"/>
      <c r="K223" s="25">
        <f t="shared" si="46"/>
        <v>0</v>
      </c>
    </row>
    <row r="224" ht="14.25" customHeight="1">
      <c r="A224" s="18" t="s">
        <v>38</v>
      </c>
      <c r="B224" s="19" t="s">
        <v>39</v>
      </c>
      <c r="C224" s="19" t="s">
        <v>40</v>
      </c>
      <c r="D224" s="21">
        <v>410.0</v>
      </c>
      <c r="E224" s="36"/>
      <c r="F224" s="36">
        <v>600.0</v>
      </c>
      <c r="G224" s="21"/>
      <c r="H224" s="21">
        <v>5520.0</v>
      </c>
      <c r="I224" s="21"/>
      <c r="J224" s="24">
        <v>330.0</v>
      </c>
      <c r="K224" s="25">
        <f t="shared" si="46"/>
        <v>6860</v>
      </c>
      <c r="L224" s="47"/>
      <c r="M224" s="12"/>
    </row>
    <row r="225" ht="13.5" customHeight="1">
      <c r="A225" s="35" t="s">
        <v>41</v>
      </c>
      <c r="B225" s="27"/>
      <c r="C225" s="27"/>
      <c r="D225" s="21">
        <v>420.0</v>
      </c>
      <c r="E225" s="36"/>
      <c r="F225" s="21">
        <v>580.0</v>
      </c>
      <c r="G225" s="21"/>
      <c r="H225" s="21">
        <v>5270.0</v>
      </c>
      <c r="I225" s="21"/>
      <c r="J225" s="21">
        <v>330.0</v>
      </c>
      <c r="K225" s="25">
        <f t="shared" si="46"/>
        <v>6600</v>
      </c>
    </row>
    <row r="226" ht="13.5" customHeight="1">
      <c r="A226" s="40" t="s">
        <v>7</v>
      </c>
      <c r="B226" s="40"/>
      <c r="C226" s="40"/>
      <c r="D226" s="10">
        <f t="shared" ref="D226:J226" si="47">SUM(D220:D225)</f>
        <v>1450</v>
      </c>
      <c r="E226" s="10">
        <f t="shared" si="47"/>
        <v>0</v>
      </c>
      <c r="F226" s="10">
        <f t="shared" si="47"/>
        <v>1950</v>
      </c>
      <c r="G226" s="10">
        <f t="shared" si="47"/>
        <v>0</v>
      </c>
      <c r="H226" s="10">
        <f t="shared" si="47"/>
        <v>12520</v>
      </c>
      <c r="I226" s="10">
        <f t="shared" si="47"/>
        <v>0</v>
      </c>
      <c r="J226" s="10">
        <f t="shared" si="47"/>
        <v>840</v>
      </c>
      <c r="K226" s="25">
        <f t="shared" si="46"/>
        <v>16760</v>
      </c>
    </row>
    <row r="227" ht="13.5" customHeight="1"/>
    <row r="228" ht="13.5" customHeight="1">
      <c r="A228" s="48" t="s">
        <v>361</v>
      </c>
    </row>
    <row r="229" ht="13.5" customHeight="1">
      <c r="A229" s="14" t="s">
        <v>25</v>
      </c>
      <c r="B229" s="14" t="s">
        <v>1</v>
      </c>
      <c r="C229" s="14" t="s">
        <v>27</v>
      </c>
      <c r="D229" s="15" t="s">
        <v>2</v>
      </c>
      <c r="E229" s="10" t="s">
        <v>325</v>
      </c>
      <c r="F229" s="16" t="s">
        <v>3</v>
      </c>
      <c r="G229" s="15" t="s">
        <v>4</v>
      </c>
      <c r="H229" s="14" t="s">
        <v>5</v>
      </c>
      <c r="I229" s="15" t="s">
        <v>29</v>
      </c>
      <c r="J229" s="14" t="s">
        <v>30</v>
      </c>
      <c r="K229" s="17" t="s">
        <v>7</v>
      </c>
    </row>
    <row r="230" ht="13.5" customHeight="1">
      <c r="A230" s="18" t="s">
        <v>31</v>
      </c>
      <c r="B230" s="19">
        <v>1.2</v>
      </c>
      <c r="C230" s="20" t="s">
        <v>33</v>
      </c>
      <c r="D230" s="21">
        <v>310.0</v>
      </c>
      <c r="E230" s="36"/>
      <c r="F230" s="36">
        <v>360.0</v>
      </c>
      <c r="G230" s="32"/>
      <c r="H230" s="21">
        <v>1010.0</v>
      </c>
      <c r="I230" s="21"/>
      <c r="J230" s="21">
        <v>80.0</v>
      </c>
      <c r="K230" s="25">
        <f t="shared" ref="K230:K236" si="48">D230+F230+G230+H230+I230+J230</f>
        <v>1760</v>
      </c>
    </row>
    <row r="231" ht="13.5" customHeight="1">
      <c r="A231" s="26" t="s">
        <v>34</v>
      </c>
      <c r="B231" s="27"/>
      <c r="C231" s="28"/>
      <c r="D231" s="21">
        <v>310.0</v>
      </c>
      <c r="E231" s="36"/>
      <c r="F231" s="36">
        <v>440.0</v>
      </c>
      <c r="G231" s="32"/>
      <c r="H231" s="21">
        <v>1090.0</v>
      </c>
      <c r="I231" s="21"/>
      <c r="J231" s="21">
        <v>80.0</v>
      </c>
      <c r="K231" s="25">
        <f t="shared" si="48"/>
        <v>1920</v>
      </c>
    </row>
    <row r="232" ht="13.5" customHeight="1">
      <c r="A232" s="18" t="s">
        <v>35</v>
      </c>
      <c r="B232" s="30">
        <v>2.0</v>
      </c>
      <c r="C232" s="31" t="s">
        <v>36</v>
      </c>
      <c r="D232" s="21"/>
      <c r="E232" s="36"/>
      <c r="F232" s="36"/>
      <c r="G232" s="32"/>
      <c r="H232" s="21"/>
      <c r="I232" s="21"/>
      <c r="J232" s="21"/>
      <c r="K232" s="25">
        <f t="shared" si="48"/>
        <v>0</v>
      </c>
    </row>
    <row r="233" ht="13.5" customHeight="1">
      <c r="A233" s="26" t="s">
        <v>37</v>
      </c>
      <c r="B233" s="33"/>
      <c r="C233" s="34"/>
      <c r="D233" s="21"/>
      <c r="E233" s="36"/>
      <c r="F233" s="36"/>
      <c r="G233" s="32"/>
      <c r="H233" s="21"/>
      <c r="I233" s="21"/>
      <c r="J233" s="21"/>
      <c r="K233" s="25">
        <f t="shared" si="48"/>
        <v>0</v>
      </c>
    </row>
    <row r="234" ht="14.25" customHeight="1">
      <c r="A234" s="18" t="s">
        <v>38</v>
      </c>
      <c r="B234" s="19" t="s">
        <v>39</v>
      </c>
      <c r="C234" s="19" t="s">
        <v>40</v>
      </c>
      <c r="D234" s="21">
        <v>430.0</v>
      </c>
      <c r="E234" s="36"/>
      <c r="F234" s="36">
        <v>610.0</v>
      </c>
      <c r="G234" s="32"/>
      <c r="H234" s="21">
        <v>5620.0</v>
      </c>
      <c r="I234" s="21"/>
      <c r="J234" s="21">
        <v>310.0</v>
      </c>
      <c r="K234" s="25">
        <f t="shared" si="48"/>
        <v>6970</v>
      </c>
      <c r="L234" s="47"/>
      <c r="M234" s="12"/>
    </row>
    <row r="235" ht="13.5" customHeight="1">
      <c r="A235" s="35" t="s">
        <v>41</v>
      </c>
      <c r="B235" s="27"/>
      <c r="C235" s="27"/>
      <c r="D235" s="21">
        <v>430.0</v>
      </c>
      <c r="E235" s="36"/>
      <c r="F235" s="36">
        <v>600.0</v>
      </c>
      <c r="G235" s="38"/>
      <c r="H235" s="21">
        <v>5420.0</v>
      </c>
      <c r="I235" s="29"/>
      <c r="J235" s="39">
        <v>300.0</v>
      </c>
      <c r="K235" s="25">
        <f t="shared" si="48"/>
        <v>6750</v>
      </c>
    </row>
    <row r="236" ht="13.5" customHeight="1">
      <c r="A236" s="40" t="s">
        <v>7</v>
      </c>
      <c r="B236" s="40"/>
      <c r="C236" s="40"/>
      <c r="D236" s="10">
        <f t="shared" ref="D236:J236" si="49">SUM(D230:D235)</f>
        <v>1480</v>
      </c>
      <c r="E236" s="10">
        <f t="shared" si="49"/>
        <v>0</v>
      </c>
      <c r="F236" s="10">
        <f t="shared" si="49"/>
        <v>2010</v>
      </c>
      <c r="G236" s="10">
        <f t="shared" si="49"/>
        <v>0</v>
      </c>
      <c r="H236" s="10">
        <f t="shared" si="49"/>
        <v>13140</v>
      </c>
      <c r="I236" s="10">
        <f t="shared" si="49"/>
        <v>0</v>
      </c>
      <c r="J236" s="10">
        <f t="shared" si="49"/>
        <v>770</v>
      </c>
      <c r="K236" s="25">
        <f t="shared" si="48"/>
        <v>17400</v>
      </c>
    </row>
    <row r="237" ht="13.5" customHeight="1"/>
    <row r="238" ht="13.5" customHeight="1">
      <c r="A238" s="48" t="s">
        <v>362</v>
      </c>
    </row>
    <row r="239" ht="13.5" customHeight="1">
      <c r="A239" s="14" t="s">
        <v>25</v>
      </c>
      <c r="B239" s="14" t="s">
        <v>1</v>
      </c>
      <c r="C239" s="14" t="s">
        <v>27</v>
      </c>
      <c r="D239" s="15" t="s">
        <v>2</v>
      </c>
      <c r="E239" s="10" t="s">
        <v>325</v>
      </c>
      <c r="F239" s="16" t="s">
        <v>3</v>
      </c>
      <c r="G239" s="15" t="s">
        <v>4</v>
      </c>
      <c r="H239" s="15" t="s">
        <v>5</v>
      </c>
      <c r="I239" s="15" t="s">
        <v>29</v>
      </c>
      <c r="J239" s="14" t="s">
        <v>30</v>
      </c>
      <c r="K239" s="17" t="s">
        <v>7</v>
      </c>
    </row>
    <row r="240" ht="13.5" customHeight="1">
      <c r="A240" s="18" t="s">
        <v>31</v>
      </c>
      <c r="B240" s="19">
        <v>1.2</v>
      </c>
      <c r="C240" s="20" t="s">
        <v>33</v>
      </c>
      <c r="D240" s="21">
        <v>290.0</v>
      </c>
      <c r="E240" s="36"/>
      <c r="F240" s="36">
        <v>380.0</v>
      </c>
      <c r="G240" s="32"/>
      <c r="H240" s="21">
        <v>1200.0</v>
      </c>
      <c r="I240" s="23"/>
      <c r="J240" s="24">
        <v>100.0</v>
      </c>
      <c r="K240" s="25">
        <f t="shared" ref="K240:K246" si="50">D240+F240+G240+H240+I240+J240</f>
        <v>1970</v>
      </c>
    </row>
    <row r="241" ht="13.5" customHeight="1">
      <c r="A241" s="26" t="s">
        <v>34</v>
      </c>
      <c r="B241" s="27"/>
      <c r="C241" s="28"/>
      <c r="D241" s="21">
        <v>300.0</v>
      </c>
      <c r="E241" s="36"/>
      <c r="F241" s="36">
        <v>400.0</v>
      </c>
      <c r="G241" s="32"/>
      <c r="H241" s="21">
        <v>1280.0</v>
      </c>
      <c r="I241" s="29"/>
      <c r="J241" s="29">
        <v>100.0</v>
      </c>
      <c r="K241" s="25">
        <f t="shared" si="50"/>
        <v>2080</v>
      </c>
    </row>
    <row r="242" ht="13.5" customHeight="1">
      <c r="A242" s="18" t="s">
        <v>35</v>
      </c>
      <c r="B242" s="30">
        <v>2.0</v>
      </c>
      <c r="C242" s="31" t="s">
        <v>36</v>
      </c>
      <c r="D242" s="21"/>
      <c r="E242" s="36"/>
      <c r="F242" s="36"/>
      <c r="G242" s="32"/>
      <c r="H242" s="21"/>
      <c r="I242" s="23"/>
      <c r="J242" s="24"/>
      <c r="K242" s="25">
        <f t="shared" si="50"/>
        <v>0</v>
      </c>
    </row>
    <row r="243" ht="13.5" customHeight="1">
      <c r="A243" s="26" t="s">
        <v>37</v>
      </c>
      <c r="B243" s="33"/>
      <c r="C243" s="34"/>
      <c r="D243" s="21"/>
      <c r="E243" s="36"/>
      <c r="F243" s="36"/>
      <c r="G243" s="32"/>
      <c r="H243" s="21"/>
      <c r="I243" s="29"/>
      <c r="J243" s="29"/>
      <c r="K243" s="25">
        <f t="shared" si="50"/>
        <v>0</v>
      </c>
    </row>
    <row r="244" ht="14.25" customHeight="1">
      <c r="A244" s="18" t="s">
        <v>38</v>
      </c>
      <c r="B244" s="19" t="s">
        <v>39</v>
      </c>
      <c r="C244" s="19" t="s">
        <v>40</v>
      </c>
      <c r="D244" s="21">
        <v>450.0</v>
      </c>
      <c r="E244" s="36"/>
      <c r="F244" s="36">
        <v>580.0</v>
      </c>
      <c r="G244" s="32"/>
      <c r="H244" s="21">
        <v>5520.0</v>
      </c>
      <c r="I244" s="23"/>
      <c r="J244" s="24">
        <v>320.0</v>
      </c>
      <c r="K244" s="25">
        <f t="shared" si="50"/>
        <v>6870</v>
      </c>
      <c r="L244" s="12"/>
    </row>
    <row r="245" ht="13.5" customHeight="1">
      <c r="A245" s="35" t="s">
        <v>41</v>
      </c>
      <c r="B245" s="27"/>
      <c r="C245" s="27"/>
      <c r="D245" s="21">
        <v>380.0</v>
      </c>
      <c r="E245" s="36"/>
      <c r="F245" s="21">
        <v>580.0</v>
      </c>
      <c r="G245" s="21"/>
      <c r="H245" s="21">
        <v>5390.0</v>
      </c>
      <c r="I245" s="21"/>
      <c r="J245" s="21">
        <v>300.0</v>
      </c>
      <c r="K245" s="25">
        <f t="shared" si="50"/>
        <v>6650</v>
      </c>
    </row>
    <row r="246" ht="13.5" customHeight="1">
      <c r="A246" s="40" t="s">
        <v>7</v>
      </c>
      <c r="B246" s="40"/>
      <c r="C246" s="40"/>
      <c r="D246" s="10">
        <f t="shared" ref="D246:J246" si="51">SUM(D240:D245)</f>
        <v>1420</v>
      </c>
      <c r="E246" s="10">
        <f t="shared" si="51"/>
        <v>0</v>
      </c>
      <c r="F246" s="10">
        <f t="shared" si="51"/>
        <v>1940</v>
      </c>
      <c r="G246" s="10">
        <f t="shared" si="51"/>
        <v>0</v>
      </c>
      <c r="H246" s="10">
        <f t="shared" si="51"/>
        <v>13390</v>
      </c>
      <c r="I246" s="10">
        <f t="shared" si="51"/>
        <v>0</v>
      </c>
      <c r="J246" s="10">
        <f t="shared" si="51"/>
        <v>820</v>
      </c>
      <c r="K246" s="25">
        <f t="shared" si="50"/>
        <v>17570</v>
      </c>
    </row>
    <row r="247" ht="13.5" customHeight="1"/>
    <row r="248" ht="13.5" customHeight="1">
      <c r="A248" s="48" t="s">
        <v>363</v>
      </c>
    </row>
    <row r="249" ht="13.5" customHeight="1">
      <c r="A249" s="14" t="s">
        <v>25</v>
      </c>
      <c r="B249" s="14" t="s">
        <v>1</v>
      </c>
      <c r="C249" s="14" t="s">
        <v>27</v>
      </c>
      <c r="D249" s="15" t="s">
        <v>2</v>
      </c>
      <c r="E249" s="10" t="s">
        <v>325</v>
      </c>
      <c r="F249" s="16" t="s">
        <v>3</v>
      </c>
      <c r="G249" s="15" t="s">
        <v>4</v>
      </c>
      <c r="H249" s="15" t="s">
        <v>5</v>
      </c>
      <c r="I249" s="15" t="s">
        <v>29</v>
      </c>
      <c r="J249" s="14" t="s">
        <v>30</v>
      </c>
      <c r="K249" s="17" t="s">
        <v>7</v>
      </c>
    </row>
    <row r="250" ht="14.25" customHeight="1">
      <c r="A250" s="18" t="s">
        <v>31</v>
      </c>
      <c r="B250" s="19">
        <v>1.2</v>
      </c>
      <c r="C250" s="20" t="s">
        <v>33</v>
      </c>
      <c r="D250" s="21">
        <v>300.0</v>
      </c>
      <c r="E250" s="36"/>
      <c r="F250" s="36">
        <v>350.0</v>
      </c>
      <c r="G250" s="36"/>
      <c r="H250" s="32">
        <v>1210.0</v>
      </c>
      <c r="I250" s="23"/>
      <c r="J250" s="24">
        <v>80.0</v>
      </c>
      <c r="K250" s="25">
        <f t="shared" ref="K250:K256" si="52">D250+F250+G250+H250+I250+J250</f>
        <v>1940</v>
      </c>
    </row>
    <row r="251" ht="13.5" customHeight="1">
      <c r="A251" s="26" t="s">
        <v>34</v>
      </c>
      <c r="B251" s="27"/>
      <c r="C251" s="28"/>
      <c r="D251" s="21">
        <v>300.0</v>
      </c>
      <c r="E251" s="36"/>
      <c r="F251" s="36">
        <v>380.0</v>
      </c>
      <c r="G251" s="32"/>
      <c r="H251" s="36">
        <v>1250.0</v>
      </c>
      <c r="I251" s="32"/>
      <c r="J251" s="21">
        <v>100.0</v>
      </c>
      <c r="K251" s="25">
        <f t="shared" si="52"/>
        <v>2030</v>
      </c>
    </row>
    <row r="252" ht="13.5" customHeight="1">
      <c r="A252" s="18" t="s">
        <v>35</v>
      </c>
      <c r="B252" s="30">
        <v>2.0</v>
      </c>
      <c r="C252" s="31" t="s">
        <v>36</v>
      </c>
      <c r="D252" s="21"/>
      <c r="E252" s="36"/>
      <c r="F252" s="36"/>
      <c r="G252" s="36"/>
      <c r="H252" s="32"/>
      <c r="I252" s="23"/>
      <c r="J252" s="24"/>
      <c r="K252" s="25">
        <f t="shared" si="52"/>
        <v>0</v>
      </c>
    </row>
    <row r="253" ht="13.5" customHeight="1">
      <c r="A253" s="26" t="s">
        <v>37</v>
      </c>
      <c r="B253" s="33"/>
      <c r="C253" s="34"/>
      <c r="D253" s="21"/>
      <c r="E253" s="36"/>
      <c r="F253" s="36"/>
      <c r="G253" s="21"/>
      <c r="H253" s="21"/>
      <c r="I253" s="21"/>
      <c r="J253" s="21"/>
      <c r="K253" s="25">
        <f t="shared" si="52"/>
        <v>0</v>
      </c>
    </row>
    <row r="254" ht="14.25" customHeight="1">
      <c r="A254" s="18" t="s">
        <v>38</v>
      </c>
      <c r="B254" s="19" t="s">
        <v>39</v>
      </c>
      <c r="C254" s="19" t="s">
        <v>40</v>
      </c>
      <c r="D254" s="10">
        <v>430.0</v>
      </c>
      <c r="E254" s="36"/>
      <c r="F254" s="10">
        <v>600.0</v>
      </c>
      <c r="G254" s="10"/>
      <c r="H254" s="10">
        <v>4770.0</v>
      </c>
      <c r="I254" s="10"/>
      <c r="J254" s="10">
        <v>300.0</v>
      </c>
      <c r="K254" s="25">
        <f t="shared" si="52"/>
        <v>6100</v>
      </c>
      <c r="L254" s="47"/>
      <c r="M254" s="12"/>
    </row>
    <row r="255" ht="13.5" customHeight="1">
      <c r="A255" s="35" t="s">
        <v>41</v>
      </c>
      <c r="B255" s="27"/>
      <c r="C255" s="27"/>
      <c r="D255" s="21">
        <v>420.0</v>
      </c>
      <c r="E255" s="36"/>
      <c r="F255" s="21">
        <v>600.0</v>
      </c>
      <c r="G255" s="21"/>
      <c r="H255" s="21">
        <v>4990.0</v>
      </c>
      <c r="I255" s="21"/>
      <c r="J255" s="21">
        <v>290.0</v>
      </c>
      <c r="K255" s="25">
        <f t="shared" si="52"/>
        <v>6300</v>
      </c>
    </row>
    <row r="256" ht="13.5" customHeight="1">
      <c r="A256" s="40" t="s">
        <v>7</v>
      </c>
      <c r="B256" s="40"/>
      <c r="C256" s="40"/>
      <c r="D256" s="10">
        <f t="shared" ref="D256:J256" si="53">SUM(D250:D255)</f>
        <v>1450</v>
      </c>
      <c r="E256" s="10">
        <f t="shared" si="53"/>
        <v>0</v>
      </c>
      <c r="F256" s="10">
        <f t="shared" si="53"/>
        <v>1930</v>
      </c>
      <c r="G256" s="10">
        <f t="shared" si="53"/>
        <v>0</v>
      </c>
      <c r="H256" s="10">
        <f t="shared" si="53"/>
        <v>12220</v>
      </c>
      <c r="I256" s="10">
        <f t="shared" si="53"/>
        <v>0</v>
      </c>
      <c r="J256" s="10">
        <f t="shared" si="53"/>
        <v>770</v>
      </c>
      <c r="K256" s="25">
        <f t="shared" si="52"/>
        <v>16370</v>
      </c>
    </row>
    <row r="257" ht="13.5" customHeight="1"/>
    <row r="258" ht="13.5" customHeight="1">
      <c r="A258" s="48" t="s">
        <v>364</v>
      </c>
    </row>
    <row r="259" ht="13.5" customHeight="1">
      <c r="A259" s="14" t="s">
        <v>25</v>
      </c>
      <c r="B259" s="14" t="s">
        <v>1</v>
      </c>
      <c r="C259" s="14" t="s">
        <v>27</v>
      </c>
      <c r="D259" s="15" t="s">
        <v>2</v>
      </c>
      <c r="E259" s="10" t="s">
        <v>325</v>
      </c>
      <c r="F259" s="16" t="s">
        <v>3</v>
      </c>
      <c r="G259" s="15" t="s">
        <v>4</v>
      </c>
      <c r="H259" s="15" t="s">
        <v>5</v>
      </c>
      <c r="I259" s="15" t="s">
        <v>29</v>
      </c>
      <c r="J259" s="14" t="s">
        <v>30</v>
      </c>
      <c r="K259" s="17" t="s">
        <v>7</v>
      </c>
    </row>
    <row r="260" ht="14.25" customHeight="1">
      <c r="A260" s="18" t="s">
        <v>31</v>
      </c>
      <c r="B260" s="19">
        <v>1.2</v>
      </c>
      <c r="C260" s="20" t="s">
        <v>33</v>
      </c>
      <c r="D260" s="21">
        <v>310.0</v>
      </c>
      <c r="E260" s="36"/>
      <c r="F260" s="36">
        <v>360.0</v>
      </c>
      <c r="G260" s="32"/>
      <c r="H260" s="21">
        <v>1170.0</v>
      </c>
      <c r="I260" s="23"/>
      <c r="J260" s="24">
        <v>100.0</v>
      </c>
      <c r="K260" s="25">
        <f t="shared" ref="K260:K266" si="54">D260+F260+G260+H260+I260+J260</f>
        <v>1940</v>
      </c>
    </row>
    <row r="261" ht="13.5" customHeight="1">
      <c r="A261" s="26" t="s">
        <v>34</v>
      </c>
      <c r="B261" s="27"/>
      <c r="C261" s="28"/>
      <c r="D261" s="21">
        <v>300.0</v>
      </c>
      <c r="E261" s="36"/>
      <c r="F261" s="36">
        <v>430.0</v>
      </c>
      <c r="G261" s="22"/>
      <c r="H261" s="21">
        <v>1220.0</v>
      </c>
      <c r="I261" s="29"/>
      <c r="J261" s="29">
        <v>100.0</v>
      </c>
      <c r="K261" s="25">
        <f t="shared" si="54"/>
        <v>2050</v>
      </c>
    </row>
    <row r="262" ht="13.5" customHeight="1">
      <c r="A262" s="18" t="s">
        <v>35</v>
      </c>
      <c r="B262" s="30">
        <v>2.0</v>
      </c>
      <c r="C262" s="31" t="s">
        <v>36</v>
      </c>
      <c r="D262" s="21"/>
      <c r="E262" s="36"/>
      <c r="F262" s="10"/>
      <c r="G262" s="36"/>
      <c r="H262" s="21"/>
      <c r="I262" s="23"/>
      <c r="J262" s="24"/>
      <c r="K262" s="25">
        <f t="shared" si="54"/>
        <v>0</v>
      </c>
    </row>
    <row r="263" ht="13.5" customHeight="1">
      <c r="A263" s="26" t="s">
        <v>37</v>
      </c>
      <c r="B263" s="33"/>
      <c r="C263" s="34"/>
      <c r="D263" s="21"/>
      <c r="E263" s="36"/>
      <c r="F263" s="36"/>
      <c r="G263" s="22"/>
      <c r="H263" s="21"/>
      <c r="I263" s="29"/>
      <c r="J263" s="29"/>
      <c r="K263" s="25">
        <f t="shared" si="54"/>
        <v>0</v>
      </c>
    </row>
    <row r="264" ht="14.25" customHeight="1">
      <c r="A264" s="18" t="s">
        <v>38</v>
      </c>
      <c r="B264" s="19" t="s">
        <v>39</v>
      </c>
      <c r="C264" s="19" t="s">
        <v>40</v>
      </c>
      <c r="D264" s="21">
        <v>430.0</v>
      </c>
      <c r="E264" s="36"/>
      <c r="F264" s="36">
        <v>600.0</v>
      </c>
      <c r="G264" s="32"/>
      <c r="H264" s="21">
        <v>4870.0</v>
      </c>
      <c r="I264" s="23"/>
      <c r="J264" s="24">
        <v>290.0</v>
      </c>
      <c r="K264" s="25">
        <f t="shared" si="54"/>
        <v>6190</v>
      </c>
      <c r="L264" s="47"/>
      <c r="M264" s="12"/>
    </row>
    <row r="265" ht="13.5" customHeight="1">
      <c r="A265" s="35" t="s">
        <v>41</v>
      </c>
      <c r="B265" s="27"/>
      <c r="C265" s="27"/>
      <c r="D265" s="21">
        <v>440.0</v>
      </c>
      <c r="E265" s="36"/>
      <c r="F265" s="21">
        <v>610.0</v>
      </c>
      <c r="G265" s="21"/>
      <c r="H265" s="21">
        <v>4750.0</v>
      </c>
      <c r="I265" s="21"/>
      <c r="J265" s="21">
        <v>310.0</v>
      </c>
      <c r="K265" s="25">
        <f t="shared" si="54"/>
        <v>6110</v>
      </c>
    </row>
    <row r="266" ht="13.5" customHeight="1">
      <c r="A266" s="40" t="s">
        <v>7</v>
      </c>
      <c r="B266" s="40"/>
      <c r="C266" s="40"/>
      <c r="D266" s="10">
        <f t="shared" ref="D266:J266" si="55">SUM(D260:D265)</f>
        <v>1480</v>
      </c>
      <c r="E266" s="10">
        <f t="shared" si="55"/>
        <v>0</v>
      </c>
      <c r="F266" s="10">
        <f t="shared" si="55"/>
        <v>2000</v>
      </c>
      <c r="G266" s="10">
        <f t="shared" si="55"/>
        <v>0</v>
      </c>
      <c r="H266" s="10">
        <f t="shared" si="55"/>
        <v>12010</v>
      </c>
      <c r="I266" s="10">
        <f t="shared" si="55"/>
        <v>0</v>
      </c>
      <c r="J266" s="10">
        <f t="shared" si="55"/>
        <v>800</v>
      </c>
      <c r="K266" s="25">
        <f t="shared" si="54"/>
        <v>16290</v>
      </c>
    </row>
    <row r="267" ht="13.5" customHeight="1">
      <c r="A267" s="48"/>
    </row>
    <row r="268" ht="13.5" customHeight="1">
      <c r="A268" s="48" t="s">
        <v>365</v>
      </c>
    </row>
    <row r="269" ht="13.5" customHeight="1">
      <c r="A269" s="14" t="s">
        <v>25</v>
      </c>
      <c r="B269" s="14" t="s">
        <v>1</v>
      </c>
      <c r="C269" s="14" t="s">
        <v>27</v>
      </c>
      <c r="D269" s="15" t="s">
        <v>2</v>
      </c>
      <c r="E269" s="10" t="s">
        <v>325</v>
      </c>
      <c r="F269" s="16" t="s">
        <v>3</v>
      </c>
      <c r="G269" s="14" t="s">
        <v>4</v>
      </c>
      <c r="H269" s="15" t="s">
        <v>5</v>
      </c>
      <c r="I269" s="15" t="s">
        <v>29</v>
      </c>
      <c r="J269" s="14" t="s">
        <v>30</v>
      </c>
      <c r="K269" s="17" t="s">
        <v>7</v>
      </c>
    </row>
    <row r="270" ht="13.5" customHeight="1">
      <c r="A270" s="18" t="s">
        <v>31</v>
      </c>
      <c r="B270" s="19">
        <v>1.2</v>
      </c>
      <c r="C270" s="20" t="s">
        <v>33</v>
      </c>
      <c r="D270" s="21">
        <v>300.0</v>
      </c>
      <c r="E270" s="36"/>
      <c r="F270" s="36">
        <v>370.0</v>
      </c>
      <c r="G270" s="32"/>
      <c r="H270" s="21">
        <v>1210.0</v>
      </c>
      <c r="I270" s="21"/>
      <c r="J270" s="24">
        <v>90.0</v>
      </c>
      <c r="K270" s="25">
        <f t="shared" ref="K270:K276" si="56">D270+F270+G270+H270+I270+J270</f>
        <v>1970</v>
      </c>
    </row>
    <row r="271" ht="13.5" customHeight="1">
      <c r="A271" s="26" t="s">
        <v>34</v>
      </c>
      <c r="B271" s="27"/>
      <c r="C271" s="28"/>
      <c r="D271" s="21">
        <v>300.0</v>
      </c>
      <c r="E271" s="36"/>
      <c r="F271" s="36">
        <v>420.0</v>
      </c>
      <c r="G271" s="22"/>
      <c r="H271" s="21">
        <v>1300.0</v>
      </c>
      <c r="I271" s="21"/>
      <c r="J271" s="29">
        <v>110.0</v>
      </c>
      <c r="K271" s="25">
        <f t="shared" si="56"/>
        <v>2130</v>
      </c>
    </row>
    <row r="272" ht="13.5" customHeight="1">
      <c r="A272" s="18" t="s">
        <v>35</v>
      </c>
      <c r="B272" s="30">
        <v>2.0</v>
      </c>
      <c r="C272" s="31" t="s">
        <v>36</v>
      </c>
      <c r="D272" s="21"/>
      <c r="E272" s="36"/>
      <c r="F272" s="36"/>
      <c r="G272" s="32"/>
      <c r="I272" s="21"/>
      <c r="J272" s="24"/>
      <c r="K272" s="25">
        <f t="shared" si="56"/>
        <v>0</v>
      </c>
    </row>
    <row r="273" ht="13.5" customHeight="1">
      <c r="A273" s="26" t="s">
        <v>37</v>
      </c>
      <c r="B273" s="33"/>
      <c r="C273" s="34"/>
      <c r="D273" s="21"/>
      <c r="E273" s="36"/>
      <c r="F273" s="36"/>
      <c r="G273" s="22"/>
      <c r="I273" s="21"/>
      <c r="J273" s="29"/>
      <c r="K273" s="25">
        <f t="shared" si="56"/>
        <v>0</v>
      </c>
    </row>
    <row r="274" ht="15.0" customHeight="1">
      <c r="A274" s="18" t="s">
        <v>38</v>
      </c>
      <c r="B274" s="19" t="s">
        <v>39</v>
      </c>
      <c r="C274" s="19" t="s">
        <v>40</v>
      </c>
      <c r="D274" s="21">
        <v>410.0</v>
      </c>
      <c r="E274" s="36"/>
      <c r="F274" s="41">
        <v>600.0</v>
      </c>
      <c r="G274" s="32"/>
      <c r="H274" s="21">
        <v>4850.0</v>
      </c>
      <c r="I274" s="21"/>
      <c r="J274" s="24">
        <v>320.0</v>
      </c>
      <c r="K274" s="25">
        <f t="shared" si="56"/>
        <v>6180</v>
      </c>
    </row>
    <row r="275" ht="13.5" customHeight="1">
      <c r="A275" s="35" t="s">
        <v>41</v>
      </c>
      <c r="B275" s="27"/>
      <c r="C275" s="27"/>
      <c r="D275" s="21">
        <v>420.0</v>
      </c>
      <c r="E275" s="36"/>
      <c r="F275" s="37">
        <v>590.0</v>
      </c>
      <c r="G275" s="38"/>
      <c r="H275" s="21">
        <v>4960.0</v>
      </c>
      <c r="I275" s="21"/>
      <c r="J275" s="39">
        <v>330.0</v>
      </c>
      <c r="K275" s="25">
        <f t="shared" si="56"/>
        <v>6300</v>
      </c>
    </row>
    <row r="276" ht="13.5" customHeight="1">
      <c r="A276" s="40" t="s">
        <v>7</v>
      </c>
      <c r="B276" s="40"/>
      <c r="C276" s="40"/>
      <c r="D276" s="10">
        <f t="shared" ref="D276:J276" si="57">SUM(D270:D275)</f>
        <v>1430</v>
      </c>
      <c r="E276" s="10">
        <f t="shared" si="57"/>
        <v>0</v>
      </c>
      <c r="F276" s="10">
        <f t="shared" si="57"/>
        <v>1980</v>
      </c>
      <c r="G276" s="10">
        <f t="shared" si="57"/>
        <v>0</v>
      </c>
      <c r="H276" s="10">
        <f t="shared" si="57"/>
        <v>12320</v>
      </c>
      <c r="I276" s="10">
        <f t="shared" si="57"/>
        <v>0</v>
      </c>
      <c r="J276" s="10">
        <f t="shared" si="57"/>
        <v>850</v>
      </c>
      <c r="K276" s="25">
        <f t="shared" si="56"/>
        <v>16580</v>
      </c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ht="13.5" customHeight="1">
      <c r="A278" s="48" t="s">
        <v>366</v>
      </c>
    </row>
    <row r="279" ht="13.5" customHeight="1">
      <c r="A279" s="14" t="s">
        <v>25</v>
      </c>
      <c r="B279" s="14" t="s">
        <v>1</v>
      </c>
      <c r="C279" s="14" t="s">
        <v>27</v>
      </c>
      <c r="D279" s="15" t="s">
        <v>2</v>
      </c>
      <c r="E279" s="10" t="s">
        <v>325</v>
      </c>
      <c r="F279" s="16" t="s">
        <v>3</v>
      </c>
      <c r="G279" s="14" t="s">
        <v>4</v>
      </c>
      <c r="H279" s="15" t="s">
        <v>5</v>
      </c>
      <c r="I279" s="15" t="s">
        <v>29</v>
      </c>
      <c r="J279" s="14" t="s">
        <v>30</v>
      </c>
      <c r="K279" s="17" t="s">
        <v>7</v>
      </c>
    </row>
    <row r="280" ht="13.5" customHeight="1">
      <c r="A280" s="18" t="s">
        <v>31</v>
      </c>
      <c r="B280" s="19">
        <v>1.2</v>
      </c>
      <c r="C280" s="20" t="s">
        <v>33</v>
      </c>
      <c r="D280" s="21">
        <v>310.0</v>
      </c>
      <c r="E280" s="36"/>
      <c r="F280" s="36">
        <v>400.0</v>
      </c>
      <c r="G280" s="32"/>
      <c r="H280" s="21">
        <v>890.0</v>
      </c>
      <c r="I280" s="21"/>
      <c r="J280" s="24">
        <v>100.0</v>
      </c>
      <c r="K280" s="25">
        <f t="shared" ref="K280:K286" si="58">D280+F280+G280+H280+I280+J280</f>
        <v>1700</v>
      </c>
    </row>
    <row r="281" ht="13.5" customHeight="1">
      <c r="A281" s="26" t="s">
        <v>34</v>
      </c>
      <c r="B281" s="27"/>
      <c r="C281" s="28"/>
      <c r="D281" s="21">
        <v>300.0</v>
      </c>
      <c r="E281" s="36"/>
      <c r="F281" s="36">
        <v>380.0</v>
      </c>
      <c r="G281" s="22"/>
      <c r="H281" s="21">
        <v>1070.0</v>
      </c>
      <c r="I281" s="21"/>
      <c r="J281" s="29">
        <v>110.0</v>
      </c>
      <c r="K281" s="25">
        <f t="shared" si="58"/>
        <v>1860</v>
      </c>
    </row>
    <row r="282" ht="13.5" customHeight="1">
      <c r="A282" s="18" t="s">
        <v>35</v>
      </c>
      <c r="B282" s="30">
        <v>2.0</v>
      </c>
      <c r="C282" s="31" t="s">
        <v>36</v>
      </c>
      <c r="D282" s="21"/>
      <c r="E282" s="36"/>
      <c r="F282" s="36"/>
      <c r="G282" s="32"/>
      <c r="H282" s="21"/>
      <c r="I282" s="21"/>
      <c r="J282" s="24"/>
      <c r="K282" s="25">
        <f t="shared" si="58"/>
        <v>0</v>
      </c>
    </row>
    <row r="283" ht="13.5" customHeight="1">
      <c r="A283" s="26" t="s">
        <v>37</v>
      </c>
      <c r="B283" s="33"/>
      <c r="C283" s="34"/>
      <c r="D283" s="21"/>
      <c r="E283" s="36"/>
      <c r="F283" s="36"/>
      <c r="G283" s="22"/>
      <c r="H283" s="21"/>
      <c r="I283" s="21"/>
      <c r="J283" s="29"/>
      <c r="K283" s="25">
        <f t="shared" si="58"/>
        <v>0</v>
      </c>
    </row>
    <row r="284" ht="15.0" customHeight="1">
      <c r="A284" s="18" t="s">
        <v>38</v>
      </c>
      <c r="B284" s="19" t="s">
        <v>39</v>
      </c>
      <c r="C284" s="19" t="s">
        <v>40</v>
      </c>
      <c r="D284" s="21">
        <v>420.0</v>
      </c>
      <c r="E284" s="36"/>
      <c r="F284" s="41">
        <v>590.0</v>
      </c>
      <c r="G284" s="32"/>
      <c r="H284" s="21">
        <v>4980.0</v>
      </c>
      <c r="I284" s="21"/>
      <c r="J284" s="24">
        <v>290.0</v>
      </c>
      <c r="K284" s="25">
        <f t="shared" si="58"/>
        <v>6280</v>
      </c>
    </row>
    <row r="285" ht="13.5" customHeight="1">
      <c r="A285" s="35" t="s">
        <v>41</v>
      </c>
      <c r="B285" s="27"/>
      <c r="C285" s="27"/>
      <c r="D285" s="21">
        <v>430.0</v>
      </c>
      <c r="E285" s="36"/>
      <c r="F285" s="37">
        <v>590.0</v>
      </c>
      <c r="G285" s="38"/>
      <c r="H285" s="21">
        <v>5020.0</v>
      </c>
      <c r="I285" s="21"/>
      <c r="J285" s="39">
        <v>280.0</v>
      </c>
      <c r="K285" s="25">
        <f t="shared" si="58"/>
        <v>6320</v>
      </c>
    </row>
    <row r="286" ht="13.5" customHeight="1">
      <c r="A286" s="40" t="s">
        <v>7</v>
      </c>
      <c r="B286" s="40"/>
      <c r="C286" s="40"/>
      <c r="D286" s="10">
        <f t="shared" ref="D286:J286" si="59">SUM(D280:D285)</f>
        <v>1460</v>
      </c>
      <c r="E286" s="10">
        <f t="shared" si="59"/>
        <v>0</v>
      </c>
      <c r="F286" s="10">
        <f t="shared" si="59"/>
        <v>1960</v>
      </c>
      <c r="G286" s="10">
        <f t="shared" si="59"/>
        <v>0</v>
      </c>
      <c r="H286" s="10">
        <f t="shared" si="59"/>
        <v>11960</v>
      </c>
      <c r="I286" s="10">
        <f t="shared" si="59"/>
        <v>0</v>
      </c>
      <c r="J286" s="10">
        <f t="shared" si="59"/>
        <v>780</v>
      </c>
      <c r="K286" s="25">
        <f t="shared" si="58"/>
        <v>16160</v>
      </c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ht="13.5" customHeight="1">
      <c r="A288" s="48" t="s">
        <v>367</v>
      </c>
    </row>
    <row r="289" ht="13.5" customHeight="1">
      <c r="A289" s="14" t="s">
        <v>25</v>
      </c>
      <c r="B289" s="14" t="s">
        <v>1</v>
      </c>
      <c r="C289" s="14" t="s">
        <v>27</v>
      </c>
      <c r="D289" s="15" t="s">
        <v>2</v>
      </c>
      <c r="E289" s="16" t="s">
        <v>28</v>
      </c>
      <c r="F289" s="16" t="s">
        <v>3</v>
      </c>
      <c r="G289" s="14" t="s">
        <v>4</v>
      </c>
      <c r="H289" s="15" t="s">
        <v>5</v>
      </c>
      <c r="I289" s="15" t="s">
        <v>29</v>
      </c>
      <c r="J289" s="14" t="s">
        <v>30</v>
      </c>
      <c r="K289" s="17" t="s">
        <v>7</v>
      </c>
    </row>
    <row r="290" ht="13.5" customHeight="1">
      <c r="A290" s="18" t="s">
        <v>31</v>
      </c>
      <c r="B290" s="19" t="s">
        <v>172</v>
      </c>
      <c r="C290" s="20" t="s">
        <v>33</v>
      </c>
      <c r="D290" s="21">
        <v>240.0</v>
      </c>
      <c r="E290" s="36"/>
      <c r="F290" s="36">
        <v>400.0</v>
      </c>
      <c r="G290" s="32"/>
      <c r="H290" s="21">
        <v>870.0</v>
      </c>
      <c r="I290" s="21"/>
      <c r="J290" s="24">
        <v>60.0</v>
      </c>
      <c r="K290" s="25">
        <f t="shared" ref="K290:K296" si="60">SUM(D290:J290)</f>
        <v>1570</v>
      </c>
    </row>
    <row r="291" ht="13.5" customHeight="1">
      <c r="A291" s="26" t="s">
        <v>34</v>
      </c>
      <c r="B291" s="27"/>
      <c r="C291" s="28"/>
      <c r="D291" s="21">
        <v>240.0</v>
      </c>
      <c r="E291" s="36"/>
      <c r="F291" s="36">
        <v>400.0</v>
      </c>
      <c r="G291" s="22"/>
      <c r="H291" s="21">
        <v>930.0</v>
      </c>
      <c r="I291" s="21"/>
      <c r="J291" s="29">
        <v>60.0</v>
      </c>
      <c r="K291" s="25">
        <f t="shared" si="60"/>
        <v>1630</v>
      </c>
    </row>
    <row r="292" ht="13.5" customHeight="1">
      <c r="A292" s="18" t="s">
        <v>35</v>
      </c>
      <c r="B292" s="30">
        <v>2.0</v>
      </c>
      <c r="C292" s="31" t="s">
        <v>36</v>
      </c>
      <c r="D292" s="21"/>
      <c r="E292" s="36"/>
      <c r="F292" s="36"/>
      <c r="G292" s="32"/>
      <c r="H292" s="21"/>
      <c r="I292" s="21"/>
      <c r="J292" s="24"/>
      <c r="K292" s="25">
        <f t="shared" si="60"/>
        <v>0</v>
      </c>
    </row>
    <row r="293" ht="13.5" customHeight="1">
      <c r="A293" s="26" t="s">
        <v>37</v>
      </c>
      <c r="B293" s="33"/>
      <c r="C293" s="34"/>
      <c r="D293" s="21"/>
      <c r="E293" s="36"/>
      <c r="F293" s="36"/>
      <c r="G293" s="22"/>
      <c r="H293" s="21"/>
      <c r="I293" s="21"/>
      <c r="J293" s="29"/>
      <c r="K293" s="25">
        <f t="shared" si="60"/>
        <v>0</v>
      </c>
    </row>
    <row r="294" ht="15.0" customHeight="1">
      <c r="A294" s="18" t="s">
        <v>38</v>
      </c>
      <c r="B294" s="19" t="s">
        <v>39</v>
      </c>
      <c r="C294" s="19" t="s">
        <v>40</v>
      </c>
      <c r="D294" s="21">
        <v>420.0</v>
      </c>
      <c r="E294" s="41"/>
      <c r="F294" s="41">
        <v>600.0</v>
      </c>
      <c r="G294" s="32"/>
      <c r="H294" s="21">
        <v>5260.0</v>
      </c>
      <c r="I294" s="21"/>
      <c r="J294" s="24">
        <v>300.0</v>
      </c>
      <c r="K294" s="25">
        <f t="shared" si="60"/>
        <v>6580</v>
      </c>
    </row>
    <row r="295" ht="13.5" customHeight="1">
      <c r="A295" s="35" t="s">
        <v>41</v>
      </c>
      <c r="B295" s="27"/>
      <c r="C295" s="27"/>
      <c r="D295" s="21">
        <v>440.0</v>
      </c>
      <c r="E295" s="36"/>
      <c r="F295" s="37">
        <v>600.0</v>
      </c>
      <c r="G295" s="38"/>
      <c r="H295" s="21">
        <v>5290.0</v>
      </c>
      <c r="I295" s="21"/>
      <c r="J295" s="39">
        <v>320.0</v>
      </c>
      <c r="K295" s="25">
        <f t="shared" si="60"/>
        <v>6650</v>
      </c>
    </row>
    <row r="296" ht="13.5" customHeight="1">
      <c r="A296" s="40" t="s">
        <v>7</v>
      </c>
      <c r="B296" s="40"/>
      <c r="C296" s="40"/>
      <c r="D296" s="10">
        <f t="shared" ref="D296:J296" si="61">SUM(D290:D295)</f>
        <v>1340</v>
      </c>
      <c r="E296" s="10">
        <f t="shared" si="61"/>
        <v>0</v>
      </c>
      <c r="F296" s="10">
        <f t="shared" si="61"/>
        <v>2000</v>
      </c>
      <c r="G296" s="10">
        <f t="shared" si="61"/>
        <v>0</v>
      </c>
      <c r="H296" s="10">
        <f t="shared" si="61"/>
        <v>12350</v>
      </c>
      <c r="I296" s="10">
        <f t="shared" si="61"/>
        <v>0</v>
      </c>
      <c r="J296" s="10">
        <f t="shared" si="61"/>
        <v>740</v>
      </c>
      <c r="K296" s="25">
        <f t="shared" si="60"/>
        <v>16430</v>
      </c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ht="13.5" customHeight="1">
      <c r="A299" s="64" t="s">
        <v>368</v>
      </c>
      <c r="B299" s="65"/>
      <c r="C299" s="65"/>
      <c r="D299" s="5"/>
      <c r="E299" s="10"/>
      <c r="F299" s="10"/>
      <c r="G299" s="10"/>
      <c r="H299" s="10"/>
      <c r="I299" s="10"/>
      <c r="J299" s="10"/>
      <c r="K299" s="10"/>
    </row>
    <row r="300" ht="13.5" customHeight="1">
      <c r="A300" s="15" t="s">
        <v>25</v>
      </c>
      <c r="B300" s="15" t="s">
        <v>1</v>
      </c>
      <c r="C300" s="15" t="s">
        <v>27</v>
      </c>
      <c r="D300" s="15" t="s">
        <v>2</v>
      </c>
      <c r="E300" s="10" t="s">
        <v>28</v>
      </c>
      <c r="F300" s="16" t="s">
        <v>3</v>
      </c>
      <c r="G300" s="15" t="s">
        <v>4</v>
      </c>
      <c r="H300" s="15" t="s">
        <v>5</v>
      </c>
      <c r="I300" s="15" t="s">
        <v>29</v>
      </c>
      <c r="J300" s="15" t="s">
        <v>30</v>
      </c>
      <c r="K300" s="10" t="s">
        <v>7</v>
      </c>
    </row>
    <row r="301" ht="13.5" customHeight="1">
      <c r="A301" s="10" t="s">
        <v>31</v>
      </c>
      <c r="B301" s="19">
        <v>1.2</v>
      </c>
      <c r="C301" s="10" t="s">
        <v>33</v>
      </c>
      <c r="D301" s="21">
        <f t="shared" ref="D301:J301" si="62">D4+D14+D23+D32+D41+D50+D60+D70+D80+D90+D99+D109+D118+D127+D136+D145+D154+D163+D172+D181+D190+D200+D210+D220+D230+D240+D250+D260+D270+D280+D290</f>
        <v>9020</v>
      </c>
      <c r="E301" s="21">
        <f t="shared" si="62"/>
        <v>160</v>
      </c>
      <c r="F301" s="21">
        <f t="shared" si="62"/>
        <v>10430</v>
      </c>
      <c r="G301" s="21">
        <f t="shared" si="62"/>
        <v>0</v>
      </c>
      <c r="H301" s="21">
        <f t="shared" si="62"/>
        <v>34440</v>
      </c>
      <c r="I301" s="21">
        <f t="shared" si="62"/>
        <v>0</v>
      </c>
      <c r="J301" s="21">
        <f t="shared" si="62"/>
        <v>2570</v>
      </c>
      <c r="K301" s="10">
        <f t="shared" ref="K301:K306" si="64">SUM(D301:J301)</f>
        <v>56620</v>
      </c>
    </row>
    <row r="302" ht="13.5" customHeight="1">
      <c r="A302" s="10" t="s">
        <v>34</v>
      </c>
      <c r="B302" s="27"/>
      <c r="C302" s="10"/>
      <c r="D302" s="21">
        <f t="shared" ref="D302:J302" si="63">D5+D15+D24+D33+D42+D51+D61+D71+D81+D91+D100+D110+D119+D128+D137+D146+D155+D164+D173+D182+D191+D201+D211+D221+D231+D241+D251+D261+D271+D281+D291</f>
        <v>10570</v>
      </c>
      <c r="E302" s="21">
        <f t="shared" si="63"/>
        <v>160</v>
      </c>
      <c r="F302" s="21">
        <f t="shared" si="63"/>
        <v>12550</v>
      </c>
      <c r="G302" s="21">
        <f t="shared" si="63"/>
        <v>0</v>
      </c>
      <c r="H302" s="21">
        <f t="shared" si="63"/>
        <v>33160</v>
      </c>
      <c r="I302" s="21">
        <f t="shared" si="63"/>
        <v>0</v>
      </c>
      <c r="J302" s="21">
        <f t="shared" si="63"/>
        <v>2870</v>
      </c>
      <c r="K302" s="10">
        <f t="shared" si="64"/>
        <v>59310</v>
      </c>
    </row>
    <row r="303" ht="13.5" customHeight="1">
      <c r="A303" s="10" t="s">
        <v>35</v>
      </c>
      <c r="B303" s="67">
        <v>2.0</v>
      </c>
      <c r="C303" s="15" t="s">
        <v>36</v>
      </c>
      <c r="D303" s="21">
        <f t="shared" ref="D303:D306" si="65">D6+D16+D25+D34+D43+D52+D62+D72+D82+D92+D101+D111+D120+D129+D138+D147+D156+D165+D174+D183+D192+D202+D212+D222+D232+D242+D252+D262+D272+D282+D292</f>
        <v>0</v>
      </c>
      <c r="E303" s="21"/>
      <c r="F303" s="21"/>
      <c r="G303" s="21"/>
      <c r="H303" s="21"/>
      <c r="I303" s="21"/>
      <c r="J303" s="21"/>
      <c r="K303" s="10">
        <f t="shared" si="64"/>
        <v>0</v>
      </c>
    </row>
    <row r="304" ht="13.5" customHeight="1">
      <c r="A304" s="10" t="s">
        <v>37</v>
      </c>
      <c r="B304" s="67"/>
      <c r="C304" s="15"/>
      <c r="D304" s="21">
        <f t="shared" si="65"/>
        <v>0</v>
      </c>
      <c r="E304" s="21"/>
      <c r="F304" s="21"/>
      <c r="G304" s="21"/>
      <c r="H304" s="21"/>
      <c r="I304" s="21"/>
      <c r="J304" s="21"/>
      <c r="K304" s="10">
        <f t="shared" si="64"/>
        <v>0</v>
      </c>
    </row>
    <row r="305" ht="15.0" customHeight="1">
      <c r="A305" s="10" t="s">
        <v>38</v>
      </c>
      <c r="B305" s="66" t="s">
        <v>39</v>
      </c>
      <c r="C305" s="66" t="s">
        <v>40</v>
      </c>
      <c r="D305" s="21">
        <f t="shared" si="65"/>
        <v>13060</v>
      </c>
      <c r="E305" s="21">
        <f t="shared" ref="E305:J305" si="66">E8+E18+E27+E36+E45+E54+E64+E74+E84+E94+E103+E113+E122+E131+E140+E149+E158+E167+E176+E185+E194+E204+E214+E224+E234+E244+E254+E264+E274+E284+E294</f>
        <v>0</v>
      </c>
      <c r="F305" s="21">
        <f t="shared" si="66"/>
        <v>16150</v>
      </c>
      <c r="G305" s="21">
        <f t="shared" si="66"/>
        <v>0</v>
      </c>
      <c r="H305" s="21">
        <f t="shared" si="66"/>
        <v>170390</v>
      </c>
      <c r="I305" s="21">
        <f t="shared" si="66"/>
        <v>0</v>
      </c>
      <c r="J305" s="21">
        <f t="shared" si="66"/>
        <v>8130</v>
      </c>
      <c r="K305" s="10">
        <f t="shared" si="64"/>
        <v>207730</v>
      </c>
    </row>
    <row r="306" ht="13.5" customHeight="1">
      <c r="A306" s="10" t="s">
        <v>41</v>
      </c>
      <c r="B306" s="7"/>
      <c r="C306" s="7"/>
      <c r="D306" s="21">
        <f t="shared" si="65"/>
        <v>13000</v>
      </c>
      <c r="E306" s="21">
        <f t="shared" ref="E306:J306" si="67">E9+E19+E28+E37+E46+E55+E65+E75+E85+E95+E104+E114+E123+E132+E141+E150+E159+E168+E177+E186+E195+E205+E215+E225+E235+E245+E255+E265+E275+E285+E295</f>
        <v>0</v>
      </c>
      <c r="F306" s="21">
        <f t="shared" si="67"/>
        <v>16450</v>
      </c>
      <c r="G306" s="21">
        <f t="shared" si="67"/>
        <v>0</v>
      </c>
      <c r="H306" s="21">
        <f t="shared" si="67"/>
        <v>153421</v>
      </c>
      <c r="I306" s="21">
        <f t="shared" si="67"/>
        <v>0</v>
      </c>
      <c r="J306" s="21">
        <f t="shared" si="67"/>
        <v>8310</v>
      </c>
      <c r="K306" s="10">
        <f t="shared" si="64"/>
        <v>191181</v>
      </c>
    </row>
    <row r="307" ht="13.5" customHeight="1">
      <c r="A307" s="10" t="s">
        <v>7</v>
      </c>
      <c r="B307" s="10"/>
      <c r="C307" s="10"/>
      <c r="D307" s="21">
        <f t="shared" ref="D307:J307" si="68">SUM(D301:D306)</f>
        <v>45650</v>
      </c>
      <c r="E307" s="21">
        <f t="shared" si="68"/>
        <v>320</v>
      </c>
      <c r="F307" s="21">
        <f t="shared" si="68"/>
        <v>55580</v>
      </c>
      <c r="G307" s="21">
        <f t="shared" si="68"/>
        <v>0</v>
      </c>
      <c r="H307" s="21">
        <f t="shared" si="68"/>
        <v>391411</v>
      </c>
      <c r="I307" s="21">
        <f t="shared" si="68"/>
        <v>0</v>
      </c>
      <c r="J307" s="21">
        <f t="shared" si="68"/>
        <v>21880</v>
      </c>
      <c r="K307" s="10">
        <f>D307+F307+G307+H307+I307+J307</f>
        <v>514521</v>
      </c>
    </row>
    <row r="308" ht="13.5" customHeight="1">
      <c r="A308" s="10"/>
      <c r="B308" s="10"/>
      <c r="C308" s="10"/>
      <c r="D308" s="15" t="s">
        <v>2</v>
      </c>
      <c r="E308" s="10" t="s">
        <v>28</v>
      </c>
      <c r="F308" s="16" t="s">
        <v>3</v>
      </c>
      <c r="G308" s="15" t="s">
        <v>4</v>
      </c>
      <c r="H308" s="15" t="s">
        <v>5</v>
      </c>
      <c r="I308" s="15" t="s">
        <v>29</v>
      </c>
      <c r="J308" s="15" t="s">
        <v>30</v>
      </c>
      <c r="K308" s="10" t="s">
        <v>7</v>
      </c>
    </row>
    <row r="309" ht="13.5" customHeight="1">
      <c r="A309" s="10"/>
      <c r="B309" s="66" t="s">
        <v>369</v>
      </c>
      <c r="C309" s="10" t="s">
        <v>33</v>
      </c>
      <c r="D309" s="10">
        <f t="shared" ref="D309:K309" si="69">D301+D302</f>
        <v>19590</v>
      </c>
      <c r="E309" s="10">
        <f t="shared" si="69"/>
        <v>320</v>
      </c>
      <c r="F309" s="10">
        <f t="shared" si="69"/>
        <v>22980</v>
      </c>
      <c r="G309" s="10">
        <f t="shared" si="69"/>
        <v>0</v>
      </c>
      <c r="H309" s="10">
        <f t="shared" si="69"/>
        <v>67600</v>
      </c>
      <c r="I309" s="10">
        <f t="shared" si="69"/>
        <v>0</v>
      </c>
      <c r="J309" s="10">
        <f t="shared" si="69"/>
        <v>5440</v>
      </c>
      <c r="K309" s="10">
        <f t="shared" si="69"/>
        <v>115930</v>
      </c>
      <c r="L309" s="68"/>
    </row>
    <row r="310" ht="13.5" customHeight="1">
      <c r="A310" s="10" t="s">
        <v>7</v>
      </c>
      <c r="B310" s="7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3.5" customHeight="1">
      <c r="A311" s="10"/>
      <c r="B311" s="67">
        <v>2.0</v>
      </c>
      <c r="C311" s="15" t="s">
        <v>36</v>
      </c>
      <c r="D311" s="10">
        <f t="shared" ref="D311:J311" si="70">D303+D304</f>
        <v>0</v>
      </c>
      <c r="E311" s="10">
        <f t="shared" si="70"/>
        <v>0</v>
      </c>
      <c r="F311" s="10">
        <f t="shared" si="70"/>
        <v>0</v>
      </c>
      <c r="G311" s="10">
        <f t="shared" si="70"/>
        <v>0</v>
      </c>
      <c r="H311" s="10">
        <f t="shared" si="70"/>
        <v>0</v>
      </c>
      <c r="I311" s="10">
        <f t="shared" si="70"/>
        <v>0</v>
      </c>
      <c r="J311" s="10">
        <f t="shared" si="70"/>
        <v>0</v>
      </c>
      <c r="K311" s="10">
        <f>SUM(D311:J311)</f>
        <v>0</v>
      </c>
    </row>
    <row r="312" ht="13.5" customHeight="1">
      <c r="A312" s="10"/>
      <c r="B312" s="67"/>
      <c r="C312" s="15"/>
      <c r="D312" s="10"/>
      <c r="E312" s="10"/>
      <c r="F312" s="10"/>
      <c r="G312" s="10"/>
      <c r="H312" s="10"/>
      <c r="I312" s="10"/>
      <c r="J312" s="10"/>
      <c r="K312" s="10"/>
    </row>
    <row r="313" ht="14.25" customHeight="1">
      <c r="A313" s="10"/>
      <c r="B313" s="66" t="s">
        <v>39</v>
      </c>
      <c r="C313" s="66" t="s">
        <v>40</v>
      </c>
      <c r="D313" s="10">
        <f t="shared" ref="D313:J313" si="71">D305+D306</f>
        <v>26060</v>
      </c>
      <c r="E313" s="10">
        <f t="shared" si="71"/>
        <v>0</v>
      </c>
      <c r="F313" s="10">
        <f t="shared" si="71"/>
        <v>32600</v>
      </c>
      <c r="G313" s="10">
        <f t="shared" si="71"/>
        <v>0</v>
      </c>
      <c r="H313" s="10">
        <f t="shared" si="71"/>
        <v>323811</v>
      </c>
      <c r="I313" s="10">
        <f t="shared" si="71"/>
        <v>0</v>
      </c>
      <c r="J313" s="10">
        <f t="shared" si="71"/>
        <v>16440</v>
      </c>
      <c r="K313" s="10">
        <f>SUM(D313:J313)</f>
        <v>398911</v>
      </c>
    </row>
    <row r="314" ht="13.5" customHeight="1">
      <c r="A314" s="10"/>
      <c r="B314" s="7"/>
      <c r="C314" s="7"/>
      <c r="D314" s="10"/>
      <c r="E314" s="10"/>
      <c r="F314" s="10"/>
      <c r="G314" s="10"/>
      <c r="H314" s="10"/>
      <c r="I314" s="10"/>
      <c r="J314" s="10"/>
      <c r="K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>
        <f>SUM(K309:K314)</f>
        <v>514841</v>
      </c>
    </row>
    <row r="316" ht="13.5" customHeight="1"/>
    <row r="317" ht="13.5" customHeight="1">
      <c r="D317" s="69"/>
    </row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1">
    <mergeCell ref="B103:B104"/>
    <mergeCell ref="C103:C104"/>
    <mergeCell ref="A107:D107"/>
    <mergeCell ref="B109:B110"/>
    <mergeCell ref="B113:B114"/>
    <mergeCell ref="C113:C114"/>
    <mergeCell ref="A116:D116"/>
    <mergeCell ref="B118:B119"/>
    <mergeCell ref="B122:B123"/>
    <mergeCell ref="C122:C123"/>
    <mergeCell ref="A125:D125"/>
    <mergeCell ref="B127:B128"/>
    <mergeCell ref="C131:C132"/>
    <mergeCell ref="A134:D134"/>
    <mergeCell ref="B131:B132"/>
    <mergeCell ref="B136:B137"/>
    <mergeCell ref="B140:B141"/>
    <mergeCell ref="C140:C141"/>
    <mergeCell ref="A143:D143"/>
    <mergeCell ref="B145:B146"/>
    <mergeCell ref="B149:B150"/>
    <mergeCell ref="C149:C150"/>
    <mergeCell ref="A152:D152"/>
    <mergeCell ref="B154:B155"/>
    <mergeCell ref="B158:B159"/>
    <mergeCell ref="C158:C159"/>
    <mergeCell ref="A161:D161"/>
    <mergeCell ref="B163:B164"/>
    <mergeCell ref="B167:B168"/>
    <mergeCell ref="C167:C168"/>
    <mergeCell ref="A170:D170"/>
    <mergeCell ref="B172:B173"/>
    <mergeCell ref="B176:B177"/>
    <mergeCell ref="C176:C177"/>
    <mergeCell ref="A179:D179"/>
    <mergeCell ref="B185:B186"/>
    <mergeCell ref="C185:C186"/>
    <mergeCell ref="A188:D188"/>
    <mergeCell ref="B190:B191"/>
    <mergeCell ref="B194:B195"/>
    <mergeCell ref="C194:C195"/>
    <mergeCell ref="A198:D198"/>
    <mergeCell ref="B200:B201"/>
    <mergeCell ref="B204:B205"/>
    <mergeCell ref="C204:C205"/>
    <mergeCell ref="A208:D208"/>
    <mergeCell ref="B210:B211"/>
    <mergeCell ref="C214:C215"/>
    <mergeCell ref="A218:D218"/>
    <mergeCell ref="B214:B215"/>
    <mergeCell ref="B220:B221"/>
    <mergeCell ref="B224:B225"/>
    <mergeCell ref="C224:C225"/>
    <mergeCell ref="A228:D228"/>
    <mergeCell ref="B230:B231"/>
    <mergeCell ref="B234:B235"/>
    <mergeCell ref="B254:B255"/>
    <mergeCell ref="C254:C255"/>
    <mergeCell ref="A258:D258"/>
    <mergeCell ref="B260:B261"/>
    <mergeCell ref="C264:C265"/>
    <mergeCell ref="A267:D267"/>
    <mergeCell ref="A268:D268"/>
    <mergeCell ref="B264:B265"/>
    <mergeCell ref="B270:B271"/>
    <mergeCell ref="B274:B275"/>
    <mergeCell ref="C274:C275"/>
    <mergeCell ref="A278:D278"/>
    <mergeCell ref="B280:B281"/>
    <mergeCell ref="B284:B285"/>
    <mergeCell ref="B305:B306"/>
    <mergeCell ref="C305:C306"/>
    <mergeCell ref="B309:B310"/>
    <mergeCell ref="B313:B314"/>
    <mergeCell ref="C313:C314"/>
    <mergeCell ref="C284:C285"/>
    <mergeCell ref="A288:D288"/>
    <mergeCell ref="B290:B291"/>
    <mergeCell ref="B294:B295"/>
    <mergeCell ref="C294:C295"/>
    <mergeCell ref="A299:D299"/>
    <mergeCell ref="B301:B302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8:D88"/>
    <mergeCell ref="B90:B91"/>
    <mergeCell ref="B94:B95"/>
    <mergeCell ref="C94:C95"/>
    <mergeCell ref="A97:D97"/>
    <mergeCell ref="B99:B100"/>
    <mergeCell ref="C234:C235"/>
    <mergeCell ref="A238:D238"/>
    <mergeCell ref="B240:B241"/>
    <mergeCell ref="B244:B245"/>
    <mergeCell ref="C244:C245"/>
    <mergeCell ref="A248:D248"/>
    <mergeCell ref="B250:B251"/>
  </mergeCells>
  <printOptions/>
  <pageMargins bottom="0.314583333333333" footer="0.0" header="0.0" left="0.748031496062992" right="0.31496062992126" top="0.59027777777777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370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333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>
        <v>1.2</v>
      </c>
      <c r="C4" s="20" t="s">
        <v>33</v>
      </c>
      <c r="D4" s="21">
        <v>330.0</v>
      </c>
      <c r="E4" s="10"/>
      <c r="F4" s="10">
        <v>410.0</v>
      </c>
      <c r="G4" s="22"/>
      <c r="H4" s="21">
        <v>780.0</v>
      </c>
      <c r="I4" s="23"/>
      <c r="J4" s="24">
        <v>70.0</v>
      </c>
      <c r="K4" s="25">
        <f t="shared" ref="K4:K10" si="1">SUM(D4:J4)</f>
        <v>1590</v>
      </c>
    </row>
    <row r="5" ht="15.0" customHeight="1">
      <c r="A5" s="26" t="s">
        <v>34</v>
      </c>
      <c r="B5" s="27"/>
      <c r="C5" s="28"/>
      <c r="D5" s="21">
        <v>280.0</v>
      </c>
      <c r="E5" s="10"/>
      <c r="F5" s="10">
        <v>420.0</v>
      </c>
      <c r="G5" s="22"/>
      <c r="H5" s="21">
        <v>850.0</v>
      </c>
      <c r="I5" s="29"/>
      <c r="J5" s="29">
        <v>80.0</v>
      </c>
      <c r="K5" s="25">
        <f t="shared" si="1"/>
        <v>1630</v>
      </c>
    </row>
    <row r="6" ht="13.5" customHeight="1">
      <c r="A6" s="18" t="s">
        <v>35</v>
      </c>
      <c r="B6" s="30">
        <v>2.0</v>
      </c>
      <c r="C6" s="31" t="s">
        <v>36</v>
      </c>
      <c r="D6" s="21"/>
      <c r="E6" s="10"/>
      <c r="F6" s="10"/>
      <c r="G6" s="32"/>
      <c r="H6" s="21"/>
      <c r="I6" s="22"/>
      <c r="J6" s="22"/>
      <c r="K6" s="25">
        <f t="shared" si="1"/>
        <v>0</v>
      </c>
    </row>
    <row r="7" ht="13.5" customHeight="1">
      <c r="A7" s="26" t="s">
        <v>37</v>
      </c>
      <c r="B7" s="33"/>
      <c r="C7" s="34"/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420.0</v>
      </c>
      <c r="E8" s="10"/>
      <c r="F8" s="10">
        <v>590.0</v>
      </c>
      <c r="G8" s="22"/>
      <c r="H8" s="21">
        <v>5320.0</v>
      </c>
      <c r="I8" s="29"/>
      <c r="J8" s="29">
        <v>300.0</v>
      </c>
      <c r="K8" s="25">
        <f t="shared" si="1"/>
        <v>6630</v>
      </c>
    </row>
    <row r="9" ht="15.0" customHeight="1">
      <c r="A9" s="35" t="s">
        <v>41</v>
      </c>
      <c r="B9" s="27"/>
      <c r="C9" s="27"/>
      <c r="D9" s="21">
        <v>440.0</v>
      </c>
      <c r="E9" s="36"/>
      <c r="F9" s="37">
        <v>610.0</v>
      </c>
      <c r="G9" s="38"/>
      <c r="H9" s="21">
        <v>5160.0</v>
      </c>
      <c r="I9" s="29"/>
      <c r="J9" s="39">
        <v>300.0</v>
      </c>
      <c r="K9" s="25">
        <f t="shared" si="1"/>
        <v>6510</v>
      </c>
    </row>
    <row r="10" ht="13.5" customHeight="1">
      <c r="A10" s="40" t="s">
        <v>7</v>
      </c>
      <c r="B10" s="40"/>
      <c r="C10" s="40"/>
      <c r="D10" s="10">
        <f t="shared" ref="D10:J10" si="2">SUM(D4:D9)</f>
        <v>1470</v>
      </c>
      <c r="E10" s="10">
        <f t="shared" si="2"/>
        <v>0</v>
      </c>
      <c r="F10" s="10">
        <f t="shared" si="2"/>
        <v>2030</v>
      </c>
      <c r="G10" s="10">
        <f t="shared" si="2"/>
        <v>0</v>
      </c>
      <c r="H10" s="10">
        <f t="shared" si="2"/>
        <v>12110</v>
      </c>
      <c r="I10" s="10">
        <f t="shared" si="2"/>
        <v>0</v>
      </c>
      <c r="J10" s="10">
        <f t="shared" si="2"/>
        <v>750</v>
      </c>
      <c r="K10" s="25">
        <f t="shared" si="1"/>
        <v>16360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371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>
        <v>1.2</v>
      </c>
      <c r="C14" s="20" t="s">
        <v>33</v>
      </c>
      <c r="D14" s="21">
        <v>280.0</v>
      </c>
      <c r="E14" s="10"/>
      <c r="F14" s="36">
        <v>380.0</v>
      </c>
      <c r="G14" s="32"/>
      <c r="H14" s="21">
        <v>970.0</v>
      </c>
      <c r="I14" s="23"/>
      <c r="J14" s="24">
        <v>70.0</v>
      </c>
      <c r="K14" s="25">
        <f t="shared" ref="K14:K20" si="3">SUM(D14:J14)</f>
        <v>1700</v>
      </c>
    </row>
    <row r="15" ht="13.5" customHeight="1">
      <c r="A15" s="26" t="s">
        <v>34</v>
      </c>
      <c r="B15" s="27"/>
      <c r="C15" s="28"/>
      <c r="D15" s="21">
        <v>230.0</v>
      </c>
      <c r="E15" s="10"/>
      <c r="F15" s="36">
        <v>400.0</v>
      </c>
      <c r="G15" s="22"/>
      <c r="H15" s="21">
        <v>1130.0</v>
      </c>
      <c r="I15" s="29"/>
      <c r="J15" s="29">
        <v>90.0</v>
      </c>
      <c r="K15" s="25">
        <f t="shared" si="3"/>
        <v>1850</v>
      </c>
    </row>
    <row r="16" ht="13.5" customHeight="1">
      <c r="A16" s="18" t="s">
        <v>35</v>
      </c>
      <c r="B16" s="30">
        <v>2.0</v>
      </c>
      <c r="C16" s="31" t="s">
        <v>36</v>
      </c>
      <c r="D16" s="21"/>
      <c r="E16" s="10"/>
      <c r="F16" s="36"/>
      <c r="G16" s="32"/>
      <c r="H16" s="21"/>
      <c r="I16" s="23"/>
      <c r="J16" s="24"/>
      <c r="K16" s="25">
        <f t="shared" si="3"/>
        <v>0</v>
      </c>
    </row>
    <row r="17" ht="13.5" customHeight="1">
      <c r="A17" s="26" t="s">
        <v>37</v>
      </c>
      <c r="B17" s="33"/>
      <c r="C17" s="34"/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400.0</v>
      </c>
      <c r="E18" s="10"/>
      <c r="F18" s="41">
        <v>600.0</v>
      </c>
      <c r="G18" s="32"/>
      <c r="H18" s="21">
        <v>5370.0</v>
      </c>
      <c r="I18" s="23"/>
      <c r="J18" s="24">
        <v>330.0</v>
      </c>
      <c r="K18" s="25">
        <f t="shared" si="3"/>
        <v>6700</v>
      </c>
    </row>
    <row r="19" ht="13.5" customHeight="1">
      <c r="A19" s="35" t="s">
        <v>41</v>
      </c>
      <c r="B19" s="27"/>
      <c r="C19" s="27"/>
      <c r="D19" s="21">
        <v>430.0</v>
      </c>
      <c r="E19" s="36"/>
      <c r="F19" s="37">
        <v>580.0</v>
      </c>
      <c r="G19" s="38"/>
      <c r="H19" s="21">
        <v>4910.0</v>
      </c>
      <c r="I19" s="29"/>
      <c r="J19" s="39">
        <v>310.0</v>
      </c>
      <c r="K19" s="25">
        <f t="shared" si="3"/>
        <v>6230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1340</v>
      </c>
      <c r="E20" s="10">
        <f t="shared" si="4"/>
        <v>0</v>
      </c>
      <c r="F20" s="10">
        <f t="shared" si="4"/>
        <v>1960</v>
      </c>
      <c r="G20" s="10">
        <f t="shared" si="4"/>
        <v>0</v>
      </c>
      <c r="H20" s="10">
        <f t="shared" si="4"/>
        <v>12380</v>
      </c>
      <c r="I20" s="10">
        <f t="shared" si="4"/>
        <v>0</v>
      </c>
      <c r="J20" s="10">
        <f t="shared" si="4"/>
        <v>800</v>
      </c>
      <c r="K20" s="25">
        <f t="shared" si="3"/>
        <v>16480</v>
      </c>
    </row>
    <row r="21" ht="13.5" customHeight="1">
      <c r="A21" s="13" t="s">
        <v>372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4" t="s">
        <v>29</v>
      </c>
      <c r="J22" s="14" t="s">
        <v>30</v>
      </c>
      <c r="K22" s="17" t="s">
        <v>7</v>
      </c>
    </row>
    <row r="23" ht="14.25" customHeight="1">
      <c r="A23" s="18" t="s">
        <v>31</v>
      </c>
      <c r="B23" s="19">
        <v>1.2</v>
      </c>
      <c r="C23" s="20" t="s">
        <v>33</v>
      </c>
      <c r="D23" s="21">
        <v>270.0</v>
      </c>
      <c r="E23" s="10"/>
      <c r="F23" s="36">
        <v>360.0</v>
      </c>
      <c r="G23" s="32"/>
      <c r="H23" s="21">
        <v>980.0</v>
      </c>
      <c r="I23" s="23"/>
      <c r="J23" s="24">
        <v>80.0</v>
      </c>
      <c r="K23" s="25">
        <f t="shared" ref="K23:K29" si="5">SUM(D23:J23)</f>
        <v>1690</v>
      </c>
    </row>
    <row r="24" ht="13.5" customHeight="1">
      <c r="A24" s="26" t="s">
        <v>34</v>
      </c>
      <c r="B24" s="27"/>
      <c r="C24" s="28"/>
      <c r="D24" s="21">
        <v>270.0</v>
      </c>
      <c r="E24" s="36"/>
      <c r="F24" s="37">
        <v>420.0</v>
      </c>
      <c r="G24" s="22"/>
      <c r="H24" s="21">
        <v>1110.0</v>
      </c>
      <c r="I24" s="29"/>
      <c r="J24" s="29">
        <v>70.0</v>
      </c>
      <c r="K24" s="25">
        <f t="shared" si="5"/>
        <v>1870</v>
      </c>
    </row>
    <row r="25" ht="13.5" customHeight="1">
      <c r="A25" s="18" t="s">
        <v>35</v>
      </c>
      <c r="B25" s="30">
        <v>2.0</v>
      </c>
      <c r="C25" s="31" t="s">
        <v>36</v>
      </c>
      <c r="D25" s="21"/>
      <c r="E25" s="10"/>
      <c r="F25" s="41"/>
      <c r="G25" s="32"/>
      <c r="H25" s="21"/>
      <c r="I25" s="23"/>
      <c r="J25" s="24"/>
      <c r="K25" s="25">
        <f t="shared" si="5"/>
        <v>0</v>
      </c>
    </row>
    <row r="26" ht="13.5" customHeight="1">
      <c r="A26" s="26" t="s">
        <v>37</v>
      </c>
      <c r="B26" s="33"/>
      <c r="C26" s="34"/>
      <c r="D26" s="21"/>
      <c r="E26" s="10"/>
      <c r="F26" s="37"/>
      <c r="G26" s="38"/>
      <c r="H26" s="21"/>
      <c r="I26" s="29"/>
      <c r="J26" s="39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420.0</v>
      </c>
      <c r="E27" s="10"/>
      <c r="F27" s="41">
        <v>610.0</v>
      </c>
      <c r="G27" s="32"/>
      <c r="H27" s="21">
        <v>5350.0</v>
      </c>
      <c r="I27" s="23"/>
      <c r="J27" s="24">
        <v>310.0</v>
      </c>
      <c r="K27" s="25">
        <f t="shared" si="5"/>
        <v>6690</v>
      </c>
    </row>
    <row r="28" ht="13.5" customHeight="1">
      <c r="A28" s="35" t="s">
        <v>41</v>
      </c>
      <c r="B28" s="27"/>
      <c r="C28" s="27"/>
      <c r="D28" s="21">
        <v>430.0</v>
      </c>
      <c r="E28" s="10"/>
      <c r="F28" s="36">
        <v>620.0</v>
      </c>
      <c r="G28" s="22"/>
      <c r="H28" s="21">
        <v>5010.0</v>
      </c>
      <c r="I28" s="29"/>
      <c r="J28" s="29">
        <v>290.0</v>
      </c>
      <c r="K28" s="25">
        <f t="shared" si="5"/>
        <v>6350</v>
      </c>
    </row>
    <row r="29" ht="13.5" customHeight="1">
      <c r="A29" s="40" t="s">
        <v>7</v>
      </c>
      <c r="B29" s="40"/>
      <c r="C29" s="40">
        <v>547.0</v>
      </c>
      <c r="D29" s="10">
        <f t="shared" ref="D29:J29" si="6">SUM(D23:D28)</f>
        <v>1390</v>
      </c>
      <c r="E29" s="10">
        <f t="shared" si="6"/>
        <v>0</v>
      </c>
      <c r="F29" s="10">
        <f t="shared" si="6"/>
        <v>2010</v>
      </c>
      <c r="G29" s="10">
        <f t="shared" si="6"/>
        <v>0</v>
      </c>
      <c r="H29" s="10">
        <f t="shared" si="6"/>
        <v>12450</v>
      </c>
      <c r="I29" s="10">
        <f t="shared" si="6"/>
        <v>0</v>
      </c>
      <c r="J29" s="10">
        <f t="shared" si="6"/>
        <v>750</v>
      </c>
      <c r="K29" s="25">
        <f t="shared" si="5"/>
        <v>16600</v>
      </c>
    </row>
    <row r="30" ht="13.5" customHeight="1">
      <c r="A30" s="13" t="s">
        <v>373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>
        <v>1.2</v>
      </c>
      <c r="C32" s="20" t="s">
        <v>33</v>
      </c>
      <c r="D32" s="21">
        <v>270.0</v>
      </c>
      <c r="E32" s="10"/>
      <c r="F32" s="36">
        <v>400.0</v>
      </c>
      <c r="G32" s="32"/>
      <c r="H32" s="21">
        <v>790.0</v>
      </c>
      <c r="I32" s="23"/>
      <c r="J32" s="24">
        <v>70.0</v>
      </c>
      <c r="K32" s="25">
        <f t="shared" ref="K32:K37" si="7">SUM(D32:J32)</f>
        <v>1530</v>
      </c>
    </row>
    <row r="33" ht="13.5" customHeight="1">
      <c r="A33" s="26" t="s">
        <v>34</v>
      </c>
      <c r="B33" s="27"/>
      <c r="C33" s="28"/>
      <c r="D33" s="21">
        <v>180.0</v>
      </c>
      <c r="E33" s="10"/>
      <c r="F33" s="36">
        <v>400.0</v>
      </c>
      <c r="G33" s="22"/>
      <c r="H33" s="21">
        <v>960.0</v>
      </c>
      <c r="I33" s="21"/>
      <c r="J33" s="29">
        <v>90.0</v>
      </c>
      <c r="K33" s="25">
        <f t="shared" si="7"/>
        <v>1630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7"/>
        <v>0</v>
      </c>
    </row>
    <row r="35" ht="13.5" customHeight="1">
      <c r="A35" s="26" t="s">
        <v>37</v>
      </c>
      <c r="B35" s="33"/>
      <c r="C35" s="34"/>
      <c r="D35" s="21"/>
      <c r="E35" s="10"/>
      <c r="F35" s="36"/>
      <c r="G35" s="38"/>
      <c r="H35" s="21"/>
      <c r="I35" s="21"/>
      <c r="J35" s="29"/>
      <c r="K35" s="25">
        <f t="shared" si="7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430.0</v>
      </c>
      <c r="E36" s="10"/>
      <c r="F36" s="41">
        <v>600.0</v>
      </c>
      <c r="G36" s="32"/>
      <c r="H36" s="21">
        <v>5320.0</v>
      </c>
      <c r="I36" s="21"/>
      <c r="J36" s="24">
        <v>300.0</v>
      </c>
      <c r="K36" s="25">
        <f t="shared" si="7"/>
        <v>6650</v>
      </c>
    </row>
    <row r="37" ht="13.5" customHeight="1">
      <c r="A37" s="35" t="s">
        <v>41</v>
      </c>
      <c r="B37" s="27"/>
      <c r="C37" s="27"/>
      <c r="D37" s="21">
        <v>410.0</v>
      </c>
      <c r="E37" s="36"/>
      <c r="F37" s="37">
        <v>600.0</v>
      </c>
      <c r="G37" s="22"/>
      <c r="H37" s="21">
        <v>5360.0</v>
      </c>
      <c r="I37" s="29"/>
      <c r="J37" s="39">
        <v>290.0</v>
      </c>
      <c r="K37" s="25">
        <f t="shared" si="7"/>
        <v>6660</v>
      </c>
    </row>
    <row r="38" ht="13.5" customHeight="1">
      <c r="A38" s="40" t="s">
        <v>7</v>
      </c>
      <c r="B38" s="40"/>
      <c r="C38" s="40">
        <v>547.0</v>
      </c>
      <c r="D38" s="10">
        <f t="shared" ref="D38:K38" si="8">SUM(D32:D37)</f>
        <v>1290</v>
      </c>
      <c r="E38" s="10">
        <f t="shared" si="8"/>
        <v>0</v>
      </c>
      <c r="F38" s="10">
        <f t="shared" si="8"/>
        <v>2000</v>
      </c>
      <c r="G38" s="10">
        <f t="shared" si="8"/>
        <v>0</v>
      </c>
      <c r="H38" s="10">
        <f t="shared" si="8"/>
        <v>12430</v>
      </c>
      <c r="I38" s="10">
        <f t="shared" si="8"/>
        <v>0</v>
      </c>
      <c r="J38" s="10">
        <f t="shared" si="8"/>
        <v>750</v>
      </c>
      <c r="K38" s="10">
        <f t="shared" si="8"/>
        <v>16470</v>
      </c>
    </row>
    <row r="39" ht="13.5" customHeight="1">
      <c r="A39" s="42" t="s">
        <v>374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1.2</v>
      </c>
      <c r="C41" s="20" t="s">
        <v>33</v>
      </c>
      <c r="D41" s="21">
        <v>240.0</v>
      </c>
      <c r="E41" s="10"/>
      <c r="F41" s="36">
        <v>400.0</v>
      </c>
      <c r="G41" s="32"/>
      <c r="H41" s="21">
        <v>930.0</v>
      </c>
      <c r="I41" s="21"/>
      <c r="J41" s="24">
        <v>100.0</v>
      </c>
      <c r="K41" s="25">
        <f t="shared" ref="K41:K47" si="9">SUM(D41:J41)</f>
        <v>1670</v>
      </c>
    </row>
    <row r="42" ht="13.5" customHeight="1">
      <c r="A42" s="26" t="s">
        <v>34</v>
      </c>
      <c r="B42" s="27"/>
      <c r="C42" s="28"/>
      <c r="D42" s="21">
        <v>270.0</v>
      </c>
      <c r="E42" s="10"/>
      <c r="F42" s="36">
        <v>400.0</v>
      </c>
      <c r="G42" s="22"/>
      <c r="H42" s="21">
        <v>1270.0</v>
      </c>
      <c r="I42" s="21"/>
      <c r="J42" s="29">
        <v>100.0</v>
      </c>
      <c r="K42" s="25">
        <f t="shared" si="9"/>
        <v>2040</v>
      </c>
    </row>
    <row r="43" ht="13.5" customHeight="1">
      <c r="A43" s="18" t="s">
        <v>35</v>
      </c>
      <c r="B43" s="30">
        <v>2.0</v>
      </c>
      <c r="C43" s="31" t="s">
        <v>36</v>
      </c>
      <c r="D43" s="21"/>
      <c r="E43" s="10"/>
      <c r="F43" s="36"/>
      <c r="G43" s="32"/>
      <c r="H43" s="21"/>
      <c r="I43" s="21"/>
      <c r="J43" s="24"/>
      <c r="K43" s="25">
        <f t="shared" si="9"/>
        <v>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9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410.0</v>
      </c>
      <c r="E45" s="10"/>
      <c r="F45" s="41">
        <v>600.0</v>
      </c>
      <c r="G45" s="32"/>
      <c r="H45" s="21">
        <v>5470.0</v>
      </c>
      <c r="I45" s="21"/>
      <c r="J45" s="24">
        <v>320.0</v>
      </c>
      <c r="K45" s="25">
        <f t="shared" si="9"/>
        <v>6800</v>
      </c>
    </row>
    <row r="46" ht="13.5" customHeight="1">
      <c r="A46" s="35" t="s">
        <v>41</v>
      </c>
      <c r="B46" s="27"/>
      <c r="C46" s="27"/>
      <c r="D46" s="21">
        <v>410.0</v>
      </c>
      <c r="E46" s="36"/>
      <c r="F46" s="37">
        <v>600.0</v>
      </c>
      <c r="G46" s="38"/>
      <c r="H46" s="21">
        <v>5130.0</v>
      </c>
      <c r="I46" s="21"/>
      <c r="J46" s="39">
        <v>330.0</v>
      </c>
      <c r="K46" s="25">
        <f t="shared" si="9"/>
        <v>6470</v>
      </c>
    </row>
    <row r="47" ht="13.5" customHeight="1">
      <c r="A47" s="40" t="s">
        <v>7</v>
      </c>
      <c r="B47" s="40"/>
      <c r="C47" s="40">
        <v>547.0</v>
      </c>
      <c r="D47" s="10">
        <f t="shared" ref="D47:J47" si="10">SUM(D41:D46)</f>
        <v>1330</v>
      </c>
      <c r="E47" s="10">
        <f t="shared" si="10"/>
        <v>0</v>
      </c>
      <c r="F47" s="10">
        <f t="shared" si="10"/>
        <v>2000</v>
      </c>
      <c r="G47" s="10">
        <f t="shared" si="10"/>
        <v>0</v>
      </c>
      <c r="H47" s="10">
        <f t="shared" si="10"/>
        <v>12800</v>
      </c>
      <c r="I47" s="10">
        <f t="shared" si="10"/>
        <v>0</v>
      </c>
      <c r="J47" s="10">
        <f t="shared" si="10"/>
        <v>850</v>
      </c>
      <c r="K47" s="25">
        <f t="shared" si="9"/>
        <v>16980</v>
      </c>
    </row>
    <row r="48" ht="13.5" customHeight="1">
      <c r="A48" s="13" t="s">
        <v>375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1.2</v>
      </c>
      <c r="C50" s="20" t="s">
        <v>33</v>
      </c>
      <c r="D50" s="21">
        <v>270.0</v>
      </c>
      <c r="E50" s="10"/>
      <c r="F50" s="36">
        <v>380.0</v>
      </c>
      <c r="G50" s="32"/>
      <c r="H50" s="21">
        <v>850.0</v>
      </c>
      <c r="I50" s="21"/>
      <c r="J50" s="24">
        <v>90.0</v>
      </c>
      <c r="K50" s="25">
        <f t="shared" ref="K50:K56" si="11">SUM(D50:J50)</f>
        <v>1590</v>
      </c>
      <c r="L50" s="43" t="s">
        <v>376</v>
      </c>
    </row>
    <row r="51" ht="13.5" customHeight="1">
      <c r="A51" s="26" t="s">
        <v>34</v>
      </c>
      <c r="B51" s="27"/>
      <c r="C51" s="28">
        <v>206.0</v>
      </c>
      <c r="D51" s="21">
        <v>250.0</v>
      </c>
      <c r="E51" s="10"/>
      <c r="F51" s="36">
        <v>400.0</v>
      </c>
      <c r="G51" s="22"/>
      <c r="H51" s="21">
        <v>900.0</v>
      </c>
      <c r="I51" s="21"/>
      <c r="J51" s="29">
        <v>100.0</v>
      </c>
      <c r="K51" s="25">
        <f t="shared" si="11"/>
        <v>1650</v>
      </c>
    </row>
    <row r="52" ht="13.5" customHeight="1">
      <c r="A52" s="18" t="s">
        <v>35</v>
      </c>
      <c r="B52" s="30">
        <v>2.0</v>
      </c>
      <c r="C52" s="31" t="s">
        <v>36</v>
      </c>
      <c r="D52" s="21"/>
      <c r="E52" s="10"/>
      <c r="F52" s="36"/>
      <c r="G52" s="38"/>
      <c r="H52" s="21"/>
      <c r="I52" s="21"/>
      <c r="J52" s="29"/>
      <c r="K52" s="25">
        <f t="shared" si="11"/>
        <v>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1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410.0</v>
      </c>
      <c r="E54" s="10"/>
      <c r="F54" s="41">
        <v>600.0</v>
      </c>
      <c r="G54" s="32"/>
      <c r="H54" s="21">
        <v>5420.0</v>
      </c>
      <c r="I54" s="21"/>
      <c r="J54" s="29">
        <v>330.0</v>
      </c>
      <c r="K54" s="25">
        <f t="shared" si="11"/>
        <v>6760</v>
      </c>
    </row>
    <row r="55" ht="13.5" customHeight="1">
      <c r="A55" s="35" t="s">
        <v>41</v>
      </c>
      <c r="B55" s="27"/>
      <c r="C55" s="27"/>
      <c r="D55" s="21">
        <v>420.0</v>
      </c>
      <c r="E55" s="36"/>
      <c r="F55" s="37">
        <v>600.0</v>
      </c>
      <c r="G55" s="38"/>
      <c r="H55" s="21">
        <v>5280.0</v>
      </c>
      <c r="I55" s="21"/>
      <c r="J55" s="24">
        <v>300.0</v>
      </c>
      <c r="K55" s="25">
        <f t="shared" si="11"/>
        <v>6600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2">SUM(D50:D55)</f>
        <v>1350</v>
      </c>
      <c r="E56" s="10">
        <f t="shared" si="12"/>
        <v>0</v>
      </c>
      <c r="F56" s="10">
        <f t="shared" si="12"/>
        <v>1980</v>
      </c>
      <c r="G56" s="10">
        <f t="shared" si="12"/>
        <v>0</v>
      </c>
      <c r="H56" s="10">
        <f t="shared" si="12"/>
        <v>12450</v>
      </c>
      <c r="I56" s="10">
        <f t="shared" si="12"/>
        <v>0</v>
      </c>
      <c r="J56" s="10">
        <f t="shared" si="12"/>
        <v>820</v>
      </c>
      <c r="K56" s="25">
        <f t="shared" si="11"/>
        <v>16600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377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  <c r="L59" s="43" t="s">
        <v>325</v>
      </c>
    </row>
    <row r="60" ht="13.5" customHeight="1">
      <c r="A60" s="18" t="s">
        <v>31</v>
      </c>
      <c r="B60" s="19">
        <v>1.2</v>
      </c>
      <c r="C60" s="20" t="s">
        <v>33</v>
      </c>
      <c r="D60" s="21">
        <v>250.0</v>
      </c>
      <c r="E60" s="10"/>
      <c r="F60" s="36">
        <v>400.0</v>
      </c>
      <c r="G60" s="21"/>
      <c r="H60" s="10">
        <v>850.0</v>
      </c>
      <c r="I60" s="10"/>
      <c r="J60" s="24">
        <v>80.0</v>
      </c>
      <c r="K60" s="25">
        <f t="shared" ref="K60:K66" si="13">SUM(D60:J60)</f>
        <v>1580</v>
      </c>
    </row>
    <row r="61" ht="13.5" customHeight="1">
      <c r="A61" s="26" t="s">
        <v>34</v>
      </c>
      <c r="B61" s="27"/>
      <c r="C61" s="28"/>
      <c r="D61" s="21">
        <v>270.0</v>
      </c>
      <c r="E61" s="10"/>
      <c r="F61" s="36">
        <v>380.0</v>
      </c>
      <c r="G61" s="21"/>
      <c r="H61" s="10">
        <v>1120.0</v>
      </c>
      <c r="I61" s="10"/>
      <c r="J61" s="29">
        <v>90.0</v>
      </c>
      <c r="K61" s="25">
        <f t="shared" si="13"/>
        <v>1860</v>
      </c>
    </row>
    <row r="62" ht="13.5" customHeight="1">
      <c r="A62" s="18" t="s">
        <v>35</v>
      </c>
      <c r="B62" s="30">
        <v>2.0</v>
      </c>
      <c r="C62" s="31" t="s">
        <v>36</v>
      </c>
      <c r="D62" s="21"/>
      <c r="E62" s="10"/>
      <c r="F62" s="36"/>
      <c r="G62" s="21"/>
      <c r="H62" s="10"/>
      <c r="I62" s="10"/>
      <c r="J62" s="24"/>
      <c r="K62" s="25">
        <f t="shared" si="13"/>
        <v>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3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430.0</v>
      </c>
      <c r="E64" s="10"/>
      <c r="F64" s="43">
        <v>600.0</v>
      </c>
      <c r="G64" s="21"/>
      <c r="H64" s="10">
        <v>5230.0</v>
      </c>
      <c r="I64" s="10"/>
      <c r="J64" s="24">
        <v>320.0</v>
      </c>
      <c r="K64" s="25">
        <f t="shared" si="13"/>
        <v>6580</v>
      </c>
      <c r="L64" s="10"/>
    </row>
    <row r="65" ht="13.5" customHeight="1">
      <c r="A65" s="35" t="s">
        <v>41</v>
      </c>
      <c r="B65" s="27"/>
      <c r="C65" s="27"/>
      <c r="D65" s="21">
        <v>420.0</v>
      </c>
      <c r="E65" s="36"/>
      <c r="F65" s="36">
        <v>600.0</v>
      </c>
      <c r="G65" s="21"/>
      <c r="H65" s="10">
        <v>5300.0</v>
      </c>
      <c r="I65" s="10"/>
      <c r="J65" s="39">
        <v>300.0</v>
      </c>
      <c r="K65" s="25">
        <f t="shared" si="13"/>
        <v>6620</v>
      </c>
      <c r="L65" s="36"/>
    </row>
    <row r="66" ht="13.5" customHeight="1">
      <c r="A66" s="40" t="s">
        <v>7</v>
      </c>
      <c r="B66" s="40"/>
      <c r="C66" s="40">
        <v>547.0</v>
      </c>
      <c r="D66" s="10">
        <f t="shared" ref="D66:J66" si="14">SUM(D60:D65)</f>
        <v>1370</v>
      </c>
      <c r="E66" s="10">
        <f t="shared" si="14"/>
        <v>0</v>
      </c>
      <c r="F66" s="10">
        <f t="shared" si="14"/>
        <v>1980</v>
      </c>
      <c r="G66" s="10">
        <f t="shared" si="14"/>
        <v>0</v>
      </c>
      <c r="H66" s="10">
        <f t="shared" si="14"/>
        <v>12500</v>
      </c>
      <c r="I66" s="10">
        <f t="shared" si="14"/>
        <v>0</v>
      </c>
      <c r="J66" s="10">
        <f t="shared" si="14"/>
        <v>790</v>
      </c>
      <c r="K66" s="25">
        <f t="shared" si="13"/>
        <v>16640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378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  <c r="L69" s="43" t="s">
        <v>325</v>
      </c>
    </row>
    <row r="70" ht="13.5" customHeight="1">
      <c r="A70" s="18" t="s">
        <v>31</v>
      </c>
      <c r="B70" s="19">
        <v>1.13</v>
      </c>
      <c r="C70" s="20" t="s">
        <v>33</v>
      </c>
      <c r="D70" s="21">
        <v>250.0</v>
      </c>
      <c r="E70" s="10"/>
      <c r="F70" s="36">
        <v>360.0</v>
      </c>
      <c r="G70" s="21"/>
      <c r="H70" s="10">
        <v>1000.0</v>
      </c>
      <c r="I70" s="10"/>
      <c r="J70" s="24">
        <v>110.0</v>
      </c>
      <c r="K70" s="25">
        <f t="shared" ref="K70:K76" si="15">SUM(D70:J70)</f>
        <v>1720</v>
      </c>
    </row>
    <row r="71" ht="13.5" customHeight="1">
      <c r="A71" s="26" t="s">
        <v>34</v>
      </c>
      <c r="B71" s="27"/>
      <c r="C71" s="28"/>
      <c r="D71" s="21"/>
      <c r="E71" s="10"/>
      <c r="F71" s="36"/>
      <c r="G71" s="21"/>
      <c r="H71" s="10">
        <v>1000.0</v>
      </c>
      <c r="I71" s="10"/>
      <c r="J71" s="29"/>
      <c r="K71" s="25">
        <f t="shared" si="15"/>
        <v>1000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5"/>
        <v>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5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430.0</v>
      </c>
      <c r="E74" s="10"/>
      <c r="F74" s="10">
        <v>590.0</v>
      </c>
      <c r="G74" s="21"/>
      <c r="H74" s="10">
        <v>5190.0</v>
      </c>
      <c r="I74" s="10"/>
      <c r="J74" s="24">
        <v>300.0</v>
      </c>
      <c r="K74" s="25">
        <f t="shared" si="15"/>
        <v>6510</v>
      </c>
      <c r="L74" s="10"/>
    </row>
    <row r="75" ht="13.5" customHeight="1">
      <c r="A75" s="35" t="s">
        <v>41</v>
      </c>
      <c r="B75" s="27"/>
      <c r="C75" s="27"/>
      <c r="D75" s="21"/>
      <c r="E75" s="36"/>
      <c r="F75" s="36"/>
      <c r="G75" s="21"/>
      <c r="H75" s="10">
        <v>4000.0</v>
      </c>
      <c r="I75" s="10"/>
      <c r="J75" s="39"/>
      <c r="K75" s="25">
        <f t="shared" si="15"/>
        <v>4000</v>
      </c>
      <c r="L75" s="36"/>
    </row>
    <row r="76" ht="13.5" customHeight="1">
      <c r="A76" s="40" t="s">
        <v>7</v>
      </c>
      <c r="B76" s="40"/>
      <c r="C76" s="40">
        <v>547.0</v>
      </c>
      <c r="D76" s="40">
        <f t="shared" ref="D76:J76" si="16">SUM(D70:D75)</f>
        <v>680</v>
      </c>
      <c r="E76" s="40">
        <f t="shared" si="16"/>
        <v>0</v>
      </c>
      <c r="F76" s="40">
        <f t="shared" si="16"/>
        <v>950</v>
      </c>
      <c r="G76" s="40">
        <f t="shared" si="16"/>
        <v>0</v>
      </c>
      <c r="H76" s="40">
        <f t="shared" si="16"/>
        <v>11190</v>
      </c>
      <c r="I76" s="40">
        <f t="shared" si="16"/>
        <v>0</v>
      </c>
      <c r="J76" s="40">
        <f t="shared" si="16"/>
        <v>410</v>
      </c>
      <c r="K76" s="25">
        <f t="shared" si="15"/>
        <v>13230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379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  <c r="L79" s="43" t="s">
        <v>325</v>
      </c>
    </row>
    <row r="80" ht="13.5" customHeight="1">
      <c r="A80" s="18" t="s">
        <v>31</v>
      </c>
      <c r="B80" s="19">
        <v>1.2</v>
      </c>
      <c r="C80" s="20" t="s">
        <v>33</v>
      </c>
      <c r="D80" s="21">
        <v>300.0</v>
      </c>
      <c r="E80" s="36"/>
      <c r="F80" s="36">
        <v>40.0</v>
      </c>
      <c r="G80" s="22"/>
      <c r="H80" s="21">
        <v>850.0</v>
      </c>
      <c r="I80" s="21"/>
      <c r="J80" s="29">
        <v>100.0</v>
      </c>
      <c r="K80" s="25">
        <f t="shared" ref="K80:K86" si="17">SUM(D80:J80)</f>
        <v>1290</v>
      </c>
    </row>
    <row r="81" ht="13.5" customHeight="1">
      <c r="A81" s="26" t="s">
        <v>34</v>
      </c>
      <c r="B81" s="27"/>
      <c r="C81" s="28"/>
      <c r="D81" s="21">
        <v>300.0</v>
      </c>
      <c r="E81" s="36"/>
      <c r="F81" s="36">
        <v>400.0</v>
      </c>
      <c r="G81" s="22"/>
      <c r="H81" s="21">
        <v>990.0</v>
      </c>
      <c r="I81" s="21"/>
      <c r="J81" s="29">
        <v>90.0</v>
      </c>
      <c r="K81" s="25">
        <f t="shared" si="17"/>
        <v>1780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7"/>
        <v>0</v>
      </c>
    </row>
    <row r="83" ht="13.5" customHeight="1">
      <c r="A83" s="26" t="s">
        <v>37</v>
      </c>
      <c r="B83" s="33"/>
      <c r="C83" s="34">
        <v>106.0</v>
      </c>
      <c r="D83" s="21"/>
      <c r="E83" s="36"/>
      <c r="F83" s="36"/>
      <c r="G83" s="22"/>
      <c r="H83" s="21"/>
      <c r="I83" s="21"/>
      <c r="J83" s="29"/>
      <c r="K83" s="25">
        <f t="shared" si="17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420.0</v>
      </c>
      <c r="E84" s="41"/>
      <c r="F84" s="41">
        <v>600.0</v>
      </c>
      <c r="G84" s="32"/>
      <c r="H84" s="44">
        <v>5520.0</v>
      </c>
      <c r="I84" s="21"/>
      <c r="J84" s="24">
        <v>300.0</v>
      </c>
      <c r="K84" s="25">
        <f t="shared" si="17"/>
        <v>6840</v>
      </c>
      <c r="L84" s="10"/>
    </row>
    <row r="85" ht="13.5" customHeight="1">
      <c r="A85" s="35" t="s">
        <v>41</v>
      </c>
      <c r="B85" s="27"/>
      <c r="C85" s="27"/>
      <c r="D85" s="21">
        <v>420.0</v>
      </c>
      <c r="E85" s="36"/>
      <c r="F85" s="37">
        <v>600.0</v>
      </c>
      <c r="G85" s="38"/>
      <c r="H85" s="21">
        <v>5370.0</v>
      </c>
      <c r="I85" s="29"/>
      <c r="J85" s="39">
        <v>290.0</v>
      </c>
      <c r="K85" s="25">
        <f t="shared" si="17"/>
        <v>6680</v>
      </c>
      <c r="L85" s="36"/>
    </row>
    <row r="86" ht="13.5" customHeight="1">
      <c r="A86" s="40" t="s">
        <v>7</v>
      </c>
      <c r="B86" s="40"/>
      <c r="C86" s="40">
        <v>547.0</v>
      </c>
      <c r="D86" s="10">
        <f t="shared" ref="D86:J86" si="18">SUM(D80:D85)</f>
        <v>1440</v>
      </c>
      <c r="E86" s="10">
        <f t="shared" si="18"/>
        <v>0</v>
      </c>
      <c r="F86" s="10">
        <f t="shared" si="18"/>
        <v>1640</v>
      </c>
      <c r="G86" s="10">
        <f t="shared" si="18"/>
        <v>0</v>
      </c>
      <c r="H86" s="10">
        <f t="shared" si="18"/>
        <v>12730</v>
      </c>
      <c r="I86" s="10">
        <f t="shared" si="18"/>
        <v>0</v>
      </c>
      <c r="J86" s="10">
        <f t="shared" si="18"/>
        <v>780</v>
      </c>
      <c r="K86" s="25">
        <f t="shared" si="17"/>
        <v>16590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3" t="s">
        <v>380</v>
      </c>
    </row>
    <row r="89" ht="13.5" customHeight="1">
      <c r="A89" s="14" t="s">
        <v>25</v>
      </c>
      <c r="B89" s="14" t="s">
        <v>1</v>
      </c>
      <c r="C89" s="14" t="s">
        <v>27</v>
      </c>
      <c r="D89" s="15" t="s">
        <v>2</v>
      </c>
      <c r="E89" s="10" t="s">
        <v>28</v>
      </c>
      <c r="F89" s="16" t="s">
        <v>3</v>
      </c>
      <c r="G89" s="15" t="s">
        <v>4</v>
      </c>
      <c r="H89" s="15" t="s">
        <v>5</v>
      </c>
      <c r="I89" s="15" t="s">
        <v>29</v>
      </c>
      <c r="J89" s="14" t="s">
        <v>30</v>
      </c>
      <c r="K89" s="17" t="s">
        <v>7</v>
      </c>
      <c r="L89" s="43" t="s">
        <v>325</v>
      </c>
    </row>
    <row r="90" ht="14.25" customHeight="1">
      <c r="A90" s="18" t="s">
        <v>31</v>
      </c>
      <c r="B90" s="19">
        <v>1.2</v>
      </c>
      <c r="C90" s="20" t="s">
        <v>33</v>
      </c>
      <c r="D90" s="21">
        <v>250.0</v>
      </c>
      <c r="E90" s="10"/>
      <c r="F90" s="36">
        <v>360.0</v>
      </c>
      <c r="G90" s="32"/>
      <c r="H90" s="21">
        <v>960.0</v>
      </c>
      <c r="I90" s="21"/>
      <c r="J90" s="24">
        <v>100.0</v>
      </c>
      <c r="K90" s="25">
        <f t="shared" ref="K90:K96" si="19">SUM(D90:J90)</f>
        <v>1670</v>
      </c>
    </row>
    <row r="91" ht="13.5" customHeight="1">
      <c r="A91" s="26" t="s">
        <v>34</v>
      </c>
      <c r="B91" s="27"/>
      <c r="C91" s="28"/>
      <c r="D91" s="21">
        <v>260.0</v>
      </c>
      <c r="E91" s="10"/>
      <c r="F91" s="36">
        <v>430.0</v>
      </c>
      <c r="G91" s="32"/>
      <c r="H91" s="21">
        <v>920.0</v>
      </c>
      <c r="I91" s="21"/>
      <c r="J91" s="29">
        <v>110.0</v>
      </c>
      <c r="K91" s="25">
        <f t="shared" si="19"/>
        <v>1720</v>
      </c>
      <c r="L91" s="43" t="s">
        <v>381</v>
      </c>
    </row>
    <row r="92" ht="13.5" customHeight="1">
      <c r="A92" s="18" t="s">
        <v>35</v>
      </c>
      <c r="B92" s="30">
        <v>2.0</v>
      </c>
      <c r="C92" s="31" t="s">
        <v>36</v>
      </c>
      <c r="D92" s="21"/>
      <c r="E92" s="10"/>
      <c r="F92" s="36"/>
      <c r="G92" s="32"/>
      <c r="H92" s="21"/>
      <c r="I92" s="21"/>
      <c r="J92" s="24"/>
      <c r="K92" s="25">
        <f t="shared" si="19"/>
        <v>0</v>
      </c>
    </row>
    <row r="93" ht="13.5" customHeight="1">
      <c r="A93" s="26" t="s">
        <v>37</v>
      </c>
      <c r="B93" s="33"/>
      <c r="C93" s="34">
        <v>91.0</v>
      </c>
      <c r="D93" s="21"/>
      <c r="E93" s="10"/>
      <c r="F93" s="36"/>
      <c r="G93" s="32"/>
      <c r="H93" s="21"/>
      <c r="I93" s="21"/>
      <c r="J93" s="29"/>
      <c r="K93" s="25">
        <f t="shared" si="19"/>
        <v>0</v>
      </c>
    </row>
    <row r="94" ht="15.0" customHeight="1">
      <c r="A94" s="18" t="s">
        <v>38</v>
      </c>
      <c r="B94" s="19" t="s">
        <v>39</v>
      </c>
      <c r="C94" s="19" t="s">
        <v>40</v>
      </c>
      <c r="D94" s="21">
        <v>410.0</v>
      </c>
      <c r="E94" s="36"/>
      <c r="F94" s="41">
        <v>600.0</v>
      </c>
      <c r="G94" s="32"/>
      <c r="H94" s="21">
        <v>5330.0</v>
      </c>
      <c r="I94" s="21"/>
      <c r="J94" s="24">
        <v>300.0</v>
      </c>
      <c r="K94" s="25">
        <f t="shared" si="19"/>
        <v>6640</v>
      </c>
      <c r="L94" s="10"/>
    </row>
    <row r="95" ht="13.5" customHeight="1">
      <c r="A95" s="35" t="s">
        <v>41</v>
      </c>
      <c r="B95" s="27"/>
      <c r="C95" s="27"/>
      <c r="D95" s="21">
        <v>430.0</v>
      </c>
      <c r="E95" s="36"/>
      <c r="F95" s="37">
        <v>610.0</v>
      </c>
      <c r="G95" s="38"/>
      <c r="H95" s="21">
        <v>5370.0</v>
      </c>
      <c r="I95" s="21"/>
      <c r="J95" s="39">
        <v>300.0</v>
      </c>
      <c r="K95" s="25">
        <f t="shared" si="19"/>
        <v>6710</v>
      </c>
      <c r="L95" s="36"/>
    </row>
    <row r="96" ht="13.5" customHeight="1">
      <c r="A96" s="40" t="s">
        <v>7</v>
      </c>
      <c r="B96" s="40"/>
      <c r="C96" s="40">
        <v>563.0</v>
      </c>
      <c r="D96" s="10">
        <f t="shared" ref="D96:J96" si="20">SUM(D90:D95)</f>
        <v>1350</v>
      </c>
      <c r="E96" s="10">
        <f t="shared" si="20"/>
        <v>0</v>
      </c>
      <c r="F96" s="10">
        <f t="shared" si="20"/>
        <v>2000</v>
      </c>
      <c r="G96" s="10">
        <f t="shared" si="20"/>
        <v>0</v>
      </c>
      <c r="H96" s="10">
        <f t="shared" si="20"/>
        <v>12580</v>
      </c>
      <c r="I96" s="10">
        <f t="shared" si="20"/>
        <v>0</v>
      </c>
      <c r="J96" s="10">
        <f t="shared" si="20"/>
        <v>810</v>
      </c>
      <c r="K96" s="25">
        <f t="shared" si="19"/>
        <v>16740</v>
      </c>
    </row>
    <row r="97" ht="13.5" customHeight="1">
      <c r="A97" s="13" t="s">
        <v>382</v>
      </c>
    </row>
    <row r="98" ht="13.5" customHeight="1">
      <c r="A98" s="14" t="s">
        <v>25</v>
      </c>
      <c r="B98" s="14" t="s">
        <v>1</v>
      </c>
      <c r="C98" s="14" t="s">
        <v>27</v>
      </c>
      <c r="D98" s="15" t="s">
        <v>2</v>
      </c>
      <c r="E98" s="10" t="s">
        <v>28</v>
      </c>
      <c r="F98" s="16" t="s">
        <v>3</v>
      </c>
      <c r="G98" s="15" t="s">
        <v>4</v>
      </c>
      <c r="H98" s="15" t="s">
        <v>5</v>
      </c>
      <c r="I98" s="15" t="s">
        <v>29</v>
      </c>
      <c r="J98" s="14" t="s">
        <v>30</v>
      </c>
      <c r="K98" s="10" t="s">
        <v>7</v>
      </c>
    </row>
    <row r="99" ht="14.25" customHeight="1">
      <c r="A99" s="18" t="s">
        <v>31</v>
      </c>
      <c r="B99" s="19">
        <v>1.2</v>
      </c>
      <c r="C99" s="20" t="s">
        <v>33</v>
      </c>
      <c r="D99" s="21">
        <v>250.0</v>
      </c>
      <c r="E99" s="10"/>
      <c r="F99" s="36">
        <v>400.0</v>
      </c>
      <c r="G99" s="32"/>
      <c r="H99" s="21">
        <v>870.0</v>
      </c>
      <c r="I99" s="21"/>
      <c r="J99" s="21">
        <v>110.0</v>
      </c>
      <c r="K99" s="10">
        <f t="shared" ref="K99:K105" si="21">SUM(D99:J99)</f>
        <v>1630</v>
      </c>
    </row>
    <row r="100" ht="13.5" customHeight="1">
      <c r="A100" s="26" t="s">
        <v>34</v>
      </c>
      <c r="B100" s="27"/>
      <c r="C100" s="28"/>
      <c r="D100" s="21">
        <v>240.0</v>
      </c>
      <c r="E100" s="10"/>
      <c r="F100" s="36">
        <v>380.0</v>
      </c>
      <c r="G100" s="32"/>
      <c r="H100" s="21">
        <v>860.0</v>
      </c>
      <c r="I100" s="21"/>
      <c r="J100" s="21">
        <v>90.0</v>
      </c>
      <c r="K100" s="10">
        <f t="shared" si="21"/>
        <v>1570</v>
      </c>
    </row>
    <row r="101" ht="13.5" customHeight="1">
      <c r="A101" s="18" t="s">
        <v>35</v>
      </c>
      <c r="B101" s="30">
        <v>2.0</v>
      </c>
      <c r="C101" s="31" t="s">
        <v>36</v>
      </c>
      <c r="D101" s="21"/>
      <c r="E101" s="10"/>
      <c r="F101" s="36"/>
      <c r="G101" s="32"/>
      <c r="H101" s="21"/>
      <c r="I101" s="21"/>
      <c r="J101" s="21"/>
      <c r="K101" s="10">
        <f t="shared" si="21"/>
        <v>0</v>
      </c>
    </row>
    <row r="102" ht="13.5" customHeight="1">
      <c r="A102" s="26" t="s">
        <v>37</v>
      </c>
      <c r="B102" s="33"/>
      <c r="C102" s="34">
        <v>91.0</v>
      </c>
      <c r="D102" s="21"/>
      <c r="E102" s="10"/>
      <c r="F102" s="36"/>
      <c r="G102" s="32"/>
      <c r="H102" s="21"/>
      <c r="I102" s="21"/>
      <c r="J102" s="21"/>
      <c r="K102" s="10">
        <f t="shared" si="21"/>
        <v>0</v>
      </c>
    </row>
    <row r="103" ht="14.25" customHeight="1">
      <c r="A103" s="18" t="s">
        <v>38</v>
      </c>
      <c r="B103" s="19" t="s">
        <v>39</v>
      </c>
      <c r="C103" s="19" t="s">
        <v>40</v>
      </c>
      <c r="D103" s="21">
        <v>420.0</v>
      </c>
      <c r="E103" s="36"/>
      <c r="F103" s="41">
        <v>600.0</v>
      </c>
      <c r="G103" s="32"/>
      <c r="H103" s="21">
        <v>5490.0</v>
      </c>
      <c r="I103" s="21"/>
      <c r="J103" s="21">
        <v>290.0</v>
      </c>
      <c r="K103" s="10">
        <f t="shared" si="21"/>
        <v>6800</v>
      </c>
    </row>
    <row r="104" ht="13.5" customHeight="1">
      <c r="A104" s="35" t="s">
        <v>41</v>
      </c>
      <c r="B104" s="27"/>
      <c r="C104" s="27"/>
      <c r="D104" s="21">
        <v>420.0</v>
      </c>
      <c r="E104" s="36"/>
      <c r="F104" s="37">
        <v>590.0</v>
      </c>
      <c r="G104" s="38"/>
      <c r="H104" s="21">
        <v>5570.0</v>
      </c>
      <c r="I104" s="21"/>
      <c r="J104" s="21">
        <v>300.0</v>
      </c>
      <c r="K104" s="10">
        <f t="shared" si="21"/>
        <v>6880</v>
      </c>
    </row>
    <row r="105" ht="13.5" customHeight="1">
      <c r="A105" s="40" t="s">
        <v>7</v>
      </c>
      <c r="B105" s="40"/>
      <c r="C105" s="40">
        <v>563.0</v>
      </c>
      <c r="D105" s="10">
        <f t="shared" ref="D105:J105" si="22">SUM(D99:D104)</f>
        <v>1330</v>
      </c>
      <c r="E105" s="10">
        <f t="shared" si="22"/>
        <v>0</v>
      </c>
      <c r="F105" s="10">
        <f t="shared" si="22"/>
        <v>1970</v>
      </c>
      <c r="G105" s="10">
        <f t="shared" si="22"/>
        <v>0</v>
      </c>
      <c r="H105" s="10">
        <f t="shared" si="22"/>
        <v>12790</v>
      </c>
      <c r="I105" s="10">
        <f t="shared" si="22"/>
        <v>0</v>
      </c>
      <c r="J105" s="10">
        <f t="shared" si="22"/>
        <v>790</v>
      </c>
      <c r="K105" s="10">
        <f t="shared" si="21"/>
        <v>16880</v>
      </c>
    </row>
    <row r="106" ht="13.5" customHeight="1">
      <c r="A106" s="14"/>
      <c r="B106" s="14"/>
      <c r="C106" s="14"/>
      <c r="D106" s="14"/>
      <c r="E106" s="14"/>
      <c r="F106" s="14"/>
      <c r="G106" s="15"/>
      <c r="H106" s="15"/>
      <c r="I106" s="15"/>
      <c r="J106" s="10"/>
      <c r="K106" s="10"/>
    </row>
    <row r="107" ht="13.5" customHeight="1">
      <c r="A107" s="45" t="s">
        <v>383</v>
      </c>
    </row>
    <row r="108" ht="13.5" customHeight="1">
      <c r="A108" s="14" t="s">
        <v>25</v>
      </c>
      <c r="B108" s="14" t="s">
        <v>1</v>
      </c>
      <c r="C108" s="14" t="s">
        <v>27</v>
      </c>
      <c r="D108" s="15" t="s">
        <v>2</v>
      </c>
      <c r="E108" s="10" t="s">
        <v>28</v>
      </c>
      <c r="F108" s="16" t="s">
        <v>3</v>
      </c>
      <c r="G108" s="15" t="s">
        <v>4</v>
      </c>
      <c r="H108" s="15" t="s">
        <v>5</v>
      </c>
      <c r="I108" s="15" t="s">
        <v>29</v>
      </c>
      <c r="J108" s="14" t="s">
        <v>30</v>
      </c>
      <c r="K108" s="17" t="s">
        <v>7</v>
      </c>
    </row>
    <row r="109" ht="14.25" customHeight="1">
      <c r="A109" s="18" t="s">
        <v>31</v>
      </c>
      <c r="B109" s="19">
        <v>1.2</v>
      </c>
      <c r="C109" s="20" t="s">
        <v>33</v>
      </c>
      <c r="D109" s="21">
        <v>330.0</v>
      </c>
      <c r="E109" s="10"/>
      <c r="F109" s="10">
        <v>400.0</v>
      </c>
      <c r="G109" s="32"/>
      <c r="H109" s="21">
        <v>990.0</v>
      </c>
      <c r="I109" s="21"/>
      <c r="J109" s="21">
        <v>0.0</v>
      </c>
      <c r="K109" s="25">
        <f t="shared" ref="K109:K115" si="23">SUM(D109:J109)</f>
        <v>1720</v>
      </c>
    </row>
    <row r="110" ht="13.5" customHeight="1">
      <c r="A110" s="26" t="s">
        <v>34</v>
      </c>
      <c r="B110" s="27"/>
      <c r="C110" s="28"/>
      <c r="D110" s="21"/>
      <c r="E110" s="10"/>
      <c r="F110" s="10"/>
      <c r="G110" s="32"/>
      <c r="H110" s="21">
        <v>2000.0</v>
      </c>
      <c r="I110" s="21"/>
      <c r="J110" s="21"/>
      <c r="K110" s="25">
        <f t="shared" si="23"/>
        <v>2000</v>
      </c>
    </row>
    <row r="111" ht="13.5" customHeight="1">
      <c r="A111" s="18" t="s">
        <v>35</v>
      </c>
      <c r="B111" s="30"/>
      <c r="C111" s="31" t="s">
        <v>36</v>
      </c>
      <c r="D111" s="21"/>
      <c r="E111" s="10"/>
      <c r="F111" s="10"/>
      <c r="G111" s="32"/>
      <c r="H111" s="21"/>
      <c r="I111" s="21"/>
      <c r="J111" s="21"/>
      <c r="K111" s="25">
        <f t="shared" si="23"/>
        <v>0</v>
      </c>
    </row>
    <row r="112" ht="13.5" customHeight="1">
      <c r="A112" s="26" t="s">
        <v>37</v>
      </c>
      <c r="B112" s="33"/>
      <c r="C112" s="34">
        <v>91.0</v>
      </c>
      <c r="D112" s="21"/>
      <c r="E112" s="10"/>
      <c r="F112" s="36"/>
      <c r="G112" s="32"/>
      <c r="H112" s="21"/>
      <c r="I112" s="21"/>
      <c r="J112" s="21"/>
      <c r="K112" s="25">
        <f t="shared" si="23"/>
        <v>0</v>
      </c>
    </row>
    <row r="113" ht="15.0" customHeight="1">
      <c r="A113" s="18" t="s">
        <v>38</v>
      </c>
      <c r="B113" s="19" t="s">
        <v>39</v>
      </c>
      <c r="C113" s="19" t="s">
        <v>40</v>
      </c>
      <c r="D113" s="21">
        <v>420.0</v>
      </c>
      <c r="E113" s="36"/>
      <c r="F113" s="41">
        <v>500.0</v>
      </c>
      <c r="G113" s="32"/>
      <c r="H113" s="21">
        <v>5680.0</v>
      </c>
      <c r="I113" s="21"/>
      <c r="J113" s="21">
        <v>330.0</v>
      </c>
      <c r="K113" s="25">
        <f t="shared" si="23"/>
        <v>6930</v>
      </c>
    </row>
    <row r="114" ht="13.5" customHeight="1">
      <c r="A114" s="35" t="s">
        <v>41</v>
      </c>
      <c r="B114" s="27"/>
      <c r="C114" s="27"/>
      <c r="D114" s="21"/>
      <c r="E114" s="36"/>
      <c r="F114" s="41"/>
      <c r="G114" s="32"/>
      <c r="H114" s="21">
        <v>4600.0</v>
      </c>
      <c r="I114" s="21"/>
      <c r="J114" s="21"/>
      <c r="K114" s="25">
        <f t="shared" si="23"/>
        <v>4600</v>
      </c>
    </row>
    <row r="115" ht="13.5" customHeight="1">
      <c r="A115" s="40" t="s">
        <v>7</v>
      </c>
      <c r="B115" s="40"/>
      <c r="C115" s="40">
        <v>563.0</v>
      </c>
      <c r="D115" s="10">
        <f t="shared" ref="D115:J115" si="24">SUM(D109:D114)</f>
        <v>750</v>
      </c>
      <c r="E115" s="10">
        <f t="shared" si="24"/>
        <v>0</v>
      </c>
      <c r="F115" s="10">
        <f t="shared" si="24"/>
        <v>900</v>
      </c>
      <c r="G115" s="10">
        <f t="shared" si="24"/>
        <v>0</v>
      </c>
      <c r="H115" s="10">
        <f t="shared" si="24"/>
        <v>13270</v>
      </c>
      <c r="I115" s="10">
        <f t="shared" si="24"/>
        <v>0</v>
      </c>
      <c r="J115" s="10">
        <f t="shared" si="24"/>
        <v>330</v>
      </c>
      <c r="K115" s="25">
        <f t="shared" si="23"/>
        <v>15250</v>
      </c>
    </row>
    <row r="116" ht="13.5" customHeight="1">
      <c r="A116" s="13" t="s">
        <v>384</v>
      </c>
    </row>
    <row r="117" ht="13.5" customHeight="1">
      <c r="A117" s="14" t="s">
        <v>25</v>
      </c>
      <c r="B117" s="14" t="s">
        <v>1</v>
      </c>
      <c r="C117" s="14" t="s">
        <v>27</v>
      </c>
      <c r="D117" s="15" t="s">
        <v>2</v>
      </c>
      <c r="E117" s="10" t="s">
        <v>28</v>
      </c>
      <c r="F117" s="16" t="s">
        <v>3</v>
      </c>
      <c r="G117" s="15" t="s">
        <v>4</v>
      </c>
      <c r="H117" s="15" t="s">
        <v>5</v>
      </c>
      <c r="I117" s="15" t="s">
        <v>29</v>
      </c>
      <c r="J117" s="14" t="s">
        <v>30</v>
      </c>
      <c r="K117" s="17" t="s">
        <v>7</v>
      </c>
    </row>
    <row r="118" ht="14.25" customHeight="1">
      <c r="A118" s="18" t="s">
        <v>31</v>
      </c>
      <c r="B118" s="19">
        <v>1.2</v>
      </c>
      <c r="C118" s="20" t="s">
        <v>33</v>
      </c>
      <c r="D118" s="21">
        <v>300.0</v>
      </c>
      <c r="E118" s="10"/>
      <c r="F118" s="36">
        <v>450.0</v>
      </c>
      <c r="G118" s="32"/>
      <c r="H118" s="21">
        <v>970.0</v>
      </c>
      <c r="I118" s="21"/>
      <c r="J118" s="21">
        <v>100.0</v>
      </c>
      <c r="K118" s="25">
        <f t="shared" ref="K118:K124" si="25">SUM(D118:J118)</f>
        <v>1820</v>
      </c>
    </row>
    <row r="119" ht="13.5" customHeight="1">
      <c r="A119" s="26" t="s">
        <v>34</v>
      </c>
      <c r="B119" s="27"/>
      <c r="C119" s="28">
        <v>130.0</v>
      </c>
      <c r="D119" s="21">
        <v>300.0</v>
      </c>
      <c r="E119" s="10"/>
      <c r="F119" s="36">
        <v>400.0</v>
      </c>
      <c r="G119" s="32"/>
      <c r="H119" s="21">
        <v>1080.0</v>
      </c>
      <c r="I119" s="21"/>
      <c r="J119" s="21">
        <v>100.0</v>
      </c>
      <c r="K119" s="25">
        <f t="shared" si="25"/>
        <v>1880</v>
      </c>
    </row>
    <row r="120" ht="13.5" customHeight="1">
      <c r="A120" s="18" t="s">
        <v>35</v>
      </c>
      <c r="B120" s="30">
        <v>2.0</v>
      </c>
      <c r="C120" s="31" t="s">
        <v>36</v>
      </c>
      <c r="D120" s="21"/>
      <c r="E120" s="10"/>
      <c r="F120" s="36"/>
      <c r="G120" s="32"/>
      <c r="H120" s="21"/>
      <c r="I120" s="21"/>
      <c r="J120" s="21"/>
      <c r="K120" s="25">
        <f t="shared" si="25"/>
        <v>0</v>
      </c>
    </row>
    <row r="121" ht="13.5" customHeight="1">
      <c r="A121" s="26" t="s">
        <v>37</v>
      </c>
      <c r="B121" s="33"/>
      <c r="C121" s="34">
        <v>91.0</v>
      </c>
      <c r="D121" s="21"/>
      <c r="E121" s="10"/>
      <c r="F121" s="36"/>
      <c r="G121" s="32"/>
      <c r="H121" s="21"/>
      <c r="I121" s="21"/>
      <c r="J121" s="21"/>
      <c r="K121" s="25">
        <f t="shared" si="25"/>
        <v>0</v>
      </c>
    </row>
    <row r="122" ht="15.0" customHeight="1">
      <c r="A122" s="18" t="s">
        <v>38</v>
      </c>
      <c r="B122" s="19" t="s">
        <v>39</v>
      </c>
      <c r="C122" s="19" t="s">
        <v>40</v>
      </c>
      <c r="D122" s="21">
        <v>420.0</v>
      </c>
      <c r="E122" s="36"/>
      <c r="F122" s="41">
        <v>500.0</v>
      </c>
      <c r="G122" s="44"/>
      <c r="H122" s="44">
        <v>5660.0</v>
      </c>
      <c r="I122" s="23"/>
      <c r="J122" s="23">
        <v>320.0</v>
      </c>
      <c r="K122" s="25">
        <f t="shared" si="25"/>
        <v>6900</v>
      </c>
    </row>
    <row r="123" ht="13.5" customHeight="1">
      <c r="A123" s="35" t="s">
        <v>41</v>
      </c>
      <c r="B123" s="27"/>
      <c r="C123" s="27"/>
      <c r="D123" s="21">
        <v>420.0</v>
      </c>
      <c r="E123" s="36"/>
      <c r="F123" s="37">
        <v>500.0</v>
      </c>
      <c r="G123" s="38"/>
      <c r="H123" s="21">
        <v>5470.0</v>
      </c>
      <c r="I123" s="29"/>
      <c r="J123" s="39">
        <v>310.0</v>
      </c>
      <c r="K123" s="25">
        <f t="shared" si="25"/>
        <v>6700</v>
      </c>
    </row>
    <row r="124" ht="13.5" customHeight="1">
      <c r="A124" s="40" t="s">
        <v>7</v>
      </c>
      <c r="B124" s="40"/>
      <c r="C124" s="40">
        <v>563.0</v>
      </c>
      <c r="D124" s="10">
        <f t="shared" ref="D124:J124" si="26">SUM(D118:D123)</f>
        <v>1440</v>
      </c>
      <c r="E124" s="10">
        <f t="shared" si="26"/>
        <v>0</v>
      </c>
      <c r="F124" s="10">
        <f t="shared" si="26"/>
        <v>1850</v>
      </c>
      <c r="G124" s="10">
        <f t="shared" si="26"/>
        <v>0</v>
      </c>
      <c r="H124" s="10">
        <f t="shared" si="26"/>
        <v>13180</v>
      </c>
      <c r="I124" s="10">
        <f t="shared" si="26"/>
        <v>0</v>
      </c>
      <c r="J124" s="10">
        <f t="shared" si="26"/>
        <v>830</v>
      </c>
      <c r="K124" s="25">
        <f t="shared" si="25"/>
        <v>17300</v>
      </c>
    </row>
    <row r="125" ht="13.5" customHeight="1">
      <c r="A125" s="13" t="s">
        <v>385</v>
      </c>
    </row>
    <row r="126" ht="13.5" customHeight="1">
      <c r="A126" s="14" t="s">
        <v>25</v>
      </c>
      <c r="B126" s="14" t="s">
        <v>1</v>
      </c>
      <c r="C126" s="14" t="s">
        <v>27</v>
      </c>
      <c r="D126" s="15" t="s">
        <v>2</v>
      </c>
      <c r="E126" s="10" t="s">
        <v>28</v>
      </c>
      <c r="F126" s="16" t="s">
        <v>3</v>
      </c>
      <c r="G126" s="15" t="s">
        <v>4</v>
      </c>
      <c r="H126" s="15" t="s">
        <v>5</v>
      </c>
      <c r="I126" s="15" t="s">
        <v>29</v>
      </c>
      <c r="J126" s="14" t="s">
        <v>30</v>
      </c>
      <c r="K126" s="17" t="s">
        <v>7</v>
      </c>
    </row>
    <row r="127" ht="13.5" customHeight="1">
      <c r="A127" s="18" t="s">
        <v>31</v>
      </c>
      <c r="B127" s="19">
        <v>1.2</v>
      </c>
      <c r="C127" s="20" t="s">
        <v>33</v>
      </c>
      <c r="D127" s="21">
        <v>330.0</v>
      </c>
      <c r="E127" s="36"/>
      <c r="F127" s="36">
        <v>800.0</v>
      </c>
      <c r="G127" s="32"/>
      <c r="H127" s="21">
        <v>1150.0</v>
      </c>
      <c r="I127" s="21"/>
      <c r="J127" s="21">
        <v>100.0</v>
      </c>
      <c r="K127" s="25">
        <f t="shared" ref="K127:K133" si="27">SUM(D127:J127)</f>
        <v>2380</v>
      </c>
    </row>
    <row r="128" ht="13.5" customHeight="1">
      <c r="A128" s="26" t="s">
        <v>34</v>
      </c>
      <c r="B128" s="27"/>
      <c r="C128" s="28">
        <v>130.0</v>
      </c>
      <c r="D128" s="21">
        <v>280.0</v>
      </c>
      <c r="E128" s="36"/>
      <c r="F128" s="36">
        <v>400.0</v>
      </c>
      <c r="G128" s="32"/>
      <c r="H128" s="21">
        <v>920.0</v>
      </c>
      <c r="I128" s="21"/>
      <c r="J128" s="21">
        <v>100.0</v>
      </c>
      <c r="K128" s="25">
        <f t="shared" si="27"/>
        <v>1700</v>
      </c>
    </row>
    <row r="129" ht="13.5" customHeight="1">
      <c r="A129" s="18" t="s">
        <v>35</v>
      </c>
      <c r="B129" s="30">
        <v>2.0</v>
      </c>
      <c r="C129" s="31" t="s">
        <v>36</v>
      </c>
      <c r="D129" s="21"/>
      <c r="E129" s="36"/>
      <c r="F129" s="36"/>
      <c r="G129" s="32"/>
      <c r="H129" s="21"/>
      <c r="I129" s="21"/>
      <c r="J129" s="21"/>
      <c r="K129" s="25">
        <f t="shared" si="27"/>
        <v>0</v>
      </c>
    </row>
    <row r="130" ht="13.5" customHeight="1">
      <c r="A130" s="26" t="s">
        <v>37</v>
      </c>
      <c r="B130" s="33"/>
      <c r="C130" s="34">
        <v>91.0</v>
      </c>
      <c r="D130" s="21"/>
      <c r="E130" s="36"/>
      <c r="F130" s="36"/>
      <c r="G130" s="32"/>
      <c r="H130" s="21"/>
      <c r="I130" s="21"/>
      <c r="J130" s="21"/>
      <c r="K130" s="25">
        <f t="shared" si="27"/>
        <v>0</v>
      </c>
    </row>
    <row r="131" ht="15.0" customHeight="1">
      <c r="A131" s="18" t="s">
        <v>38</v>
      </c>
      <c r="B131" s="19" t="s">
        <v>39</v>
      </c>
      <c r="C131" s="19" t="s">
        <v>40</v>
      </c>
      <c r="D131" s="21">
        <v>420.0</v>
      </c>
      <c r="E131" s="36"/>
      <c r="F131" s="36">
        <v>550.0</v>
      </c>
      <c r="G131" s="21"/>
      <c r="H131" s="21">
        <v>5590.0</v>
      </c>
      <c r="I131" s="21"/>
      <c r="J131" s="21">
        <v>300.0</v>
      </c>
      <c r="K131" s="25">
        <f t="shared" si="27"/>
        <v>6860</v>
      </c>
    </row>
    <row r="132" ht="13.5" customHeight="1">
      <c r="A132" s="35" t="s">
        <v>41</v>
      </c>
      <c r="B132" s="27"/>
      <c r="C132" s="27"/>
      <c r="D132" s="21">
        <v>430.0</v>
      </c>
      <c r="E132" s="36"/>
      <c r="F132" s="36">
        <v>520.0</v>
      </c>
      <c r="G132" s="21"/>
      <c r="H132" s="21">
        <v>5550.0</v>
      </c>
      <c r="I132" s="21"/>
      <c r="J132" s="21">
        <v>300.0</v>
      </c>
      <c r="K132" s="25">
        <f t="shared" si="27"/>
        <v>6800</v>
      </c>
    </row>
    <row r="133" ht="13.5" customHeight="1">
      <c r="A133" s="40" t="s">
        <v>7</v>
      </c>
      <c r="B133" s="40"/>
      <c r="C133" s="40">
        <v>563.0</v>
      </c>
      <c r="D133" s="10">
        <f t="shared" ref="D133:J133" si="28">SUM(D127:D132)</f>
        <v>1460</v>
      </c>
      <c r="E133" s="10">
        <f t="shared" si="28"/>
        <v>0</v>
      </c>
      <c r="F133" s="10">
        <f t="shared" si="28"/>
        <v>2270</v>
      </c>
      <c r="G133" s="10">
        <f t="shared" si="28"/>
        <v>0</v>
      </c>
      <c r="H133" s="10">
        <f t="shared" si="28"/>
        <v>13210</v>
      </c>
      <c r="I133" s="10">
        <f t="shared" si="28"/>
        <v>0</v>
      </c>
      <c r="J133" s="10">
        <f t="shared" si="28"/>
        <v>800</v>
      </c>
      <c r="K133" s="25">
        <f t="shared" si="27"/>
        <v>17740</v>
      </c>
    </row>
    <row r="134" ht="13.5" customHeight="1">
      <c r="A134" s="46" t="s">
        <v>386</v>
      </c>
    </row>
    <row r="135" ht="13.5" customHeight="1">
      <c r="A135" s="14" t="s">
        <v>25</v>
      </c>
      <c r="B135" s="14" t="s">
        <v>1</v>
      </c>
      <c r="C135" s="14" t="s">
        <v>27</v>
      </c>
      <c r="D135" s="15" t="s">
        <v>2</v>
      </c>
      <c r="E135" s="10" t="s">
        <v>28</v>
      </c>
      <c r="F135" s="16" t="s">
        <v>3</v>
      </c>
      <c r="G135" s="15" t="s">
        <v>4</v>
      </c>
      <c r="H135" s="15" t="s">
        <v>5</v>
      </c>
      <c r="I135" s="15" t="s">
        <v>29</v>
      </c>
      <c r="J135" s="14" t="s">
        <v>30</v>
      </c>
      <c r="K135" s="17" t="s">
        <v>7</v>
      </c>
    </row>
    <row r="136" ht="13.5" customHeight="1">
      <c r="A136" s="18" t="s">
        <v>31</v>
      </c>
      <c r="B136" s="19">
        <v>1.2</v>
      </c>
      <c r="C136" s="20" t="s">
        <v>33</v>
      </c>
      <c r="D136" s="21">
        <v>320.0</v>
      </c>
      <c r="E136" s="36"/>
      <c r="F136" s="36">
        <v>410.0</v>
      </c>
      <c r="G136" s="32"/>
      <c r="H136" s="21">
        <v>1080.0</v>
      </c>
      <c r="I136" s="21"/>
      <c r="J136" s="21">
        <v>90.0</v>
      </c>
      <c r="K136" s="25">
        <f>SUM(D136:J136)</f>
        <v>1900</v>
      </c>
    </row>
    <row r="137" ht="13.5" customHeight="1">
      <c r="A137" s="26" t="s">
        <v>34</v>
      </c>
      <c r="B137" s="27"/>
      <c r="C137" s="28">
        <v>130.0</v>
      </c>
      <c r="D137" s="21">
        <v>330.0</v>
      </c>
      <c r="E137" s="36"/>
      <c r="F137" s="36">
        <v>400.0</v>
      </c>
      <c r="G137" s="32"/>
      <c r="H137" s="21">
        <v>1010.0</v>
      </c>
      <c r="I137" s="21"/>
      <c r="J137" s="21">
        <v>100.0</v>
      </c>
      <c r="K137" s="25">
        <v>1200.0</v>
      </c>
    </row>
    <row r="138" ht="13.5" customHeight="1">
      <c r="A138" s="18" t="s">
        <v>35</v>
      </c>
      <c r="B138" s="30">
        <v>2.0</v>
      </c>
      <c r="C138" s="31" t="s">
        <v>36</v>
      </c>
      <c r="D138" s="21"/>
      <c r="E138" s="36"/>
      <c r="F138" s="36"/>
      <c r="G138" s="32"/>
      <c r="H138" s="21"/>
      <c r="I138" s="21"/>
      <c r="J138" s="21"/>
      <c r="K138" s="25">
        <f t="shared" ref="K138:K141" si="29">SUM(D138:J138)</f>
        <v>0</v>
      </c>
    </row>
    <row r="139" ht="13.5" customHeight="1">
      <c r="A139" s="26" t="s">
        <v>37</v>
      </c>
      <c r="B139" s="33"/>
      <c r="C139" s="34">
        <v>91.0</v>
      </c>
      <c r="D139" s="21"/>
      <c r="E139" s="36"/>
      <c r="F139" s="36"/>
      <c r="G139" s="32"/>
      <c r="H139" s="21"/>
      <c r="I139" s="21"/>
      <c r="J139" s="21"/>
      <c r="K139" s="25">
        <f t="shared" si="29"/>
        <v>0</v>
      </c>
    </row>
    <row r="140" ht="15.0" customHeight="1">
      <c r="A140" s="18" t="s">
        <v>38</v>
      </c>
      <c r="B140" s="19" t="s">
        <v>39</v>
      </c>
      <c r="C140" s="19" t="s">
        <v>40</v>
      </c>
      <c r="D140" s="44">
        <v>430.0</v>
      </c>
      <c r="E140" s="41"/>
      <c r="F140" s="41">
        <v>520.0</v>
      </c>
      <c r="G140" s="44"/>
      <c r="H140" s="44">
        <v>5620.0</v>
      </c>
      <c r="I140" s="23"/>
      <c r="J140" s="24">
        <v>310.0</v>
      </c>
      <c r="K140" s="25">
        <f t="shared" si="29"/>
        <v>6880</v>
      </c>
      <c r="L140" s="47"/>
      <c r="M140" s="12"/>
    </row>
    <row r="141" ht="13.5" customHeight="1">
      <c r="A141" s="35" t="s">
        <v>41</v>
      </c>
      <c r="B141" s="27"/>
      <c r="C141" s="27"/>
      <c r="D141" s="21">
        <v>440.0</v>
      </c>
      <c r="E141" s="36"/>
      <c r="F141" s="36">
        <v>510.0</v>
      </c>
      <c r="G141" s="21"/>
      <c r="H141" s="21">
        <v>5640.0</v>
      </c>
      <c r="I141" s="29"/>
      <c r="J141" s="39">
        <v>300.0</v>
      </c>
      <c r="K141" s="25">
        <f t="shared" si="29"/>
        <v>6890</v>
      </c>
    </row>
    <row r="142" ht="13.5" customHeight="1">
      <c r="A142" s="40" t="s">
        <v>7</v>
      </c>
      <c r="B142" s="40"/>
      <c r="C142" s="40">
        <v>563.0</v>
      </c>
      <c r="D142" s="10">
        <f t="shared" ref="D142:K142" si="30">SUM(D136:D141)</f>
        <v>1520</v>
      </c>
      <c r="E142" s="10">
        <f t="shared" si="30"/>
        <v>0</v>
      </c>
      <c r="F142" s="10">
        <f t="shared" si="30"/>
        <v>1840</v>
      </c>
      <c r="G142" s="10">
        <f t="shared" si="30"/>
        <v>0</v>
      </c>
      <c r="H142" s="10">
        <f t="shared" si="30"/>
        <v>13350</v>
      </c>
      <c r="I142" s="10">
        <f t="shared" si="30"/>
        <v>0</v>
      </c>
      <c r="J142" s="10">
        <f t="shared" si="30"/>
        <v>800</v>
      </c>
      <c r="K142" s="25">
        <f t="shared" si="30"/>
        <v>16870</v>
      </c>
    </row>
    <row r="143" ht="13.5" customHeight="1">
      <c r="A143" s="48" t="s">
        <v>387</v>
      </c>
    </row>
    <row r="144" ht="13.5" customHeight="1">
      <c r="A144" s="14" t="s">
        <v>25</v>
      </c>
      <c r="B144" s="14" t="s">
        <v>1</v>
      </c>
      <c r="C144" s="14" t="s">
        <v>27</v>
      </c>
      <c r="D144" s="15" t="s">
        <v>2</v>
      </c>
      <c r="E144" s="10" t="s">
        <v>28</v>
      </c>
      <c r="F144" s="16" t="s">
        <v>3</v>
      </c>
      <c r="G144" s="15" t="s">
        <v>4</v>
      </c>
      <c r="H144" s="15" t="s">
        <v>5</v>
      </c>
      <c r="I144" s="15" t="s">
        <v>29</v>
      </c>
      <c r="J144" s="14" t="s">
        <v>30</v>
      </c>
      <c r="K144" s="17" t="s">
        <v>7</v>
      </c>
    </row>
    <row r="145" ht="15.0" customHeight="1">
      <c r="A145" s="18" t="s">
        <v>31</v>
      </c>
      <c r="B145" s="19">
        <v>1.2</v>
      </c>
      <c r="C145" s="20" t="s">
        <v>33</v>
      </c>
      <c r="D145" s="21">
        <v>290.0</v>
      </c>
      <c r="E145" s="36"/>
      <c r="F145" s="36">
        <v>400.0</v>
      </c>
      <c r="G145" s="32"/>
      <c r="H145" s="21">
        <v>1070.0</v>
      </c>
      <c r="I145" s="23"/>
      <c r="J145" s="24">
        <v>100.0</v>
      </c>
      <c r="K145" s="25">
        <f t="shared" ref="K145:K151" si="31">SUM(D145:J145)</f>
        <v>1860</v>
      </c>
    </row>
    <row r="146" ht="13.5" customHeight="1">
      <c r="A146" s="26" t="s">
        <v>34</v>
      </c>
      <c r="B146" s="27"/>
      <c r="C146" s="28">
        <v>130.0</v>
      </c>
      <c r="D146" s="21">
        <v>300.0</v>
      </c>
      <c r="E146" s="36"/>
      <c r="F146" s="36">
        <v>400.0</v>
      </c>
      <c r="G146" s="32"/>
      <c r="H146" s="21">
        <v>930.0</v>
      </c>
      <c r="I146" s="21"/>
      <c r="J146" s="29">
        <v>100.0</v>
      </c>
      <c r="K146" s="25">
        <f t="shared" si="31"/>
        <v>1730</v>
      </c>
    </row>
    <row r="147" ht="13.5" customHeight="1">
      <c r="A147" s="18" t="s">
        <v>35</v>
      </c>
      <c r="B147" s="30">
        <v>2.0</v>
      </c>
      <c r="C147" s="31" t="s">
        <v>36</v>
      </c>
      <c r="D147" s="21"/>
      <c r="E147" s="36"/>
      <c r="F147" s="41"/>
      <c r="G147" s="32"/>
      <c r="H147" s="21"/>
      <c r="I147" s="21"/>
      <c r="J147" s="24"/>
      <c r="K147" s="25">
        <f t="shared" si="31"/>
        <v>0</v>
      </c>
    </row>
    <row r="148" ht="13.5" customHeight="1">
      <c r="A148" s="26" t="s">
        <v>37</v>
      </c>
      <c r="B148" s="33"/>
      <c r="C148" s="34">
        <v>91.0</v>
      </c>
      <c r="D148" s="21"/>
      <c r="E148" s="21"/>
      <c r="F148" s="21"/>
      <c r="G148" s="21"/>
      <c r="H148" s="21"/>
      <c r="I148" s="21"/>
      <c r="J148" s="21"/>
      <c r="K148" s="25">
        <f t="shared" si="31"/>
        <v>0</v>
      </c>
    </row>
    <row r="149" ht="14.25" customHeight="1">
      <c r="A149" s="18" t="s">
        <v>38</v>
      </c>
      <c r="B149" s="19" t="s">
        <v>39</v>
      </c>
      <c r="C149" s="19" t="s">
        <v>40</v>
      </c>
      <c r="D149" s="21">
        <v>420.0</v>
      </c>
      <c r="E149" s="36"/>
      <c r="F149" s="41">
        <v>550.0</v>
      </c>
      <c r="G149" s="32"/>
      <c r="H149" s="21">
        <v>5480.0</v>
      </c>
      <c r="I149" s="21"/>
      <c r="J149" s="24">
        <v>290.0</v>
      </c>
      <c r="K149" s="25">
        <f t="shared" si="31"/>
        <v>6740</v>
      </c>
      <c r="L149" s="47"/>
      <c r="M149" s="12"/>
    </row>
    <row r="150" ht="13.5" customHeight="1">
      <c r="A150" s="35" t="s">
        <v>41</v>
      </c>
      <c r="B150" s="27"/>
      <c r="C150" s="27"/>
      <c r="D150" s="21">
        <v>420.0</v>
      </c>
      <c r="E150" s="21"/>
      <c r="F150" s="21">
        <v>500.0</v>
      </c>
      <c r="G150" s="21"/>
      <c r="H150" s="21">
        <v>5610.0</v>
      </c>
      <c r="I150" s="21"/>
      <c r="J150" s="21">
        <v>310.0</v>
      </c>
      <c r="K150" s="25">
        <f t="shared" si="31"/>
        <v>6840</v>
      </c>
    </row>
    <row r="151" ht="13.5" customHeight="1">
      <c r="A151" s="40" t="s">
        <v>7</v>
      </c>
      <c r="B151" s="40"/>
      <c r="C151" s="40">
        <v>563.0</v>
      </c>
      <c r="D151" s="10">
        <f t="shared" ref="D151:J151" si="32">SUM(D145:D150)</f>
        <v>1430</v>
      </c>
      <c r="E151" s="10">
        <f t="shared" si="32"/>
        <v>0</v>
      </c>
      <c r="F151" s="10">
        <f t="shared" si="32"/>
        <v>1850</v>
      </c>
      <c r="G151" s="10">
        <f t="shared" si="32"/>
        <v>0</v>
      </c>
      <c r="H151" s="10">
        <f t="shared" si="32"/>
        <v>13090</v>
      </c>
      <c r="I151" s="10">
        <f t="shared" si="32"/>
        <v>0</v>
      </c>
      <c r="J151" s="10">
        <f t="shared" si="32"/>
        <v>800</v>
      </c>
      <c r="K151" s="25">
        <f t="shared" si="31"/>
        <v>17170</v>
      </c>
    </row>
    <row r="152" ht="13.5" customHeight="1">
      <c r="A152" s="48" t="s">
        <v>388</v>
      </c>
    </row>
    <row r="153" ht="13.5" customHeight="1">
      <c r="A153" s="14" t="s">
        <v>25</v>
      </c>
      <c r="B153" s="14" t="s">
        <v>1</v>
      </c>
      <c r="C153" s="14" t="s">
        <v>27</v>
      </c>
      <c r="D153" s="15" t="s">
        <v>2</v>
      </c>
      <c r="E153" s="10" t="s">
        <v>28</v>
      </c>
      <c r="F153" s="16" t="s">
        <v>3</v>
      </c>
      <c r="G153" s="15" t="s">
        <v>4</v>
      </c>
      <c r="H153" s="15" t="s">
        <v>5</v>
      </c>
      <c r="I153" s="15" t="s">
        <v>29</v>
      </c>
      <c r="J153" s="14" t="s">
        <v>30</v>
      </c>
      <c r="K153" s="17" t="s">
        <v>7</v>
      </c>
      <c r="L153" s="49"/>
      <c r="M153" s="70"/>
    </row>
    <row r="154" ht="13.5" customHeight="1">
      <c r="A154" s="18" t="s">
        <v>31</v>
      </c>
      <c r="B154" s="19">
        <v>1.2</v>
      </c>
      <c r="C154" s="20" t="s">
        <v>33</v>
      </c>
      <c r="D154" s="21">
        <v>300.0</v>
      </c>
      <c r="E154" s="36"/>
      <c r="F154" s="36">
        <v>410.0</v>
      </c>
      <c r="G154" s="32"/>
      <c r="H154" s="21">
        <v>1050.0</v>
      </c>
      <c r="I154" s="21"/>
      <c r="J154" s="21">
        <v>100.0</v>
      </c>
      <c r="K154" s="25">
        <f t="shared" ref="K154:K160" si="33">SUM(D154:J154)</f>
        <v>1860</v>
      </c>
    </row>
    <row r="155" ht="13.5" customHeight="1">
      <c r="A155" s="26" t="s">
        <v>34</v>
      </c>
      <c r="B155" s="27"/>
      <c r="C155" s="28"/>
      <c r="D155" s="21">
        <v>310.0</v>
      </c>
      <c r="E155" s="36"/>
      <c r="F155" s="36">
        <v>400.0</v>
      </c>
      <c r="G155" s="32"/>
      <c r="H155" s="21">
        <v>1020.0</v>
      </c>
      <c r="I155" s="21"/>
      <c r="J155" s="21">
        <v>100.0</v>
      </c>
      <c r="K155" s="25">
        <f t="shared" si="33"/>
        <v>1830</v>
      </c>
    </row>
    <row r="156" ht="13.5" customHeight="1">
      <c r="A156" s="18" t="s">
        <v>35</v>
      </c>
      <c r="B156" s="30">
        <v>2.0</v>
      </c>
      <c r="C156" s="31" t="s">
        <v>36</v>
      </c>
      <c r="D156" s="21"/>
      <c r="E156" s="36"/>
      <c r="F156" s="36"/>
      <c r="G156" s="32"/>
      <c r="H156" s="21"/>
      <c r="I156" s="21"/>
      <c r="J156" s="21"/>
      <c r="K156" s="25">
        <f t="shared" si="33"/>
        <v>0</v>
      </c>
    </row>
    <row r="157" ht="13.5" customHeight="1">
      <c r="A157" s="26" t="s">
        <v>37</v>
      </c>
      <c r="B157" s="33"/>
      <c r="C157" s="34"/>
      <c r="D157" s="21"/>
      <c r="E157" s="36"/>
      <c r="F157" s="36"/>
      <c r="G157" s="32"/>
      <c r="H157" s="21"/>
      <c r="I157" s="21"/>
      <c r="J157" s="21"/>
      <c r="K157" s="25">
        <f t="shared" si="33"/>
        <v>0</v>
      </c>
    </row>
    <row r="158" ht="14.25" customHeight="1">
      <c r="A158" s="18" t="s">
        <v>38</v>
      </c>
      <c r="B158" s="19" t="s">
        <v>39</v>
      </c>
      <c r="C158" s="19" t="s">
        <v>40</v>
      </c>
      <c r="D158" s="21">
        <v>430.0</v>
      </c>
      <c r="E158" s="36"/>
      <c r="F158" s="36">
        <v>510.0</v>
      </c>
      <c r="G158" s="21"/>
      <c r="H158" s="21">
        <v>5580.0</v>
      </c>
      <c r="I158" s="21"/>
      <c r="J158" s="21">
        <v>290.0</v>
      </c>
      <c r="K158" s="25">
        <f t="shared" si="33"/>
        <v>6810</v>
      </c>
      <c r="L158" s="47"/>
      <c r="M158" s="12"/>
    </row>
    <row r="159" ht="13.5" customHeight="1">
      <c r="A159" s="35" t="s">
        <v>41</v>
      </c>
      <c r="B159" s="27"/>
      <c r="C159" s="27"/>
      <c r="D159" s="21">
        <v>430.0</v>
      </c>
      <c r="E159" s="21"/>
      <c r="F159" s="21">
        <v>520.0</v>
      </c>
      <c r="G159" s="21"/>
      <c r="H159" s="21">
        <v>5600.0</v>
      </c>
      <c r="I159" s="21"/>
      <c r="J159" s="21">
        <v>310.0</v>
      </c>
      <c r="K159" s="25">
        <f t="shared" si="33"/>
        <v>6860</v>
      </c>
    </row>
    <row r="160" ht="13.5" customHeight="1">
      <c r="A160" s="40" t="s">
        <v>7</v>
      </c>
      <c r="B160" s="40"/>
      <c r="C160" s="40"/>
      <c r="D160" s="10">
        <f t="shared" ref="D160:J160" si="34">SUM(D154:D159)</f>
        <v>1470</v>
      </c>
      <c r="E160" s="10">
        <f t="shared" si="34"/>
        <v>0</v>
      </c>
      <c r="F160" s="10">
        <f t="shared" si="34"/>
        <v>1840</v>
      </c>
      <c r="G160" s="10">
        <f t="shared" si="34"/>
        <v>0</v>
      </c>
      <c r="H160" s="10">
        <f t="shared" si="34"/>
        <v>13250</v>
      </c>
      <c r="I160" s="10">
        <f t="shared" si="34"/>
        <v>0</v>
      </c>
      <c r="J160" s="10">
        <f t="shared" si="34"/>
        <v>800</v>
      </c>
      <c r="K160" s="25">
        <f t="shared" si="33"/>
        <v>17360</v>
      </c>
    </row>
    <row r="161" ht="13.5" customHeight="1">
      <c r="A161" s="48" t="s">
        <v>389</v>
      </c>
    </row>
    <row r="162" ht="13.5" customHeight="1">
      <c r="A162" s="14" t="s">
        <v>25</v>
      </c>
      <c r="B162" s="14" t="s">
        <v>1</v>
      </c>
      <c r="C162" s="14" t="s">
        <v>27</v>
      </c>
      <c r="D162" s="15" t="s">
        <v>2</v>
      </c>
      <c r="E162" s="10" t="s">
        <v>28</v>
      </c>
      <c r="F162" s="16" t="s">
        <v>3</v>
      </c>
      <c r="G162" s="15" t="s">
        <v>4</v>
      </c>
      <c r="H162" s="15" t="s">
        <v>5</v>
      </c>
      <c r="I162" s="15" t="s">
        <v>29</v>
      </c>
      <c r="J162" s="14" t="s">
        <v>30</v>
      </c>
      <c r="K162" s="17" t="s">
        <v>7</v>
      </c>
    </row>
    <row r="163" ht="13.5" customHeight="1">
      <c r="A163" s="18" t="s">
        <v>31</v>
      </c>
      <c r="B163" s="19">
        <v>1.2</v>
      </c>
      <c r="C163" s="20" t="s">
        <v>33</v>
      </c>
      <c r="D163" s="21">
        <v>300.0</v>
      </c>
      <c r="E163" s="36"/>
      <c r="F163" s="36">
        <v>380.0</v>
      </c>
      <c r="G163" s="32"/>
      <c r="H163" s="21">
        <v>1120.0</v>
      </c>
      <c r="I163" s="21"/>
      <c r="J163" s="24">
        <v>100.0</v>
      </c>
      <c r="K163" s="25">
        <f t="shared" ref="K163:K169" si="35">SUM(D163:J163)</f>
        <v>1900</v>
      </c>
    </row>
    <row r="164" ht="13.5" customHeight="1">
      <c r="A164" s="26" t="s">
        <v>34</v>
      </c>
      <c r="B164" s="27"/>
      <c r="C164" s="28"/>
      <c r="D164" s="21">
        <v>300.0</v>
      </c>
      <c r="E164" s="36"/>
      <c r="F164" s="36">
        <v>400.0</v>
      </c>
      <c r="G164" s="32"/>
      <c r="H164" s="21">
        <v>1080.0</v>
      </c>
      <c r="I164" s="21"/>
      <c r="J164" s="29">
        <v>100.0</v>
      </c>
      <c r="K164" s="25">
        <f t="shared" si="35"/>
        <v>1880</v>
      </c>
    </row>
    <row r="165" ht="13.5" customHeight="1">
      <c r="A165" s="18" t="s">
        <v>35</v>
      </c>
      <c r="B165" s="30">
        <v>2.0</v>
      </c>
      <c r="C165" s="31" t="s">
        <v>36</v>
      </c>
      <c r="D165" s="21"/>
      <c r="E165" s="36"/>
      <c r="F165" s="36"/>
      <c r="G165" s="32"/>
      <c r="H165" s="21"/>
      <c r="I165" s="21"/>
      <c r="J165" s="24"/>
      <c r="K165" s="25">
        <f t="shared" si="35"/>
        <v>0</v>
      </c>
    </row>
    <row r="166" ht="13.5" customHeight="1">
      <c r="A166" s="26" t="s">
        <v>37</v>
      </c>
      <c r="B166" s="33"/>
      <c r="C166" s="34"/>
      <c r="D166" s="21"/>
      <c r="E166" s="36"/>
      <c r="F166" s="36"/>
      <c r="G166" s="21"/>
      <c r="H166" s="21"/>
      <c r="I166" s="21"/>
      <c r="J166" s="29"/>
      <c r="K166" s="25">
        <f t="shared" si="35"/>
        <v>0</v>
      </c>
    </row>
    <row r="167" ht="14.25" customHeight="1">
      <c r="A167" s="18" t="s">
        <v>38</v>
      </c>
      <c r="B167" s="19" t="s">
        <v>39</v>
      </c>
      <c r="C167" s="19" t="s">
        <v>40</v>
      </c>
      <c r="D167" s="21">
        <v>420.0</v>
      </c>
      <c r="E167" s="36"/>
      <c r="F167" s="36">
        <v>500.0</v>
      </c>
      <c r="G167" s="21"/>
      <c r="H167" s="21">
        <v>5760.0</v>
      </c>
      <c r="I167" s="21"/>
      <c r="J167" s="21">
        <v>290.0</v>
      </c>
      <c r="K167" s="25">
        <f t="shared" si="35"/>
        <v>6970</v>
      </c>
      <c r="L167" s="47"/>
      <c r="M167" s="12"/>
    </row>
    <row r="168" ht="13.5" customHeight="1">
      <c r="A168" s="35" t="s">
        <v>41</v>
      </c>
      <c r="B168" s="27"/>
      <c r="C168" s="27"/>
      <c r="D168" s="21">
        <v>420.0</v>
      </c>
      <c r="E168" s="21"/>
      <c r="F168" s="21">
        <v>500.0</v>
      </c>
      <c r="G168" s="21"/>
      <c r="H168" s="21">
        <v>5450.0</v>
      </c>
      <c r="I168" s="21"/>
      <c r="J168" s="21">
        <v>330.0</v>
      </c>
      <c r="K168" s="25">
        <f t="shared" si="35"/>
        <v>6700</v>
      </c>
    </row>
    <row r="169" ht="13.5" customHeight="1">
      <c r="A169" s="40" t="s">
        <v>7</v>
      </c>
      <c r="B169" s="40"/>
      <c r="C169" s="40"/>
      <c r="D169" s="10">
        <f t="shared" ref="D169:J169" si="36">SUM(D163:D168)</f>
        <v>1440</v>
      </c>
      <c r="E169" s="10">
        <f t="shared" si="36"/>
        <v>0</v>
      </c>
      <c r="F169" s="10">
        <f t="shared" si="36"/>
        <v>1780</v>
      </c>
      <c r="G169" s="10">
        <f t="shared" si="36"/>
        <v>0</v>
      </c>
      <c r="H169" s="10">
        <f t="shared" si="36"/>
        <v>13410</v>
      </c>
      <c r="I169" s="10">
        <f t="shared" si="36"/>
        <v>0</v>
      </c>
      <c r="J169" s="10">
        <f t="shared" si="36"/>
        <v>820</v>
      </c>
      <c r="K169" s="25">
        <f t="shared" si="35"/>
        <v>17450</v>
      </c>
    </row>
    <row r="170" ht="13.5" customHeight="1">
      <c r="A170" s="48" t="s">
        <v>390</v>
      </c>
    </row>
    <row r="171" ht="13.5" customHeight="1">
      <c r="A171" s="14"/>
      <c r="B171" s="14" t="s">
        <v>1</v>
      </c>
      <c r="C171" s="14" t="s">
        <v>27</v>
      </c>
      <c r="D171" s="15" t="s">
        <v>2</v>
      </c>
      <c r="E171" s="10" t="s">
        <v>28</v>
      </c>
      <c r="F171" s="16" t="s">
        <v>3</v>
      </c>
      <c r="G171" s="15" t="s">
        <v>4</v>
      </c>
      <c r="H171" s="15" t="s">
        <v>5</v>
      </c>
      <c r="I171" s="15" t="s">
        <v>77</v>
      </c>
      <c r="J171" s="14" t="s">
        <v>30</v>
      </c>
      <c r="K171" s="17" t="s">
        <v>7</v>
      </c>
    </row>
    <row r="172" ht="13.5" customHeight="1">
      <c r="A172" s="18" t="s">
        <v>31</v>
      </c>
      <c r="B172" s="19">
        <v>1.2</v>
      </c>
      <c r="C172" s="20" t="s">
        <v>33</v>
      </c>
      <c r="D172" s="21">
        <v>300.0</v>
      </c>
      <c r="E172" s="36"/>
      <c r="F172" s="36">
        <v>400.0</v>
      </c>
      <c r="G172" s="32"/>
      <c r="H172" s="21">
        <v>900.0</v>
      </c>
      <c r="I172" s="21"/>
      <c r="J172" s="24">
        <v>100.0</v>
      </c>
      <c r="K172" s="25">
        <f t="shared" ref="K172:K178" si="37">SUM(D172:J172)</f>
        <v>1700</v>
      </c>
    </row>
    <row r="173" ht="13.5" customHeight="1">
      <c r="A173" s="26" t="s">
        <v>34</v>
      </c>
      <c r="B173" s="27"/>
      <c r="C173" s="28"/>
      <c r="D173" s="21">
        <v>300.0</v>
      </c>
      <c r="E173" s="36"/>
      <c r="F173" s="36">
        <v>420.0</v>
      </c>
      <c r="G173" s="32"/>
      <c r="H173" s="21">
        <v>820.0</v>
      </c>
      <c r="I173" s="21"/>
      <c r="J173" s="24"/>
      <c r="K173" s="25">
        <f t="shared" si="37"/>
        <v>1540</v>
      </c>
    </row>
    <row r="174" ht="13.5" customHeight="1">
      <c r="A174" s="18" t="s">
        <v>35</v>
      </c>
      <c r="B174" s="30">
        <v>2.0</v>
      </c>
      <c r="C174" s="31" t="s">
        <v>36</v>
      </c>
      <c r="D174" s="21"/>
      <c r="E174" s="36"/>
      <c r="F174" s="41"/>
      <c r="G174" s="32"/>
      <c r="H174" s="21"/>
      <c r="I174" s="21"/>
      <c r="J174" s="24"/>
      <c r="K174" s="25">
        <f t="shared" si="37"/>
        <v>0</v>
      </c>
    </row>
    <row r="175" ht="13.5" customHeight="1">
      <c r="A175" s="26" t="s">
        <v>37</v>
      </c>
      <c r="B175" s="33"/>
      <c r="C175" s="34"/>
      <c r="D175" s="21"/>
      <c r="E175" s="36"/>
      <c r="F175" s="41"/>
      <c r="G175" s="32"/>
      <c r="H175" s="21"/>
      <c r="I175" s="21"/>
      <c r="J175" s="29"/>
      <c r="K175" s="25">
        <f t="shared" si="37"/>
        <v>0</v>
      </c>
    </row>
    <row r="176" ht="14.25" customHeight="1">
      <c r="A176" s="18" t="s">
        <v>38</v>
      </c>
      <c r="B176" s="19" t="s">
        <v>39</v>
      </c>
      <c r="C176" s="19" t="s">
        <v>40</v>
      </c>
      <c r="D176" s="21">
        <v>420.0</v>
      </c>
      <c r="E176" s="36"/>
      <c r="F176" s="36">
        <v>500.0</v>
      </c>
      <c r="G176" s="21"/>
      <c r="H176" s="21">
        <v>5490.0</v>
      </c>
      <c r="I176" s="21"/>
      <c r="J176" s="21">
        <v>320.0</v>
      </c>
      <c r="K176" s="25">
        <f t="shared" si="37"/>
        <v>6730</v>
      </c>
      <c r="L176" s="47"/>
      <c r="M176" s="12"/>
    </row>
    <row r="177" ht="13.5" customHeight="1">
      <c r="A177" s="35" t="s">
        <v>41</v>
      </c>
      <c r="B177" s="27"/>
      <c r="C177" s="27"/>
      <c r="D177" s="21">
        <v>420.0</v>
      </c>
      <c r="E177" s="36"/>
      <c r="F177" s="36">
        <v>500.0</v>
      </c>
      <c r="G177" s="21"/>
      <c r="H177" s="21">
        <v>5290.0</v>
      </c>
      <c r="I177" s="21"/>
      <c r="J177" s="21">
        <v>290.0</v>
      </c>
      <c r="K177" s="25">
        <f t="shared" si="37"/>
        <v>6500</v>
      </c>
    </row>
    <row r="178" ht="13.5" customHeight="1">
      <c r="A178" s="40" t="s">
        <v>7</v>
      </c>
      <c r="B178" s="40"/>
      <c r="C178" s="40"/>
      <c r="D178" s="10">
        <f t="shared" ref="D178:J178" si="38">SUM(D172:D177)</f>
        <v>1440</v>
      </c>
      <c r="E178" s="10">
        <f t="shared" si="38"/>
        <v>0</v>
      </c>
      <c r="F178" s="10">
        <f t="shared" si="38"/>
        <v>1820</v>
      </c>
      <c r="G178" s="10">
        <f t="shared" si="38"/>
        <v>0</v>
      </c>
      <c r="H178" s="10">
        <f t="shared" si="38"/>
        <v>12500</v>
      </c>
      <c r="I178" s="10">
        <f t="shared" si="38"/>
        <v>0</v>
      </c>
      <c r="J178" s="10">
        <f t="shared" si="38"/>
        <v>710</v>
      </c>
      <c r="K178" s="25">
        <f t="shared" si="37"/>
        <v>16470</v>
      </c>
    </row>
    <row r="179" ht="13.5" customHeight="1">
      <c r="A179" s="48" t="s">
        <v>391</v>
      </c>
    </row>
    <row r="180" ht="13.5" customHeight="1">
      <c r="A180" s="14" t="s">
        <v>25</v>
      </c>
      <c r="B180" s="14" t="s">
        <v>1</v>
      </c>
      <c r="C180" s="14" t="s">
        <v>27</v>
      </c>
      <c r="D180" s="15" t="s">
        <v>2</v>
      </c>
      <c r="E180" s="10" t="s">
        <v>28</v>
      </c>
      <c r="F180" s="16" t="s">
        <v>3</v>
      </c>
      <c r="G180" s="15" t="s">
        <v>4</v>
      </c>
      <c r="H180" s="15" t="s">
        <v>5</v>
      </c>
      <c r="I180" s="15" t="s">
        <v>77</v>
      </c>
      <c r="J180" s="14" t="s">
        <v>30</v>
      </c>
      <c r="K180" s="17" t="s">
        <v>7</v>
      </c>
    </row>
    <row r="181" ht="13.5" customHeight="1">
      <c r="A181" s="18" t="s">
        <v>31</v>
      </c>
      <c r="B181" s="43">
        <v>1.2</v>
      </c>
      <c r="C181" s="20" t="s">
        <v>33</v>
      </c>
      <c r="D181" s="21">
        <v>300.0</v>
      </c>
      <c r="E181" s="36"/>
      <c r="F181" s="41">
        <v>420.0</v>
      </c>
      <c r="G181" s="32"/>
      <c r="H181" s="21">
        <v>930.0</v>
      </c>
      <c r="I181" s="21"/>
      <c r="J181" s="24">
        <v>70.0</v>
      </c>
      <c r="K181" s="25">
        <f t="shared" ref="K181:K187" si="39">SUM(D181:J181)</f>
        <v>1720</v>
      </c>
    </row>
    <row r="182" ht="13.5" customHeight="1">
      <c r="A182" s="26" t="s">
        <v>34</v>
      </c>
      <c r="C182" s="28"/>
      <c r="D182" s="21">
        <v>300.0</v>
      </c>
      <c r="E182" s="36"/>
      <c r="F182" s="41">
        <v>400.0</v>
      </c>
      <c r="G182" s="32"/>
      <c r="H182" s="21">
        <v>1150.0</v>
      </c>
      <c r="I182" s="21"/>
      <c r="J182" s="29">
        <v>80.0</v>
      </c>
      <c r="K182" s="25">
        <f t="shared" si="39"/>
        <v>1930</v>
      </c>
    </row>
    <row r="183" ht="13.5" customHeight="1">
      <c r="A183" s="18" t="s">
        <v>35</v>
      </c>
      <c r="B183" s="30">
        <v>2.0</v>
      </c>
      <c r="C183" s="31"/>
      <c r="D183" s="21"/>
      <c r="E183" s="36"/>
      <c r="F183" s="41"/>
      <c r="G183" s="32"/>
      <c r="H183" s="21"/>
      <c r="I183" s="21"/>
      <c r="J183" s="24"/>
      <c r="K183" s="25">
        <f t="shared" si="39"/>
        <v>0</v>
      </c>
    </row>
    <row r="184" ht="13.5" customHeight="1">
      <c r="A184" s="26" t="s">
        <v>37</v>
      </c>
      <c r="B184" s="33"/>
      <c r="C184" s="34"/>
      <c r="D184" s="21"/>
      <c r="E184" s="36"/>
      <c r="F184" s="41"/>
      <c r="G184" s="32"/>
      <c r="H184" s="21"/>
      <c r="I184" s="21"/>
      <c r="J184" s="29"/>
      <c r="K184" s="25">
        <f t="shared" si="39"/>
        <v>0</v>
      </c>
    </row>
    <row r="185" ht="14.25" customHeight="1">
      <c r="A185" s="18" t="s">
        <v>38</v>
      </c>
      <c r="B185" s="19" t="s">
        <v>39</v>
      </c>
      <c r="C185" s="19" t="s">
        <v>40</v>
      </c>
      <c r="D185" s="21">
        <v>430.0</v>
      </c>
      <c r="E185" s="36"/>
      <c r="F185" s="36">
        <v>520.0</v>
      </c>
      <c r="G185" s="21"/>
      <c r="H185" s="21">
        <v>5370.0</v>
      </c>
      <c r="I185" s="21"/>
      <c r="J185" s="21">
        <v>300.0</v>
      </c>
      <c r="K185" s="25">
        <f t="shared" si="39"/>
        <v>6620</v>
      </c>
      <c r="L185" s="47"/>
      <c r="M185" s="12"/>
    </row>
    <row r="186" ht="13.5" customHeight="1">
      <c r="A186" s="35" t="s">
        <v>41</v>
      </c>
      <c r="B186" s="27"/>
      <c r="C186" s="27"/>
      <c r="D186" s="21">
        <v>420.0</v>
      </c>
      <c r="E186" s="21"/>
      <c r="F186" s="21">
        <v>530.0</v>
      </c>
      <c r="G186" s="21"/>
      <c r="H186" s="21">
        <v>5370.0</v>
      </c>
      <c r="I186" s="21"/>
      <c r="J186" s="21">
        <v>280.0</v>
      </c>
      <c r="K186" s="25">
        <f t="shared" si="39"/>
        <v>6600</v>
      </c>
    </row>
    <row r="187" ht="13.5" customHeight="1">
      <c r="A187" s="40" t="s">
        <v>7</v>
      </c>
      <c r="B187" s="40"/>
      <c r="C187" s="40"/>
      <c r="D187" s="10">
        <f t="shared" ref="D187:J187" si="40">SUM(D181:D186)</f>
        <v>1450</v>
      </c>
      <c r="E187" s="10">
        <f t="shared" si="40"/>
        <v>0</v>
      </c>
      <c r="F187" s="10">
        <f t="shared" si="40"/>
        <v>1870</v>
      </c>
      <c r="G187" s="10">
        <f t="shared" si="40"/>
        <v>0</v>
      </c>
      <c r="H187" s="10">
        <f t="shared" si="40"/>
        <v>12820</v>
      </c>
      <c r="I187" s="10">
        <f t="shared" si="40"/>
        <v>0</v>
      </c>
      <c r="J187" s="10">
        <f t="shared" si="40"/>
        <v>730</v>
      </c>
      <c r="K187" s="25">
        <f t="shared" si="39"/>
        <v>16870</v>
      </c>
    </row>
    <row r="188" ht="13.5" customHeight="1">
      <c r="A188" s="48" t="s">
        <v>392</v>
      </c>
    </row>
    <row r="189" ht="13.5" customHeight="1">
      <c r="A189" s="14" t="s">
        <v>25</v>
      </c>
      <c r="B189" s="14" t="s">
        <v>1</v>
      </c>
      <c r="C189" s="14" t="s">
        <v>27</v>
      </c>
      <c r="D189" s="15" t="s">
        <v>2</v>
      </c>
      <c r="E189" s="10" t="s">
        <v>28</v>
      </c>
      <c r="F189" s="16" t="s">
        <v>3</v>
      </c>
      <c r="G189" s="15" t="s">
        <v>4</v>
      </c>
      <c r="H189" s="15" t="s">
        <v>5</v>
      </c>
      <c r="I189" s="15" t="s">
        <v>82</v>
      </c>
      <c r="J189" s="14" t="s">
        <v>30</v>
      </c>
      <c r="K189" s="17" t="s">
        <v>7</v>
      </c>
    </row>
    <row r="190" ht="13.5" customHeight="1">
      <c r="A190" s="18" t="s">
        <v>31</v>
      </c>
      <c r="B190" s="19">
        <v>1.2</v>
      </c>
      <c r="C190" s="20" t="s">
        <v>33</v>
      </c>
      <c r="D190" s="21">
        <v>300.0</v>
      </c>
      <c r="E190" s="36"/>
      <c r="F190" s="36"/>
      <c r="G190" s="32"/>
      <c r="H190" s="21">
        <v>930.0</v>
      </c>
      <c r="I190" s="21"/>
      <c r="J190" s="50">
        <v>70.0</v>
      </c>
      <c r="K190" s="25">
        <f t="shared" ref="K190:K196" si="41">SUM(D190:J190)</f>
        <v>1300</v>
      </c>
    </row>
    <row r="191" ht="13.5" customHeight="1">
      <c r="A191" s="26" t="s">
        <v>34</v>
      </c>
      <c r="B191" s="27"/>
      <c r="C191" s="28"/>
      <c r="D191" s="21">
        <v>300.0</v>
      </c>
      <c r="E191" s="36"/>
      <c r="F191" s="36"/>
      <c r="G191" s="32"/>
      <c r="H191" s="21">
        <v>1150.0</v>
      </c>
      <c r="I191" s="21"/>
      <c r="J191" s="51">
        <v>80.0</v>
      </c>
      <c r="K191" s="25">
        <f t="shared" si="41"/>
        <v>1530</v>
      </c>
    </row>
    <row r="192" ht="13.5" customHeight="1">
      <c r="A192" s="18" t="s">
        <v>35</v>
      </c>
      <c r="B192" s="30">
        <v>2.0</v>
      </c>
      <c r="C192" s="31" t="s">
        <v>36</v>
      </c>
      <c r="D192" s="21"/>
      <c r="E192" s="36"/>
      <c r="F192" s="36"/>
      <c r="G192" s="32"/>
      <c r="H192" s="21"/>
      <c r="I192" s="21"/>
      <c r="J192" s="50"/>
      <c r="K192" s="25">
        <f t="shared" si="41"/>
        <v>0</v>
      </c>
    </row>
    <row r="193" ht="13.5" customHeight="1">
      <c r="A193" s="26" t="s">
        <v>37</v>
      </c>
      <c r="B193" s="33"/>
      <c r="C193" s="34"/>
      <c r="D193" s="10"/>
      <c r="E193" s="10"/>
      <c r="F193" s="10"/>
      <c r="G193" s="32"/>
      <c r="H193" s="10"/>
      <c r="I193" s="10"/>
      <c r="J193" s="52"/>
      <c r="K193" s="25">
        <f t="shared" si="41"/>
        <v>0</v>
      </c>
    </row>
    <row r="194" ht="14.25" customHeight="1">
      <c r="A194" s="18" t="s">
        <v>38</v>
      </c>
      <c r="B194" s="19" t="s">
        <v>39</v>
      </c>
      <c r="C194" s="19" t="s">
        <v>40</v>
      </c>
      <c r="D194" s="21">
        <v>430.0</v>
      </c>
      <c r="E194" s="36"/>
      <c r="F194" s="36">
        <v>520.0</v>
      </c>
      <c r="G194" s="21"/>
      <c r="H194" s="21">
        <v>5370.0</v>
      </c>
      <c r="I194" s="21"/>
      <c r="J194" s="21">
        <v>300.0</v>
      </c>
      <c r="K194" s="25">
        <f t="shared" si="41"/>
        <v>6620</v>
      </c>
      <c r="L194" s="47"/>
      <c r="M194" s="12"/>
    </row>
    <row r="195" ht="13.5" customHeight="1">
      <c r="A195" s="35" t="s">
        <v>41</v>
      </c>
      <c r="B195" s="27"/>
      <c r="C195" s="27"/>
      <c r="D195" s="21">
        <v>420.0</v>
      </c>
      <c r="E195" s="21"/>
      <c r="F195" s="21">
        <v>530.0</v>
      </c>
      <c r="G195" s="21"/>
      <c r="H195" s="21">
        <v>5370.0</v>
      </c>
      <c r="I195" s="21"/>
      <c r="J195" s="21">
        <v>280.0</v>
      </c>
      <c r="K195" s="25">
        <f t="shared" si="41"/>
        <v>6600</v>
      </c>
    </row>
    <row r="196" ht="13.5" customHeight="1">
      <c r="A196" s="40" t="s">
        <v>7</v>
      </c>
      <c r="B196" s="40"/>
      <c r="C196" s="40"/>
      <c r="D196" s="10">
        <f t="shared" ref="D196:J196" si="42">SUM(D190:D195)</f>
        <v>1450</v>
      </c>
      <c r="E196" s="10">
        <f t="shared" si="42"/>
        <v>0</v>
      </c>
      <c r="F196" s="10">
        <f t="shared" si="42"/>
        <v>1050</v>
      </c>
      <c r="G196" s="10">
        <f t="shared" si="42"/>
        <v>0</v>
      </c>
      <c r="H196" s="10">
        <f t="shared" si="42"/>
        <v>12820</v>
      </c>
      <c r="I196" s="10">
        <f t="shared" si="42"/>
        <v>0</v>
      </c>
      <c r="J196" s="10">
        <f t="shared" si="42"/>
        <v>730</v>
      </c>
      <c r="K196" s="25">
        <f t="shared" si="41"/>
        <v>16050</v>
      </c>
    </row>
    <row r="197" ht="13.5" customHeight="1"/>
    <row r="198" ht="13.5" customHeight="1">
      <c r="A198" s="48" t="s">
        <v>393</v>
      </c>
    </row>
    <row r="199" ht="13.5" customHeight="1">
      <c r="A199" s="14" t="s">
        <v>25</v>
      </c>
      <c r="B199" s="14" t="s">
        <v>1</v>
      </c>
      <c r="C199" s="14" t="s">
        <v>27</v>
      </c>
      <c r="D199" s="15" t="s">
        <v>2</v>
      </c>
      <c r="E199" s="10" t="s">
        <v>28</v>
      </c>
      <c r="F199" s="16" t="s">
        <v>3</v>
      </c>
      <c r="G199" s="15" t="s">
        <v>4</v>
      </c>
      <c r="H199" s="15" t="s">
        <v>5</v>
      </c>
      <c r="I199" s="15" t="s">
        <v>29</v>
      </c>
      <c r="J199" s="14" t="s">
        <v>30</v>
      </c>
      <c r="K199" s="17" t="s">
        <v>7</v>
      </c>
    </row>
    <row r="200" ht="13.5" customHeight="1">
      <c r="A200" s="18" t="s">
        <v>31</v>
      </c>
      <c r="B200" s="19">
        <v>1.2</v>
      </c>
      <c r="C200" s="20" t="s">
        <v>33</v>
      </c>
      <c r="D200" s="21">
        <v>320.0</v>
      </c>
      <c r="E200" s="36"/>
      <c r="F200" s="41">
        <v>430.0</v>
      </c>
      <c r="G200" s="32"/>
      <c r="H200" s="21">
        <v>1030.0</v>
      </c>
      <c r="I200" s="21"/>
      <c r="J200" s="24">
        <v>80.0</v>
      </c>
      <c r="K200" s="25">
        <f t="shared" ref="K200:K206" si="43">SUM(D200:J200)</f>
        <v>1860</v>
      </c>
    </row>
    <row r="201" ht="13.5" customHeight="1">
      <c r="A201" s="26" t="s">
        <v>34</v>
      </c>
      <c r="B201" s="27"/>
      <c r="C201" s="28"/>
      <c r="D201" s="21">
        <v>310.0</v>
      </c>
      <c r="E201" s="36"/>
      <c r="F201" s="41">
        <v>420.0</v>
      </c>
      <c r="G201" s="32"/>
      <c r="H201" s="21">
        <v>1020.0</v>
      </c>
      <c r="I201" s="21"/>
      <c r="J201" s="29">
        <v>90.0</v>
      </c>
      <c r="K201" s="25">
        <f t="shared" si="43"/>
        <v>1840</v>
      </c>
    </row>
    <row r="202" ht="13.5" customHeight="1">
      <c r="A202" s="18" t="s">
        <v>35</v>
      </c>
      <c r="B202" s="30">
        <v>2.0</v>
      </c>
      <c r="C202" s="31" t="s">
        <v>36</v>
      </c>
      <c r="D202" s="21"/>
      <c r="E202" s="41"/>
      <c r="F202" s="10"/>
      <c r="G202" s="32"/>
      <c r="H202" s="21"/>
      <c r="I202" s="24"/>
      <c r="J202" s="24"/>
      <c r="K202" s="25">
        <f t="shared" si="43"/>
        <v>0</v>
      </c>
    </row>
    <row r="203" ht="13.5" customHeight="1">
      <c r="A203" s="26" t="s">
        <v>37</v>
      </c>
      <c r="B203" s="33"/>
      <c r="C203" s="34"/>
      <c r="D203" s="21"/>
      <c r="E203" s="36"/>
      <c r="F203" s="36"/>
      <c r="G203" s="32"/>
      <c r="H203" s="21"/>
      <c r="I203" s="29"/>
      <c r="J203" s="29"/>
      <c r="K203" s="25">
        <f t="shared" si="43"/>
        <v>0</v>
      </c>
    </row>
    <row r="204" ht="14.25" customHeight="1">
      <c r="A204" s="18" t="s">
        <v>38</v>
      </c>
      <c r="B204" s="19" t="s">
        <v>39</v>
      </c>
      <c r="C204" s="19" t="s">
        <v>40</v>
      </c>
      <c r="D204" s="21">
        <v>430.0</v>
      </c>
      <c r="E204" s="36"/>
      <c r="F204" s="36">
        <v>510.0</v>
      </c>
      <c r="G204" s="21"/>
      <c r="H204" s="21">
        <v>5630.0</v>
      </c>
      <c r="I204" s="21"/>
      <c r="J204" s="24">
        <v>290.0</v>
      </c>
      <c r="K204" s="25">
        <f t="shared" si="43"/>
        <v>6860</v>
      </c>
      <c r="L204" s="47"/>
      <c r="M204" s="12"/>
    </row>
    <row r="205" ht="13.5" customHeight="1">
      <c r="A205" s="35" t="s">
        <v>41</v>
      </c>
      <c r="B205" s="27"/>
      <c r="C205" s="27"/>
      <c r="D205" s="21">
        <v>430.0</v>
      </c>
      <c r="E205" s="36"/>
      <c r="F205" s="36">
        <v>520.0</v>
      </c>
      <c r="G205" s="21"/>
      <c r="H205" s="21">
        <v>5640.0</v>
      </c>
      <c r="I205" s="21"/>
      <c r="J205" s="39">
        <v>300.0</v>
      </c>
      <c r="K205" s="25">
        <f t="shared" si="43"/>
        <v>6890</v>
      </c>
    </row>
    <row r="206" ht="13.5" customHeight="1">
      <c r="A206" s="40" t="s">
        <v>7</v>
      </c>
      <c r="B206" s="40"/>
      <c r="C206" s="40"/>
      <c r="D206" s="10">
        <f t="shared" ref="D206:J206" si="44">SUM(D200:D205)</f>
        <v>1490</v>
      </c>
      <c r="E206" s="10">
        <f t="shared" si="44"/>
        <v>0</v>
      </c>
      <c r="F206" s="10">
        <f t="shared" si="44"/>
        <v>1880</v>
      </c>
      <c r="G206" s="10">
        <f t="shared" si="44"/>
        <v>0</v>
      </c>
      <c r="H206" s="10">
        <f t="shared" si="44"/>
        <v>13320</v>
      </c>
      <c r="I206" s="10">
        <f t="shared" si="44"/>
        <v>0</v>
      </c>
      <c r="J206" s="10">
        <f t="shared" si="44"/>
        <v>760</v>
      </c>
      <c r="K206" s="25">
        <f t="shared" si="43"/>
        <v>17450</v>
      </c>
    </row>
    <row r="207" ht="13.5" customHeight="1"/>
    <row r="208" ht="13.5" customHeight="1">
      <c r="A208" s="48" t="s">
        <v>394</v>
      </c>
    </row>
    <row r="209" ht="13.5" customHeight="1">
      <c r="A209" s="14"/>
      <c r="B209" s="14" t="s">
        <v>1</v>
      </c>
      <c r="C209" s="14" t="s">
        <v>27</v>
      </c>
      <c r="D209" s="15" t="s">
        <v>2</v>
      </c>
      <c r="E209" s="10" t="s">
        <v>28</v>
      </c>
      <c r="F209" s="16" t="s">
        <v>3</v>
      </c>
      <c r="G209" s="15" t="s">
        <v>4</v>
      </c>
      <c r="H209" s="15" t="s">
        <v>5</v>
      </c>
      <c r="I209" s="15" t="s">
        <v>29</v>
      </c>
      <c r="J209" s="14" t="s">
        <v>30</v>
      </c>
      <c r="K209" s="17" t="s">
        <v>7</v>
      </c>
    </row>
    <row r="210" ht="13.5" customHeight="1">
      <c r="A210" s="18" t="s">
        <v>31</v>
      </c>
      <c r="B210" s="19">
        <v>1.2</v>
      </c>
      <c r="C210" s="20" t="s">
        <v>33</v>
      </c>
      <c r="D210" s="21">
        <v>320.0</v>
      </c>
      <c r="E210" s="36"/>
      <c r="F210" s="36">
        <v>400.0</v>
      </c>
      <c r="G210" s="32"/>
      <c r="H210" s="21">
        <v>1080.0</v>
      </c>
      <c r="I210" s="23"/>
      <c r="J210" s="24">
        <v>80.0</v>
      </c>
      <c r="K210" s="25">
        <f t="shared" ref="K210:K216" si="45">SUM(D210:J210)</f>
        <v>1880</v>
      </c>
      <c r="L210" s="43" t="s">
        <v>395</v>
      </c>
    </row>
    <row r="211" ht="13.5" customHeight="1">
      <c r="A211" s="26" t="s">
        <v>34</v>
      </c>
      <c r="B211" s="27"/>
      <c r="C211" s="28"/>
      <c r="D211" s="21">
        <v>300.0</v>
      </c>
      <c r="E211" s="36"/>
      <c r="F211" s="37">
        <v>400.0</v>
      </c>
      <c r="G211" s="53"/>
      <c r="H211" s="22">
        <v>790.0</v>
      </c>
      <c r="I211" s="29"/>
      <c r="J211" s="29">
        <v>50.0</v>
      </c>
      <c r="K211" s="25">
        <f t="shared" si="45"/>
        <v>1540</v>
      </c>
    </row>
    <row r="212" ht="13.5" customHeight="1">
      <c r="A212" s="18" t="s">
        <v>35</v>
      </c>
      <c r="B212" s="30">
        <v>2.0</v>
      </c>
      <c r="C212" s="31" t="s">
        <v>36</v>
      </c>
      <c r="D212" s="21"/>
      <c r="E212" s="36"/>
      <c r="F212" s="36"/>
      <c r="G212" s="21"/>
      <c r="H212" s="21"/>
      <c r="I212" s="21"/>
      <c r="J212" s="24"/>
      <c r="K212" s="25">
        <f t="shared" si="45"/>
        <v>0</v>
      </c>
    </row>
    <row r="213" ht="13.5" customHeight="1">
      <c r="A213" s="26" t="s">
        <v>37</v>
      </c>
      <c r="B213" s="33"/>
      <c r="C213" s="34"/>
      <c r="D213" s="21"/>
      <c r="E213" s="36"/>
      <c r="F213" s="36"/>
      <c r="G213" s="21"/>
      <c r="H213" s="21"/>
      <c r="I213" s="21"/>
      <c r="J213" s="29"/>
      <c r="K213" s="25">
        <f t="shared" si="45"/>
        <v>0</v>
      </c>
    </row>
    <row r="214" ht="14.25" customHeight="1">
      <c r="A214" s="18" t="s">
        <v>38</v>
      </c>
      <c r="B214" s="19" t="s">
        <v>39</v>
      </c>
      <c r="C214" s="19" t="s">
        <v>40</v>
      </c>
      <c r="D214" s="21">
        <v>430.0</v>
      </c>
      <c r="E214" s="36"/>
      <c r="F214" s="36">
        <v>500.0</v>
      </c>
      <c r="G214" s="21"/>
      <c r="H214" s="21">
        <v>5490.0</v>
      </c>
      <c r="I214" s="21"/>
      <c r="J214" s="24">
        <v>320.0</v>
      </c>
      <c r="K214" s="25">
        <f t="shared" si="45"/>
        <v>6740</v>
      </c>
      <c r="L214" s="47"/>
      <c r="M214" s="12"/>
    </row>
    <row r="215" ht="13.5" customHeight="1">
      <c r="A215" s="35" t="s">
        <v>41</v>
      </c>
      <c r="B215" s="27"/>
      <c r="C215" s="27"/>
      <c r="D215" s="21">
        <v>420.0</v>
      </c>
      <c r="E215" s="21"/>
      <c r="F215" s="21">
        <v>500.0</v>
      </c>
      <c r="G215" s="21"/>
      <c r="H215" s="21">
        <v>5360.0</v>
      </c>
      <c r="I215" s="21"/>
      <c r="J215" s="21">
        <v>320.0</v>
      </c>
      <c r="K215" s="25">
        <f t="shared" si="45"/>
        <v>6600</v>
      </c>
    </row>
    <row r="216" ht="13.5" customHeight="1">
      <c r="A216" s="40" t="s">
        <v>7</v>
      </c>
      <c r="B216" s="40"/>
      <c r="C216" s="40"/>
      <c r="D216" s="10">
        <f t="shared" ref="D216:J216" si="46">SUM(D210:D215)</f>
        <v>1470</v>
      </c>
      <c r="E216" s="10">
        <f t="shared" si="46"/>
        <v>0</v>
      </c>
      <c r="F216" s="10">
        <f t="shared" si="46"/>
        <v>1800</v>
      </c>
      <c r="G216" s="10">
        <f t="shared" si="46"/>
        <v>0</v>
      </c>
      <c r="H216" s="10">
        <f t="shared" si="46"/>
        <v>12720</v>
      </c>
      <c r="I216" s="10">
        <f t="shared" si="46"/>
        <v>0</v>
      </c>
      <c r="J216" s="10">
        <f t="shared" si="46"/>
        <v>770</v>
      </c>
      <c r="K216" s="25">
        <f t="shared" si="45"/>
        <v>16760</v>
      </c>
    </row>
    <row r="217" ht="13.5" customHeight="1"/>
    <row r="218" ht="13.5" customHeight="1">
      <c r="A218" s="48" t="s">
        <v>396</v>
      </c>
    </row>
    <row r="219" ht="13.5" customHeight="1">
      <c r="A219" s="14" t="s">
        <v>25</v>
      </c>
      <c r="B219" s="14" t="s">
        <v>1</v>
      </c>
      <c r="C219" s="14" t="s">
        <v>27</v>
      </c>
      <c r="D219" s="15" t="s">
        <v>2</v>
      </c>
      <c r="E219" s="10" t="s">
        <v>325</v>
      </c>
      <c r="F219" s="16" t="s">
        <v>3</v>
      </c>
      <c r="G219" s="15" t="s">
        <v>4</v>
      </c>
      <c r="H219" s="15" t="s">
        <v>5</v>
      </c>
      <c r="I219" s="15" t="s">
        <v>29</v>
      </c>
      <c r="J219" s="14" t="s">
        <v>30</v>
      </c>
      <c r="K219" s="17" t="s">
        <v>7</v>
      </c>
    </row>
    <row r="220" ht="13.5" customHeight="1">
      <c r="A220" s="18" t="s">
        <v>31</v>
      </c>
      <c r="B220" s="19">
        <v>1.2</v>
      </c>
      <c r="C220" s="20" t="s">
        <v>33</v>
      </c>
      <c r="D220" s="21">
        <v>320.0</v>
      </c>
      <c r="E220" s="36"/>
      <c r="F220" s="36">
        <v>410.0</v>
      </c>
      <c r="G220" s="32"/>
      <c r="H220" s="21">
        <v>1050.0</v>
      </c>
      <c r="I220" s="23"/>
      <c r="J220" s="24">
        <v>70.0</v>
      </c>
      <c r="K220" s="25">
        <f t="shared" ref="K220:K226" si="47">D220+F220+G220+H220+I220+J220</f>
        <v>1850</v>
      </c>
    </row>
    <row r="221" ht="13.5" customHeight="1">
      <c r="A221" s="26" t="s">
        <v>34</v>
      </c>
      <c r="B221" s="27"/>
      <c r="C221" s="28"/>
      <c r="D221" s="21">
        <v>110.0</v>
      </c>
      <c r="E221" s="36"/>
      <c r="F221" s="37">
        <v>210.0</v>
      </c>
      <c r="G221" s="53"/>
      <c r="H221" s="22"/>
      <c r="I221" s="29"/>
      <c r="J221" s="29"/>
      <c r="K221" s="25">
        <f t="shared" si="47"/>
        <v>320</v>
      </c>
    </row>
    <row r="222" ht="13.5" customHeight="1">
      <c r="A222" s="18" t="s">
        <v>35</v>
      </c>
      <c r="B222" s="30">
        <v>2.0</v>
      </c>
      <c r="C222" s="31" t="s">
        <v>36</v>
      </c>
      <c r="D222" s="21"/>
      <c r="E222" s="36"/>
      <c r="F222" s="36"/>
      <c r="G222" s="21"/>
      <c r="H222" s="21"/>
      <c r="I222" s="21"/>
      <c r="J222" s="24"/>
      <c r="K222" s="25">
        <f t="shared" si="47"/>
        <v>0</v>
      </c>
    </row>
    <row r="223" ht="13.5" customHeight="1">
      <c r="A223" s="26" t="s">
        <v>37</v>
      </c>
      <c r="B223" s="33"/>
      <c r="C223" s="34"/>
      <c r="D223" s="21"/>
      <c r="E223" s="36"/>
      <c r="F223" s="36"/>
      <c r="G223" s="21"/>
      <c r="H223" s="21"/>
      <c r="I223" s="21"/>
      <c r="J223" s="29"/>
      <c r="K223" s="25">
        <f t="shared" si="47"/>
        <v>0</v>
      </c>
    </row>
    <row r="224" ht="14.25" customHeight="1">
      <c r="A224" s="18" t="s">
        <v>38</v>
      </c>
      <c r="B224" s="19" t="s">
        <v>39</v>
      </c>
      <c r="C224" s="19" t="s">
        <v>40</v>
      </c>
      <c r="D224" s="21">
        <v>420.0</v>
      </c>
      <c r="E224" s="36"/>
      <c r="F224" s="36">
        <v>510.0</v>
      </c>
      <c r="G224" s="21"/>
      <c r="H224" s="21">
        <v>5620.0</v>
      </c>
      <c r="I224" s="21"/>
      <c r="J224" s="24">
        <v>300.0</v>
      </c>
      <c r="K224" s="25">
        <f t="shared" si="47"/>
        <v>6850</v>
      </c>
      <c r="L224" s="47"/>
      <c r="M224" s="12"/>
    </row>
    <row r="225" ht="13.5" customHeight="1">
      <c r="A225" s="35" t="s">
        <v>41</v>
      </c>
      <c r="B225" s="27"/>
      <c r="C225" s="27"/>
      <c r="D225" s="21">
        <v>430.0</v>
      </c>
      <c r="E225" s="36"/>
      <c r="F225" s="21">
        <v>510.0</v>
      </c>
      <c r="G225" s="21"/>
      <c r="H225" s="21">
        <v>5630.0</v>
      </c>
      <c r="I225" s="21"/>
      <c r="J225" s="21">
        <v>300.0</v>
      </c>
      <c r="K225" s="25">
        <f t="shared" si="47"/>
        <v>6870</v>
      </c>
    </row>
    <row r="226" ht="13.5" customHeight="1">
      <c r="A226" s="40" t="s">
        <v>7</v>
      </c>
      <c r="B226" s="40"/>
      <c r="C226" s="40"/>
      <c r="D226" s="10">
        <f t="shared" ref="D226:J226" si="48">SUM(D220:D225)</f>
        <v>1280</v>
      </c>
      <c r="E226" s="10">
        <f t="shared" si="48"/>
        <v>0</v>
      </c>
      <c r="F226" s="10">
        <f t="shared" si="48"/>
        <v>1640</v>
      </c>
      <c r="G226" s="10">
        <f t="shared" si="48"/>
        <v>0</v>
      </c>
      <c r="H226" s="10">
        <f t="shared" si="48"/>
        <v>12300</v>
      </c>
      <c r="I226" s="10">
        <f t="shared" si="48"/>
        <v>0</v>
      </c>
      <c r="J226" s="10">
        <f t="shared" si="48"/>
        <v>670</v>
      </c>
      <c r="K226" s="25">
        <f t="shared" si="47"/>
        <v>15890</v>
      </c>
    </row>
    <row r="227" ht="13.5" customHeight="1"/>
    <row r="228" ht="13.5" customHeight="1">
      <c r="A228" s="48" t="s">
        <v>397</v>
      </c>
    </row>
    <row r="229" ht="13.5" customHeight="1">
      <c r="A229" s="14" t="s">
        <v>25</v>
      </c>
      <c r="B229" s="14" t="s">
        <v>1</v>
      </c>
      <c r="C229" s="14" t="s">
        <v>27</v>
      </c>
      <c r="D229" s="15" t="s">
        <v>2</v>
      </c>
      <c r="E229" s="10" t="s">
        <v>325</v>
      </c>
      <c r="F229" s="16" t="s">
        <v>3</v>
      </c>
      <c r="G229" s="15" t="s">
        <v>4</v>
      </c>
      <c r="H229" s="14" t="s">
        <v>5</v>
      </c>
      <c r="I229" s="15" t="s">
        <v>29</v>
      </c>
      <c r="J229" s="14" t="s">
        <v>30</v>
      </c>
      <c r="K229" s="17" t="s">
        <v>7</v>
      </c>
    </row>
    <row r="230" ht="13.5" customHeight="1">
      <c r="A230" s="18" t="s">
        <v>31</v>
      </c>
      <c r="B230" s="19">
        <v>1.2</v>
      </c>
      <c r="C230" s="20" t="s">
        <v>33</v>
      </c>
      <c r="D230" s="21">
        <v>400.0</v>
      </c>
      <c r="E230" s="36"/>
      <c r="F230" s="36">
        <v>500.0</v>
      </c>
      <c r="G230" s="32"/>
      <c r="H230" s="21">
        <v>1000.0</v>
      </c>
      <c r="I230" s="21"/>
      <c r="J230" s="21"/>
      <c r="K230" s="25">
        <f t="shared" ref="K230:K236" si="49">D230+F230+G230+H230+I230+J230</f>
        <v>1900</v>
      </c>
      <c r="L230" s="43" t="s">
        <v>398</v>
      </c>
    </row>
    <row r="231" ht="13.5" customHeight="1">
      <c r="A231" s="26" t="s">
        <v>34</v>
      </c>
      <c r="B231" s="27"/>
      <c r="C231" s="28"/>
      <c r="D231" s="21">
        <v>400.0</v>
      </c>
      <c r="E231" s="36"/>
      <c r="F231" s="36">
        <v>500.0</v>
      </c>
      <c r="G231" s="32"/>
      <c r="H231" s="21">
        <v>1100.0</v>
      </c>
      <c r="I231" s="21"/>
      <c r="J231" s="21"/>
      <c r="K231" s="25">
        <f t="shared" si="49"/>
        <v>2000</v>
      </c>
    </row>
    <row r="232" ht="13.5" customHeight="1">
      <c r="A232" s="18" t="s">
        <v>35</v>
      </c>
      <c r="B232" s="30">
        <v>2.0</v>
      </c>
      <c r="C232" s="31" t="s">
        <v>36</v>
      </c>
      <c r="D232" s="21"/>
      <c r="E232" s="36"/>
      <c r="F232" s="36"/>
      <c r="G232" s="32"/>
      <c r="H232" s="21"/>
      <c r="I232" s="21"/>
      <c r="J232" s="21"/>
      <c r="K232" s="25">
        <f t="shared" si="49"/>
        <v>0</v>
      </c>
    </row>
    <row r="233" ht="13.5" customHeight="1">
      <c r="A233" s="26" t="s">
        <v>37</v>
      </c>
      <c r="B233" s="33"/>
      <c r="C233" s="34"/>
      <c r="D233" s="21"/>
      <c r="E233" s="36"/>
      <c r="F233" s="36"/>
      <c r="G233" s="32"/>
      <c r="H233" s="21"/>
      <c r="I233" s="21"/>
      <c r="J233" s="21"/>
      <c r="K233" s="25">
        <f t="shared" si="49"/>
        <v>0</v>
      </c>
    </row>
    <row r="234" ht="14.25" customHeight="1">
      <c r="A234" s="18" t="s">
        <v>38</v>
      </c>
      <c r="B234" s="19" t="s">
        <v>39</v>
      </c>
      <c r="C234" s="19" t="s">
        <v>40</v>
      </c>
      <c r="D234" s="21">
        <v>400.0</v>
      </c>
      <c r="E234" s="36"/>
      <c r="F234" s="36">
        <v>500.0</v>
      </c>
      <c r="G234" s="32"/>
      <c r="H234" s="21">
        <v>3150.0</v>
      </c>
      <c r="I234" s="21"/>
      <c r="J234" s="21"/>
      <c r="K234" s="25">
        <f t="shared" si="49"/>
        <v>4050</v>
      </c>
      <c r="L234" s="47"/>
      <c r="M234" s="12"/>
    </row>
    <row r="235" ht="13.5" customHeight="1">
      <c r="A235" s="35" t="s">
        <v>41</v>
      </c>
      <c r="B235" s="27"/>
      <c r="C235" s="27"/>
      <c r="D235" s="21">
        <v>400.0</v>
      </c>
      <c r="E235" s="36"/>
      <c r="F235" s="36">
        <v>500.0</v>
      </c>
      <c r="G235" s="38"/>
      <c r="H235" s="21">
        <v>5200.0</v>
      </c>
      <c r="I235" s="29"/>
      <c r="J235" s="39"/>
      <c r="K235" s="25">
        <f t="shared" si="49"/>
        <v>6100</v>
      </c>
    </row>
    <row r="236" ht="13.5" customHeight="1">
      <c r="A236" s="40" t="s">
        <v>7</v>
      </c>
      <c r="B236" s="40"/>
      <c r="C236" s="40"/>
      <c r="D236" s="10">
        <f t="shared" ref="D236:J236" si="50">SUM(D230:D235)</f>
        <v>1600</v>
      </c>
      <c r="E236" s="10">
        <f t="shared" si="50"/>
        <v>0</v>
      </c>
      <c r="F236" s="10">
        <f t="shared" si="50"/>
        <v>2000</v>
      </c>
      <c r="G236" s="10">
        <f t="shared" si="50"/>
        <v>0</v>
      </c>
      <c r="H236" s="10">
        <f t="shared" si="50"/>
        <v>10450</v>
      </c>
      <c r="I236" s="10">
        <f t="shared" si="50"/>
        <v>0</v>
      </c>
      <c r="J236" s="10">
        <f t="shared" si="50"/>
        <v>0</v>
      </c>
      <c r="K236" s="25">
        <f t="shared" si="49"/>
        <v>14050</v>
      </c>
    </row>
    <row r="237" ht="13.5" customHeight="1"/>
    <row r="238" ht="13.5" customHeight="1">
      <c r="A238" s="48" t="s">
        <v>399</v>
      </c>
    </row>
    <row r="239" ht="13.5" customHeight="1">
      <c r="A239" s="14" t="s">
        <v>25</v>
      </c>
      <c r="B239" s="14" t="s">
        <v>1</v>
      </c>
      <c r="C239" s="14" t="s">
        <v>27</v>
      </c>
      <c r="D239" s="15" t="s">
        <v>2</v>
      </c>
      <c r="E239" s="10" t="s">
        <v>325</v>
      </c>
      <c r="F239" s="16" t="s">
        <v>3</v>
      </c>
      <c r="G239" s="15" t="s">
        <v>4</v>
      </c>
      <c r="H239" s="15" t="s">
        <v>5</v>
      </c>
      <c r="I239" s="15" t="s">
        <v>29</v>
      </c>
      <c r="J239" s="14" t="s">
        <v>30</v>
      </c>
      <c r="K239" s="17" t="s">
        <v>7</v>
      </c>
    </row>
    <row r="240" ht="13.5" customHeight="1">
      <c r="A240" s="18" t="s">
        <v>31</v>
      </c>
      <c r="B240" s="19">
        <v>1.2</v>
      </c>
      <c r="C240" s="20" t="s">
        <v>33</v>
      </c>
      <c r="D240" s="21">
        <v>400.0</v>
      </c>
      <c r="E240" s="36"/>
      <c r="F240" s="36">
        <v>500.0</v>
      </c>
      <c r="G240" s="32"/>
      <c r="H240" s="21">
        <v>650.0</v>
      </c>
      <c r="I240" s="23"/>
      <c r="J240" s="24">
        <v>50.0</v>
      </c>
      <c r="K240" s="25">
        <f t="shared" ref="K240:K246" si="51">D240+F240+G240+H240+I240+J240</f>
        <v>1600</v>
      </c>
    </row>
    <row r="241" ht="13.5" customHeight="1">
      <c r="A241" s="26" t="s">
        <v>34</v>
      </c>
      <c r="B241" s="27"/>
      <c r="C241" s="28"/>
      <c r="D241" s="21">
        <v>400.0</v>
      </c>
      <c r="E241" s="36"/>
      <c r="F241" s="36">
        <v>500.0</v>
      </c>
      <c r="G241" s="32"/>
      <c r="H241" s="21">
        <v>1060.0</v>
      </c>
      <c r="I241" s="29"/>
      <c r="J241" s="29"/>
      <c r="K241" s="25">
        <f t="shared" si="51"/>
        <v>1960</v>
      </c>
    </row>
    <row r="242" ht="13.5" customHeight="1">
      <c r="A242" s="18" t="s">
        <v>35</v>
      </c>
      <c r="B242" s="30">
        <v>2.0</v>
      </c>
      <c r="C242" s="31" t="s">
        <v>36</v>
      </c>
      <c r="D242" s="21"/>
      <c r="E242" s="36"/>
      <c r="F242" s="36"/>
      <c r="G242" s="32"/>
      <c r="H242" s="21"/>
      <c r="I242" s="23"/>
      <c r="J242" s="24"/>
      <c r="K242" s="25">
        <f t="shared" si="51"/>
        <v>0</v>
      </c>
    </row>
    <row r="243" ht="13.5" customHeight="1">
      <c r="A243" s="26" t="s">
        <v>37</v>
      </c>
      <c r="B243" s="33"/>
      <c r="C243" s="34"/>
      <c r="D243" s="21"/>
      <c r="E243" s="36"/>
      <c r="F243" s="36"/>
      <c r="G243" s="32"/>
      <c r="H243" s="21"/>
      <c r="I243" s="29"/>
      <c r="J243" s="29"/>
      <c r="K243" s="25">
        <f t="shared" si="51"/>
        <v>0</v>
      </c>
    </row>
    <row r="244" ht="14.25" customHeight="1">
      <c r="A244" s="18" t="s">
        <v>38</v>
      </c>
      <c r="B244" s="19" t="s">
        <v>39</v>
      </c>
      <c r="C244" s="19" t="s">
        <v>40</v>
      </c>
      <c r="D244" s="21">
        <v>420.0</v>
      </c>
      <c r="E244" s="36"/>
      <c r="F244" s="36">
        <v>500.0</v>
      </c>
      <c r="G244" s="32"/>
      <c r="H244" s="21">
        <v>4550.0</v>
      </c>
      <c r="I244" s="23"/>
      <c r="J244" s="24"/>
      <c r="K244" s="25">
        <f t="shared" si="51"/>
        <v>5470</v>
      </c>
      <c r="L244" s="12"/>
    </row>
    <row r="245" ht="13.5" customHeight="1">
      <c r="A245" s="35" t="s">
        <v>41</v>
      </c>
      <c r="B245" s="27"/>
      <c r="C245" s="27"/>
      <c r="D245" s="21">
        <v>400.0</v>
      </c>
      <c r="E245" s="36"/>
      <c r="F245" s="21">
        <v>500.0</v>
      </c>
      <c r="G245" s="21"/>
      <c r="H245" s="21">
        <v>4640.0</v>
      </c>
      <c r="I245" s="21"/>
      <c r="J245" s="21"/>
      <c r="K245" s="25">
        <f t="shared" si="51"/>
        <v>5540</v>
      </c>
    </row>
    <row r="246" ht="13.5" customHeight="1">
      <c r="A246" s="40" t="s">
        <v>7</v>
      </c>
      <c r="B246" s="40"/>
      <c r="C246" s="40"/>
      <c r="D246" s="10">
        <f t="shared" ref="D246:J246" si="52">SUM(D240:D245)</f>
        <v>1620</v>
      </c>
      <c r="E246" s="10">
        <f t="shared" si="52"/>
        <v>0</v>
      </c>
      <c r="F246" s="10">
        <f t="shared" si="52"/>
        <v>2000</v>
      </c>
      <c r="G246" s="10">
        <f t="shared" si="52"/>
        <v>0</v>
      </c>
      <c r="H246" s="10">
        <f t="shared" si="52"/>
        <v>10900</v>
      </c>
      <c r="I246" s="10">
        <f t="shared" si="52"/>
        <v>0</v>
      </c>
      <c r="J246" s="10">
        <f t="shared" si="52"/>
        <v>50</v>
      </c>
      <c r="K246" s="25">
        <f t="shared" si="51"/>
        <v>14570</v>
      </c>
    </row>
    <row r="247" ht="13.5" customHeight="1"/>
    <row r="248" ht="13.5" customHeight="1">
      <c r="A248" s="48" t="s">
        <v>400</v>
      </c>
    </row>
    <row r="249" ht="13.5" customHeight="1">
      <c r="A249" s="14" t="s">
        <v>25</v>
      </c>
      <c r="B249" s="14" t="s">
        <v>1</v>
      </c>
      <c r="C249" s="14" t="s">
        <v>27</v>
      </c>
      <c r="D249" s="15" t="s">
        <v>2</v>
      </c>
      <c r="E249" s="10" t="s">
        <v>325</v>
      </c>
      <c r="F249" s="16" t="s">
        <v>3</v>
      </c>
      <c r="G249" s="15" t="s">
        <v>4</v>
      </c>
      <c r="H249" s="15" t="s">
        <v>5</v>
      </c>
      <c r="I249" s="15" t="s">
        <v>29</v>
      </c>
      <c r="J249" s="14" t="s">
        <v>30</v>
      </c>
      <c r="K249" s="17" t="s">
        <v>7</v>
      </c>
    </row>
    <row r="250" ht="14.25" customHeight="1">
      <c r="A250" s="18" t="s">
        <v>31</v>
      </c>
      <c r="B250" s="19">
        <v>1.2</v>
      </c>
      <c r="C250" s="20" t="s">
        <v>33</v>
      </c>
      <c r="D250" s="21">
        <v>400.0</v>
      </c>
      <c r="E250" s="36"/>
      <c r="F250" s="36">
        <v>800.0</v>
      </c>
      <c r="G250" s="36"/>
      <c r="H250" s="32">
        <v>1000.0</v>
      </c>
      <c r="I250" s="23"/>
      <c r="J250" s="24"/>
      <c r="K250" s="25">
        <f t="shared" ref="K250:K256" si="53">D250+F250+G250+H250+I250+J250</f>
        <v>2200</v>
      </c>
    </row>
    <row r="251" ht="13.5" customHeight="1">
      <c r="A251" s="26" t="s">
        <v>34</v>
      </c>
      <c r="B251" s="27"/>
      <c r="C251" s="28"/>
      <c r="D251" s="21">
        <v>400.0</v>
      </c>
      <c r="E251" s="36"/>
      <c r="F251" s="36"/>
      <c r="G251" s="32"/>
      <c r="H251" s="36">
        <v>1600.0</v>
      </c>
      <c r="I251" s="32"/>
      <c r="J251" s="21"/>
      <c r="K251" s="25">
        <f t="shared" si="53"/>
        <v>2000</v>
      </c>
    </row>
    <row r="252" ht="13.5" customHeight="1">
      <c r="A252" s="18" t="s">
        <v>35</v>
      </c>
      <c r="B252" s="30">
        <v>2.0</v>
      </c>
      <c r="C252" s="31" t="s">
        <v>36</v>
      </c>
      <c r="D252" s="21"/>
      <c r="E252" s="36"/>
      <c r="F252" s="36"/>
      <c r="G252" s="36"/>
      <c r="H252" s="32"/>
      <c r="I252" s="23"/>
      <c r="J252" s="24"/>
      <c r="K252" s="25">
        <f t="shared" si="53"/>
        <v>0</v>
      </c>
    </row>
    <row r="253" ht="13.5" customHeight="1">
      <c r="A253" s="26" t="s">
        <v>37</v>
      </c>
      <c r="B253" s="33"/>
      <c r="C253" s="34"/>
      <c r="D253" s="21"/>
      <c r="E253" s="36"/>
      <c r="F253" s="36"/>
      <c r="G253" s="21"/>
      <c r="H253" s="21"/>
      <c r="I253" s="21"/>
      <c r="J253" s="21"/>
      <c r="K253" s="25">
        <f t="shared" si="53"/>
        <v>0</v>
      </c>
    </row>
    <row r="254" ht="14.25" customHeight="1">
      <c r="A254" s="18" t="s">
        <v>38</v>
      </c>
      <c r="B254" s="19" t="s">
        <v>39</v>
      </c>
      <c r="C254" s="19" t="s">
        <v>40</v>
      </c>
      <c r="D254" s="10">
        <v>380.0</v>
      </c>
      <c r="E254" s="36"/>
      <c r="F254" s="10">
        <v>500.0</v>
      </c>
      <c r="G254" s="10"/>
      <c r="H254" s="10">
        <v>5420.0</v>
      </c>
      <c r="I254" s="10"/>
      <c r="J254" s="10"/>
      <c r="K254" s="25">
        <f t="shared" si="53"/>
        <v>6300</v>
      </c>
      <c r="L254" s="47"/>
      <c r="M254" s="12"/>
    </row>
    <row r="255" ht="13.5" customHeight="1">
      <c r="A255" s="35" t="s">
        <v>41</v>
      </c>
      <c r="B255" s="27"/>
      <c r="C255" s="27"/>
      <c r="D255" s="21">
        <v>400.0</v>
      </c>
      <c r="E255" s="36"/>
      <c r="F255" s="21">
        <v>300.0</v>
      </c>
      <c r="G255" s="21"/>
      <c r="H255" s="21">
        <v>2800.0</v>
      </c>
      <c r="I255" s="21"/>
      <c r="J255" s="21"/>
      <c r="K255" s="25">
        <f t="shared" si="53"/>
        <v>3500</v>
      </c>
    </row>
    <row r="256" ht="13.5" customHeight="1">
      <c r="A256" s="40" t="s">
        <v>7</v>
      </c>
      <c r="B256" s="40"/>
      <c r="C256" s="40"/>
      <c r="D256" s="10">
        <f t="shared" ref="D256:J256" si="54">SUM(D250:D255)</f>
        <v>1580</v>
      </c>
      <c r="E256" s="10">
        <f t="shared" si="54"/>
        <v>0</v>
      </c>
      <c r="F256" s="10">
        <f t="shared" si="54"/>
        <v>1600</v>
      </c>
      <c r="G256" s="10">
        <f t="shared" si="54"/>
        <v>0</v>
      </c>
      <c r="H256" s="10">
        <f t="shared" si="54"/>
        <v>10820</v>
      </c>
      <c r="I256" s="10">
        <f t="shared" si="54"/>
        <v>0</v>
      </c>
      <c r="J256" s="10">
        <f t="shared" si="54"/>
        <v>0</v>
      </c>
      <c r="K256" s="25">
        <f t="shared" si="53"/>
        <v>14000</v>
      </c>
    </row>
    <row r="257" ht="13.5" customHeight="1"/>
    <row r="258" ht="13.5" customHeight="1">
      <c r="A258" s="48" t="s">
        <v>401</v>
      </c>
    </row>
    <row r="259" ht="13.5" customHeight="1">
      <c r="A259" s="14" t="s">
        <v>25</v>
      </c>
      <c r="B259" s="14" t="s">
        <v>1</v>
      </c>
      <c r="C259" s="14" t="s">
        <v>27</v>
      </c>
      <c r="D259" s="15" t="s">
        <v>2</v>
      </c>
      <c r="E259" s="10" t="s">
        <v>325</v>
      </c>
      <c r="F259" s="16" t="s">
        <v>3</v>
      </c>
      <c r="G259" s="15" t="s">
        <v>4</v>
      </c>
      <c r="H259" s="15" t="s">
        <v>5</v>
      </c>
      <c r="I259" s="15" t="s">
        <v>29</v>
      </c>
      <c r="J259" s="14" t="s">
        <v>30</v>
      </c>
      <c r="K259" s="17" t="s">
        <v>7</v>
      </c>
    </row>
    <row r="260" ht="14.25" customHeight="1">
      <c r="A260" s="18" t="s">
        <v>31</v>
      </c>
      <c r="B260" s="19">
        <v>1.2</v>
      </c>
      <c r="C260" s="20" t="s">
        <v>33</v>
      </c>
      <c r="D260" s="21">
        <v>400.0</v>
      </c>
      <c r="E260" s="36"/>
      <c r="F260" s="36"/>
      <c r="G260" s="32"/>
      <c r="H260" s="21">
        <v>1000.0</v>
      </c>
      <c r="I260" s="23"/>
      <c r="J260" s="24"/>
      <c r="K260" s="25">
        <f t="shared" ref="K260:K266" si="55">D260+F260+G260+H260+I260+J260</f>
        <v>1400</v>
      </c>
    </row>
    <row r="261" ht="13.5" customHeight="1">
      <c r="A261" s="26" t="s">
        <v>34</v>
      </c>
      <c r="B261" s="27"/>
      <c r="C261" s="28"/>
      <c r="D261" s="21">
        <v>440.0</v>
      </c>
      <c r="E261" s="36"/>
      <c r="F261" s="36"/>
      <c r="G261" s="22"/>
      <c r="H261" s="21">
        <v>1760.0</v>
      </c>
      <c r="I261" s="29"/>
      <c r="J261" s="29"/>
      <c r="K261" s="25">
        <f t="shared" si="55"/>
        <v>2200</v>
      </c>
    </row>
    <row r="262" ht="13.5" customHeight="1">
      <c r="A262" s="18" t="s">
        <v>35</v>
      </c>
      <c r="B262" s="30">
        <v>2.0</v>
      </c>
      <c r="C262" s="31" t="s">
        <v>36</v>
      </c>
      <c r="D262" s="21"/>
      <c r="E262" s="36"/>
      <c r="F262" s="10"/>
      <c r="G262" s="36"/>
      <c r="H262" s="21"/>
      <c r="I262" s="23"/>
      <c r="J262" s="24"/>
      <c r="K262" s="25">
        <f t="shared" si="55"/>
        <v>0</v>
      </c>
    </row>
    <row r="263" ht="13.5" customHeight="1">
      <c r="A263" s="26" t="s">
        <v>37</v>
      </c>
      <c r="B263" s="33"/>
      <c r="C263" s="34"/>
      <c r="D263" s="21"/>
      <c r="E263" s="36"/>
      <c r="F263" s="36"/>
      <c r="G263" s="22"/>
      <c r="H263" s="21"/>
      <c r="I263" s="29"/>
      <c r="J263" s="29"/>
      <c r="K263" s="25">
        <f t="shared" si="55"/>
        <v>0</v>
      </c>
    </row>
    <row r="264" ht="14.25" customHeight="1">
      <c r="A264" s="18" t="s">
        <v>38</v>
      </c>
      <c r="B264" s="19" t="s">
        <v>39</v>
      </c>
      <c r="C264" s="19" t="s">
        <v>40</v>
      </c>
      <c r="D264" s="21">
        <v>400.0</v>
      </c>
      <c r="E264" s="36"/>
      <c r="F264" s="36"/>
      <c r="G264" s="32"/>
      <c r="H264" s="21">
        <v>4140.0</v>
      </c>
      <c r="I264" s="23"/>
      <c r="J264" s="24"/>
      <c r="K264" s="25">
        <f t="shared" si="55"/>
        <v>4540</v>
      </c>
      <c r="L264" s="47"/>
      <c r="M264" s="12"/>
    </row>
    <row r="265" ht="13.5" customHeight="1">
      <c r="A265" s="35" t="s">
        <v>41</v>
      </c>
      <c r="B265" s="27"/>
      <c r="C265" s="27"/>
      <c r="D265" s="21">
        <v>440.0</v>
      </c>
      <c r="E265" s="36"/>
      <c r="F265" s="21"/>
      <c r="G265" s="21"/>
      <c r="H265" s="21">
        <v>5660.0</v>
      </c>
      <c r="I265" s="21"/>
      <c r="J265" s="21"/>
      <c r="K265" s="25">
        <f t="shared" si="55"/>
        <v>6100</v>
      </c>
    </row>
    <row r="266" ht="13.5" customHeight="1">
      <c r="A266" s="40" t="s">
        <v>7</v>
      </c>
      <c r="B266" s="40"/>
      <c r="C266" s="40"/>
      <c r="D266" s="10">
        <f t="shared" ref="D266:J266" si="56">SUM(D260:D265)</f>
        <v>1680</v>
      </c>
      <c r="E266" s="10">
        <f t="shared" si="56"/>
        <v>0</v>
      </c>
      <c r="F266" s="10">
        <f t="shared" si="56"/>
        <v>0</v>
      </c>
      <c r="G266" s="10">
        <f t="shared" si="56"/>
        <v>0</v>
      </c>
      <c r="H266" s="10">
        <f t="shared" si="56"/>
        <v>12560</v>
      </c>
      <c r="I266" s="10">
        <f t="shared" si="56"/>
        <v>0</v>
      </c>
      <c r="J266" s="10">
        <f t="shared" si="56"/>
        <v>0</v>
      </c>
      <c r="K266" s="25">
        <f t="shared" si="55"/>
        <v>14240</v>
      </c>
    </row>
    <row r="267" ht="13.5" customHeight="1">
      <c r="A267" s="48"/>
    </row>
    <row r="268" ht="13.5" customHeight="1">
      <c r="A268" s="48" t="s">
        <v>402</v>
      </c>
    </row>
    <row r="269" ht="13.5" customHeight="1">
      <c r="A269" s="14" t="s">
        <v>25</v>
      </c>
      <c r="B269" s="14" t="s">
        <v>1</v>
      </c>
      <c r="C269" s="14" t="s">
        <v>27</v>
      </c>
      <c r="D269" s="15" t="s">
        <v>2</v>
      </c>
      <c r="E269" s="10" t="s">
        <v>325</v>
      </c>
      <c r="F269" s="16" t="s">
        <v>3</v>
      </c>
      <c r="G269" s="14" t="s">
        <v>4</v>
      </c>
      <c r="H269" s="15" t="s">
        <v>5</v>
      </c>
      <c r="I269" s="15" t="s">
        <v>29</v>
      </c>
      <c r="J269" s="14" t="s">
        <v>30</v>
      </c>
      <c r="K269" s="17" t="s">
        <v>7</v>
      </c>
    </row>
    <row r="270" ht="13.5" customHeight="1">
      <c r="A270" s="18" t="s">
        <v>31</v>
      </c>
      <c r="B270" s="19">
        <v>1.2</v>
      </c>
      <c r="C270" s="20" t="s">
        <v>33</v>
      </c>
      <c r="D270" s="21"/>
      <c r="E270" s="36"/>
      <c r="F270" s="36"/>
      <c r="G270" s="32"/>
      <c r="H270" s="21">
        <v>2000.0</v>
      </c>
      <c r="I270" s="21"/>
      <c r="J270" s="24"/>
      <c r="K270" s="25">
        <f t="shared" ref="K270:K276" si="57">D270+F270+G270+H270+I270+J270</f>
        <v>2000</v>
      </c>
    </row>
    <row r="271" ht="13.5" customHeight="1">
      <c r="A271" s="26" t="s">
        <v>34</v>
      </c>
      <c r="B271" s="27"/>
      <c r="C271" s="28"/>
      <c r="D271" s="21">
        <v>410.0</v>
      </c>
      <c r="E271" s="36"/>
      <c r="F271" s="36"/>
      <c r="G271" s="22"/>
      <c r="H271" s="21">
        <v>920.0</v>
      </c>
      <c r="I271" s="21"/>
      <c r="J271" s="29"/>
      <c r="K271" s="25">
        <f t="shared" si="57"/>
        <v>1330</v>
      </c>
    </row>
    <row r="272" ht="13.5" customHeight="1">
      <c r="A272" s="18" t="s">
        <v>35</v>
      </c>
      <c r="B272" s="30">
        <v>2.0</v>
      </c>
      <c r="C272" s="31" t="s">
        <v>36</v>
      </c>
      <c r="D272" s="21"/>
      <c r="E272" s="36"/>
      <c r="F272" s="36"/>
      <c r="G272" s="32"/>
      <c r="I272" s="21"/>
      <c r="J272" s="24"/>
      <c r="K272" s="25">
        <f t="shared" si="57"/>
        <v>0</v>
      </c>
    </row>
    <row r="273" ht="13.5" customHeight="1">
      <c r="A273" s="26" t="s">
        <v>37</v>
      </c>
      <c r="B273" s="33"/>
      <c r="C273" s="34"/>
      <c r="D273" s="21"/>
      <c r="E273" s="36"/>
      <c r="F273" s="36"/>
      <c r="G273" s="22"/>
      <c r="I273" s="21"/>
      <c r="J273" s="29"/>
      <c r="K273" s="25">
        <f t="shared" si="57"/>
        <v>0</v>
      </c>
    </row>
    <row r="274" ht="15.0" customHeight="1">
      <c r="A274" s="18" t="s">
        <v>38</v>
      </c>
      <c r="B274" s="19" t="s">
        <v>39</v>
      </c>
      <c r="C274" s="19" t="s">
        <v>40</v>
      </c>
      <c r="D274" s="21"/>
      <c r="E274" s="36"/>
      <c r="F274" s="41"/>
      <c r="G274" s="32"/>
      <c r="H274" s="21">
        <v>5000.0</v>
      </c>
      <c r="I274" s="21"/>
      <c r="J274" s="24"/>
      <c r="K274" s="25">
        <f t="shared" si="57"/>
        <v>5000</v>
      </c>
    </row>
    <row r="275" ht="13.5" customHeight="1">
      <c r="A275" s="35" t="s">
        <v>41</v>
      </c>
      <c r="B275" s="27"/>
      <c r="C275" s="27"/>
      <c r="D275" s="21">
        <v>430.0</v>
      </c>
      <c r="E275" s="36"/>
      <c r="F275" s="37"/>
      <c r="G275" s="38"/>
      <c r="H275" s="21">
        <v>4740.0</v>
      </c>
      <c r="I275" s="21"/>
      <c r="J275" s="39"/>
      <c r="K275" s="25">
        <f t="shared" si="57"/>
        <v>5170</v>
      </c>
    </row>
    <row r="276" ht="13.5" customHeight="1">
      <c r="A276" s="40" t="s">
        <v>7</v>
      </c>
      <c r="B276" s="40"/>
      <c r="C276" s="40"/>
      <c r="D276" s="10">
        <f t="shared" ref="D276:J276" si="58">SUM(D270:D275)</f>
        <v>840</v>
      </c>
      <c r="E276" s="10">
        <f t="shared" si="58"/>
        <v>0</v>
      </c>
      <c r="F276" s="10">
        <f t="shared" si="58"/>
        <v>0</v>
      </c>
      <c r="G276" s="10">
        <f t="shared" si="58"/>
        <v>0</v>
      </c>
      <c r="H276" s="10">
        <f t="shared" si="58"/>
        <v>12660</v>
      </c>
      <c r="I276" s="10">
        <f t="shared" si="58"/>
        <v>0</v>
      </c>
      <c r="J276" s="10">
        <f t="shared" si="58"/>
        <v>0</v>
      </c>
      <c r="K276" s="25">
        <f t="shared" si="57"/>
        <v>13500</v>
      </c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ht="13.5" customHeight="1">
      <c r="A278" s="48" t="s">
        <v>403</v>
      </c>
    </row>
    <row r="279" ht="13.5" customHeight="1">
      <c r="A279" s="14" t="s">
        <v>25</v>
      </c>
      <c r="B279" s="14" t="s">
        <v>1</v>
      </c>
      <c r="C279" s="14" t="s">
        <v>27</v>
      </c>
      <c r="D279" s="15" t="s">
        <v>2</v>
      </c>
      <c r="E279" s="10" t="s">
        <v>325</v>
      </c>
      <c r="F279" s="16" t="s">
        <v>3</v>
      </c>
      <c r="G279" s="14" t="s">
        <v>4</v>
      </c>
      <c r="H279" s="15" t="s">
        <v>5</v>
      </c>
      <c r="I279" s="15" t="s">
        <v>29</v>
      </c>
      <c r="J279" s="14" t="s">
        <v>30</v>
      </c>
      <c r="K279" s="17" t="s">
        <v>7</v>
      </c>
    </row>
    <row r="280" ht="13.5" customHeight="1">
      <c r="A280" s="18" t="s">
        <v>31</v>
      </c>
      <c r="B280" s="19">
        <v>1.2</v>
      </c>
      <c r="C280" s="20" t="s">
        <v>33</v>
      </c>
      <c r="D280" s="21">
        <v>440.0</v>
      </c>
      <c r="E280" s="36"/>
      <c r="F280" s="36"/>
      <c r="G280" s="32"/>
      <c r="H280" s="21">
        <v>1340.0</v>
      </c>
      <c r="I280" s="21"/>
      <c r="J280" s="24"/>
      <c r="K280" s="25">
        <f t="shared" ref="K280:K286" si="59">D280+F280+G280+H280+I280+J280</f>
        <v>1780</v>
      </c>
    </row>
    <row r="281" ht="13.5" customHeight="1">
      <c r="A281" s="26" t="s">
        <v>34</v>
      </c>
      <c r="B281" s="27"/>
      <c r="C281" s="28"/>
      <c r="D281" s="21">
        <v>370.0</v>
      </c>
      <c r="E281" s="36"/>
      <c r="F281" s="36"/>
      <c r="G281" s="22"/>
      <c r="H281" s="21">
        <v>1780.0</v>
      </c>
      <c r="I281" s="21"/>
      <c r="J281" s="29">
        <v>80.0</v>
      </c>
      <c r="K281" s="25">
        <f t="shared" si="59"/>
        <v>2230</v>
      </c>
    </row>
    <row r="282" ht="13.5" customHeight="1">
      <c r="A282" s="18" t="s">
        <v>35</v>
      </c>
      <c r="B282" s="30">
        <v>2.0</v>
      </c>
      <c r="C282" s="31" t="s">
        <v>36</v>
      </c>
      <c r="D282" s="21"/>
      <c r="E282" s="36"/>
      <c r="F282" s="36"/>
      <c r="G282" s="32"/>
      <c r="H282" s="21"/>
      <c r="I282" s="21"/>
      <c r="J282" s="24"/>
      <c r="K282" s="25">
        <f t="shared" si="59"/>
        <v>0</v>
      </c>
    </row>
    <row r="283" ht="13.5" customHeight="1">
      <c r="A283" s="26" t="s">
        <v>37</v>
      </c>
      <c r="B283" s="33"/>
      <c r="C283" s="34"/>
      <c r="D283" s="21"/>
      <c r="E283" s="36"/>
      <c r="F283" s="36"/>
      <c r="G283" s="22"/>
      <c r="H283" s="21"/>
      <c r="I283" s="21"/>
      <c r="J283" s="29"/>
      <c r="K283" s="25">
        <f t="shared" si="59"/>
        <v>0</v>
      </c>
    </row>
    <row r="284" ht="15.0" customHeight="1">
      <c r="A284" s="18" t="s">
        <v>38</v>
      </c>
      <c r="B284" s="19" t="s">
        <v>39</v>
      </c>
      <c r="C284" s="19" t="s">
        <v>40</v>
      </c>
      <c r="D284" s="21">
        <v>400.0</v>
      </c>
      <c r="E284" s="36"/>
      <c r="F284" s="41"/>
      <c r="G284" s="32"/>
      <c r="H284" s="21">
        <v>5600.0</v>
      </c>
      <c r="I284" s="21"/>
      <c r="J284" s="24"/>
      <c r="K284" s="25">
        <f t="shared" si="59"/>
        <v>6000</v>
      </c>
    </row>
    <row r="285" ht="13.5" customHeight="1">
      <c r="A285" s="35" t="s">
        <v>41</v>
      </c>
      <c r="B285" s="27"/>
      <c r="C285" s="27"/>
      <c r="D285" s="21">
        <v>420.0</v>
      </c>
      <c r="E285" s="36"/>
      <c r="F285" s="37"/>
      <c r="G285" s="38"/>
      <c r="H285" s="21">
        <v>5480.0</v>
      </c>
      <c r="I285" s="21"/>
      <c r="J285" s="39">
        <v>280.0</v>
      </c>
      <c r="K285" s="25">
        <f t="shared" si="59"/>
        <v>6180</v>
      </c>
    </row>
    <row r="286" ht="13.5" customHeight="1">
      <c r="A286" s="40" t="s">
        <v>7</v>
      </c>
      <c r="B286" s="40"/>
      <c r="C286" s="40"/>
      <c r="D286" s="10">
        <f t="shared" ref="D286:J286" si="60">SUM(D280:D285)</f>
        <v>1630</v>
      </c>
      <c r="E286" s="10">
        <f t="shared" si="60"/>
        <v>0</v>
      </c>
      <c r="F286" s="10">
        <f t="shared" si="60"/>
        <v>0</v>
      </c>
      <c r="G286" s="10">
        <f t="shared" si="60"/>
        <v>0</v>
      </c>
      <c r="H286" s="10">
        <f t="shared" si="60"/>
        <v>14200</v>
      </c>
      <c r="I286" s="10">
        <f t="shared" si="60"/>
        <v>0</v>
      </c>
      <c r="J286" s="10">
        <f t="shared" si="60"/>
        <v>360</v>
      </c>
      <c r="K286" s="25">
        <f t="shared" si="59"/>
        <v>16190</v>
      </c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ht="13.5" customHeight="1">
      <c r="A288" s="48" t="s">
        <v>404</v>
      </c>
    </row>
    <row r="289" ht="13.5" customHeight="1">
      <c r="A289" s="14" t="s">
        <v>25</v>
      </c>
      <c r="B289" s="14" t="s">
        <v>1</v>
      </c>
      <c r="C289" s="14" t="s">
        <v>27</v>
      </c>
      <c r="D289" s="15" t="s">
        <v>2</v>
      </c>
      <c r="E289" s="16" t="s">
        <v>28</v>
      </c>
      <c r="F289" s="16" t="s">
        <v>3</v>
      </c>
      <c r="G289" s="14" t="s">
        <v>4</v>
      </c>
      <c r="H289" s="15" t="s">
        <v>5</v>
      </c>
      <c r="I289" s="15" t="s">
        <v>29</v>
      </c>
      <c r="J289" s="14" t="s">
        <v>30</v>
      </c>
      <c r="K289" s="17" t="s">
        <v>7</v>
      </c>
    </row>
    <row r="290" ht="13.5" customHeight="1">
      <c r="A290" s="18" t="s">
        <v>31</v>
      </c>
      <c r="B290" s="19" t="s">
        <v>172</v>
      </c>
      <c r="C290" s="20" t="s">
        <v>33</v>
      </c>
      <c r="D290" s="21">
        <v>340.0</v>
      </c>
      <c r="E290" s="36"/>
      <c r="F290" s="36"/>
      <c r="G290" s="32"/>
      <c r="H290" s="21">
        <v>1420.0</v>
      </c>
      <c r="I290" s="21"/>
      <c r="J290" s="24">
        <v>70.0</v>
      </c>
      <c r="K290" s="25">
        <f t="shared" ref="K290:K296" si="61">SUM(D290:J290)</f>
        <v>1830</v>
      </c>
    </row>
    <row r="291" ht="13.5" customHeight="1">
      <c r="A291" s="26" t="s">
        <v>34</v>
      </c>
      <c r="B291" s="27"/>
      <c r="C291" s="28"/>
      <c r="D291" s="21">
        <v>360.0</v>
      </c>
      <c r="E291" s="36"/>
      <c r="F291" s="36"/>
      <c r="G291" s="22"/>
      <c r="H291" s="21">
        <v>1240.0</v>
      </c>
      <c r="I291" s="21"/>
      <c r="J291" s="29">
        <v>70.0</v>
      </c>
      <c r="K291" s="25">
        <f t="shared" si="61"/>
        <v>1670</v>
      </c>
    </row>
    <row r="292" ht="13.5" customHeight="1">
      <c r="A292" s="18" t="s">
        <v>35</v>
      </c>
      <c r="B292" s="30">
        <v>2.0</v>
      </c>
      <c r="C292" s="31" t="s">
        <v>36</v>
      </c>
      <c r="D292" s="21"/>
      <c r="E292" s="36"/>
      <c r="F292" s="36"/>
      <c r="G292" s="32"/>
      <c r="H292" s="21"/>
      <c r="I292" s="21"/>
      <c r="J292" s="24"/>
      <c r="K292" s="25">
        <f t="shared" si="61"/>
        <v>0</v>
      </c>
    </row>
    <row r="293" ht="13.5" customHeight="1">
      <c r="A293" s="26" t="s">
        <v>37</v>
      </c>
      <c r="B293" s="33"/>
      <c r="C293" s="34"/>
      <c r="D293" s="21"/>
      <c r="E293" s="36"/>
      <c r="F293" s="36"/>
      <c r="G293" s="22"/>
      <c r="H293" s="21"/>
      <c r="I293" s="21"/>
      <c r="J293" s="29"/>
      <c r="K293" s="25">
        <f t="shared" si="61"/>
        <v>0</v>
      </c>
    </row>
    <row r="294" ht="15.0" customHeight="1">
      <c r="A294" s="18" t="s">
        <v>38</v>
      </c>
      <c r="B294" s="19" t="s">
        <v>39</v>
      </c>
      <c r="C294" s="19" t="s">
        <v>40</v>
      </c>
      <c r="D294" s="21">
        <v>430.0</v>
      </c>
      <c r="E294" s="41"/>
      <c r="F294" s="41"/>
      <c r="G294" s="32"/>
      <c r="H294" s="21">
        <v>5320.0</v>
      </c>
      <c r="I294" s="21"/>
      <c r="J294" s="24">
        <v>290.0</v>
      </c>
      <c r="K294" s="25">
        <f t="shared" si="61"/>
        <v>6040</v>
      </c>
    </row>
    <row r="295" ht="13.5" customHeight="1">
      <c r="A295" s="35" t="s">
        <v>41</v>
      </c>
      <c r="B295" s="27"/>
      <c r="C295" s="27"/>
      <c r="D295" s="21">
        <v>430.0</v>
      </c>
      <c r="E295" s="36"/>
      <c r="F295" s="37"/>
      <c r="G295" s="38"/>
      <c r="H295" s="21">
        <v>4890.0</v>
      </c>
      <c r="I295" s="21"/>
      <c r="J295" s="39">
        <v>300.0</v>
      </c>
      <c r="K295" s="25">
        <f t="shared" si="61"/>
        <v>5620</v>
      </c>
    </row>
    <row r="296" ht="13.5" customHeight="1">
      <c r="A296" s="40" t="s">
        <v>7</v>
      </c>
      <c r="B296" s="40"/>
      <c r="C296" s="40"/>
      <c r="D296" s="10">
        <f t="shared" ref="D296:J296" si="62">SUM(D290:D295)</f>
        <v>1560</v>
      </c>
      <c r="E296" s="10">
        <f t="shared" si="62"/>
        <v>0</v>
      </c>
      <c r="F296" s="10">
        <f t="shared" si="62"/>
        <v>0</v>
      </c>
      <c r="G296" s="10">
        <f t="shared" si="62"/>
        <v>0</v>
      </c>
      <c r="H296" s="10">
        <f t="shared" si="62"/>
        <v>12870</v>
      </c>
      <c r="I296" s="10">
        <f t="shared" si="62"/>
        <v>0</v>
      </c>
      <c r="J296" s="10">
        <f t="shared" si="62"/>
        <v>730</v>
      </c>
      <c r="K296" s="25">
        <f t="shared" si="61"/>
        <v>15160</v>
      </c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ht="13.5" customHeight="1">
      <c r="A299" s="64" t="s">
        <v>405</v>
      </c>
      <c r="B299" s="65"/>
      <c r="C299" s="65"/>
      <c r="D299" s="5"/>
      <c r="E299" s="10"/>
      <c r="F299" s="10"/>
      <c r="G299" s="10"/>
      <c r="H299" s="10"/>
      <c r="I299" s="10"/>
      <c r="J299" s="10"/>
      <c r="K299" s="10"/>
    </row>
    <row r="300" ht="13.5" customHeight="1">
      <c r="A300" s="15" t="s">
        <v>25</v>
      </c>
      <c r="B300" s="15" t="s">
        <v>1</v>
      </c>
      <c r="C300" s="15" t="s">
        <v>27</v>
      </c>
      <c r="D300" s="15" t="s">
        <v>2</v>
      </c>
      <c r="E300" s="10" t="s">
        <v>28</v>
      </c>
      <c r="F300" s="16" t="s">
        <v>3</v>
      </c>
      <c r="G300" s="15" t="s">
        <v>4</v>
      </c>
      <c r="H300" s="15" t="s">
        <v>5</v>
      </c>
      <c r="I300" s="15" t="s">
        <v>29</v>
      </c>
      <c r="J300" s="15" t="s">
        <v>30</v>
      </c>
      <c r="K300" s="10" t="s">
        <v>7</v>
      </c>
    </row>
    <row r="301" ht="13.5" customHeight="1">
      <c r="A301" s="10" t="s">
        <v>31</v>
      </c>
      <c r="B301" s="19">
        <v>1.2</v>
      </c>
      <c r="C301" s="10" t="s">
        <v>33</v>
      </c>
      <c r="D301" s="21">
        <f t="shared" ref="D301:J301" si="63">D4+D14+D23+D32+D41+D50+D60+D70+D80+D90+D99+D109+D118+D127+D136+D145+D154+D163+D172+D181+D190+D200+D210+D220+D230+D240+D250+D260+D270+D280+D290</f>
        <v>9370</v>
      </c>
      <c r="E301" s="21">
        <f t="shared" si="63"/>
        <v>0</v>
      </c>
      <c r="F301" s="21">
        <f t="shared" si="63"/>
        <v>11000</v>
      </c>
      <c r="G301" s="21">
        <f t="shared" si="63"/>
        <v>0</v>
      </c>
      <c r="H301" s="21">
        <f t="shared" si="63"/>
        <v>31590</v>
      </c>
      <c r="I301" s="21">
        <f t="shared" si="63"/>
        <v>0</v>
      </c>
      <c r="J301" s="21">
        <f t="shared" si="63"/>
        <v>2160</v>
      </c>
      <c r="K301" s="10">
        <f t="shared" ref="K301:K306" si="65">SUM(D301:J301)</f>
        <v>54120</v>
      </c>
    </row>
    <row r="302" ht="13.5" customHeight="1">
      <c r="A302" s="10" t="s">
        <v>34</v>
      </c>
      <c r="B302" s="27"/>
      <c r="C302" s="10"/>
      <c r="D302" s="21">
        <f t="shared" ref="D302:J302" si="64">D5+D15+D24+D33+D42+D51+D61+D71+D81+D91+D100+D110+D119+D128+D137+D146+D155+D164+D173+D182+D191+D201+D211+D221+D231+D241+D251+D261+D271+D281+D291</f>
        <v>8770</v>
      </c>
      <c r="E302" s="21">
        <f t="shared" si="64"/>
        <v>0</v>
      </c>
      <c r="F302" s="21">
        <f t="shared" si="64"/>
        <v>9280</v>
      </c>
      <c r="G302" s="21">
        <f t="shared" si="64"/>
        <v>0</v>
      </c>
      <c r="H302" s="21">
        <f t="shared" si="64"/>
        <v>33540</v>
      </c>
      <c r="I302" s="21">
        <f t="shared" si="64"/>
        <v>0</v>
      </c>
      <c r="J302" s="21">
        <f t="shared" si="64"/>
        <v>1960</v>
      </c>
      <c r="K302" s="10">
        <f t="shared" si="65"/>
        <v>53550</v>
      </c>
    </row>
    <row r="303" ht="13.5" customHeight="1">
      <c r="A303" s="10" t="s">
        <v>35</v>
      </c>
      <c r="B303" s="67">
        <v>2.0</v>
      </c>
      <c r="C303" s="15" t="s">
        <v>36</v>
      </c>
      <c r="D303" s="21">
        <f t="shared" ref="D303:J303" si="66">D6+D16+D25+D34+D43+D52+D62+D72+D82+D92+D101+D111+D120+D129+D138+D147+D156+D165+D174+D183+D192+D202+D212+D222+D232+D242+D252+D262+D272+D282+D292</f>
        <v>0</v>
      </c>
      <c r="E303" s="21">
        <f t="shared" si="66"/>
        <v>0</v>
      </c>
      <c r="F303" s="21">
        <f t="shared" si="66"/>
        <v>0</v>
      </c>
      <c r="G303" s="21">
        <f t="shared" si="66"/>
        <v>0</v>
      </c>
      <c r="H303" s="21">
        <f t="shared" si="66"/>
        <v>0</v>
      </c>
      <c r="I303" s="21">
        <f t="shared" si="66"/>
        <v>0</v>
      </c>
      <c r="J303" s="21">
        <f t="shared" si="66"/>
        <v>0</v>
      </c>
      <c r="K303" s="10">
        <f t="shared" si="65"/>
        <v>0</v>
      </c>
    </row>
    <row r="304" ht="13.5" customHeight="1">
      <c r="A304" s="10" t="s">
        <v>37</v>
      </c>
      <c r="B304" s="67"/>
      <c r="C304" s="15"/>
      <c r="D304" s="21">
        <f t="shared" ref="D304:J304" si="67">D7+D17+D26+D35+D44+D53+D63+D73+D83+D93+D102+D112+D121+D130+D139+D148+D157+D166+D175+D184+D193+D203+D213+D223+D233+D243+D253+D263+D273+D283+D293</f>
        <v>0</v>
      </c>
      <c r="E304" s="21">
        <f t="shared" si="67"/>
        <v>0</v>
      </c>
      <c r="F304" s="21">
        <f t="shared" si="67"/>
        <v>0</v>
      </c>
      <c r="G304" s="21">
        <f t="shared" si="67"/>
        <v>0</v>
      </c>
      <c r="H304" s="21">
        <f t="shared" si="67"/>
        <v>0</v>
      </c>
      <c r="I304" s="21">
        <f t="shared" si="67"/>
        <v>0</v>
      </c>
      <c r="J304" s="21">
        <f t="shared" si="67"/>
        <v>0</v>
      </c>
      <c r="K304" s="10">
        <f t="shared" si="65"/>
        <v>0</v>
      </c>
    </row>
    <row r="305" ht="15.0" customHeight="1">
      <c r="A305" s="10" t="s">
        <v>38</v>
      </c>
      <c r="B305" s="66" t="s">
        <v>39</v>
      </c>
      <c r="C305" s="66" t="s">
        <v>40</v>
      </c>
      <c r="D305" s="21">
        <f t="shared" ref="D305:J305" si="68">D8+D18+D27+D36+D45+D54+D64+D74+D84+D94+D103+D113+D122+D131+D140+D149+D158+D167+D176+D185+D194+D204+D214+D224+D234+D244+D254+D264+D274+D284+D294</f>
        <v>12550</v>
      </c>
      <c r="E305" s="21">
        <f t="shared" si="68"/>
        <v>0</v>
      </c>
      <c r="F305" s="21">
        <f t="shared" si="68"/>
        <v>14780</v>
      </c>
      <c r="G305" s="21">
        <f t="shared" si="68"/>
        <v>0</v>
      </c>
      <c r="H305" s="21">
        <f t="shared" si="68"/>
        <v>164530</v>
      </c>
      <c r="I305" s="21">
        <f t="shared" si="68"/>
        <v>0</v>
      </c>
      <c r="J305" s="21">
        <f t="shared" si="68"/>
        <v>7650</v>
      </c>
      <c r="K305" s="10">
        <f t="shared" si="65"/>
        <v>199510</v>
      </c>
    </row>
    <row r="306" ht="13.5" customHeight="1">
      <c r="A306" s="10" t="s">
        <v>41</v>
      </c>
      <c r="B306" s="7"/>
      <c r="C306" s="7"/>
      <c r="D306" s="21">
        <f t="shared" ref="D306:J306" si="69">D9+D19+D28+D37+D46+D55+D65+D75+D85+D95+D104+D114+D123+D132+D141+D150+D159+D168+D177+D186+D195+D205+D215+D225+D235+D245+D255+D265+D275+D285+D295</f>
        <v>12250</v>
      </c>
      <c r="E306" s="21">
        <f t="shared" si="69"/>
        <v>0</v>
      </c>
      <c r="F306" s="21">
        <f t="shared" si="69"/>
        <v>13450</v>
      </c>
      <c r="G306" s="21">
        <f t="shared" si="69"/>
        <v>0</v>
      </c>
      <c r="H306" s="21">
        <f t="shared" si="69"/>
        <v>160450</v>
      </c>
      <c r="I306" s="21">
        <f t="shared" si="69"/>
        <v>0</v>
      </c>
      <c r="J306" s="21">
        <f t="shared" si="69"/>
        <v>7220</v>
      </c>
      <c r="K306" s="10">
        <f t="shared" si="65"/>
        <v>193370</v>
      </c>
    </row>
    <row r="307" ht="13.5" customHeight="1">
      <c r="A307" s="10" t="s">
        <v>7</v>
      </c>
      <c r="B307" s="10"/>
      <c r="C307" s="10"/>
      <c r="D307" s="21">
        <f t="shared" ref="D307:K307" si="70">SUM(D301:D306)</f>
        <v>42940</v>
      </c>
      <c r="E307" s="21">
        <f t="shared" si="70"/>
        <v>0</v>
      </c>
      <c r="F307" s="21">
        <f t="shared" si="70"/>
        <v>48510</v>
      </c>
      <c r="G307" s="21">
        <f t="shared" si="70"/>
        <v>0</v>
      </c>
      <c r="H307" s="21">
        <f t="shared" si="70"/>
        <v>390110</v>
      </c>
      <c r="I307" s="21">
        <f t="shared" si="70"/>
        <v>0</v>
      </c>
      <c r="J307" s="21">
        <f t="shared" si="70"/>
        <v>18990</v>
      </c>
      <c r="K307" s="10">
        <f t="shared" si="70"/>
        <v>500550</v>
      </c>
    </row>
    <row r="308" ht="13.5" customHeight="1">
      <c r="A308" s="10"/>
      <c r="B308" s="10"/>
      <c r="C308" s="10"/>
      <c r="D308" s="15" t="s">
        <v>2</v>
      </c>
      <c r="E308" s="10" t="s">
        <v>28</v>
      </c>
      <c r="F308" s="16" t="s">
        <v>3</v>
      </c>
      <c r="G308" s="15" t="s">
        <v>4</v>
      </c>
      <c r="H308" s="15" t="s">
        <v>5</v>
      </c>
      <c r="I308" s="15" t="s">
        <v>29</v>
      </c>
      <c r="J308" s="15" t="s">
        <v>30</v>
      </c>
      <c r="K308" s="10" t="s">
        <v>7</v>
      </c>
    </row>
    <row r="309" ht="13.5" customHeight="1">
      <c r="A309" s="10"/>
      <c r="B309" s="66" t="s">
        <v>406</v>
      </c>
      <c r="C309" s="10" t="s">
        <v>33</v>
      </c>
      <c r="D309" s="10">
        <f t="shared" ref="D309:K309" si="71">D301+D302</f>
        <v>18140</v>
      </c>
      <c r="E309" s="10">
        <f t="shared" si="71"/>
        <v>0</v>
      </c>
      <c r="F309" s="10">
        <f t="shared" si="71"/>
        <v>20280</v>
      </c>
      <c r="G309" s="10">
        <f t="shared" si="71"/>
        <v>0</v>
      </c>
      <c r="H309" s="10">
        <f t="shared" si="71"/>
        <v>65130</v>
      </c>
      <c r="I309" s="10">
        <f t="shared" si="71"/>
        <v>0</v>
      </c>
      <c r="J309" s="10">
        <f t="shared" si="71"/>
        <v>4120</v>
      </c>
      <c r="K309" s="10">
        <f t="shared" si="71"/>
        <v>107670</v>
      </c>
      <c r="L309" s="68"/>
    </row>
    <row r="310" ht="13.5" customHeight="1">
      <c r="A310" s="10" t="s">
        <v>7</v>
      </c>
      <c r="B310" s="7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3.5" customHeight="1">
      <c r="A311" s="10"/>
      <c r="B311" s="67">
        <v>2.0</v>
      </c>
      <c r="C311" s="15" t="s">
        <v>36</v>
      </c>
      <c r="D311" s="10">
        <f t="shared" ref="D311:J311" si="72">D303+D304</f>
        <v>0</v>
      </c>
      <c r="E311" s="10">
        <f t="shared" si="72"/>
        <v>0</v>
      </c>
      <c r="F311" s="10">
        <f t="shared" si="72"/>
        <v>0</v>
      </c>
      <c r="G311" s="10">
        <f t="shared" si="72"/>
        <v>0</v>
      </c>
      <c r="H311" s="10">
        <f t="shared" si="72"/>
        <v>0</v>
      </c>
      <c r="I311" s="10">
        <f t="shared" si="72"/>
        <v>0</v>
      </c>
      <c r="J311" s="10">
        <f t="shared" si="72"/>
        <v>0</v>
      </c>
      <c r="K311" s="10">
        <f>SUM(D311:J311)</f>
        <v>0</v>
      </c>
    </row>
    <row r="312" ht="13.5" customHeight="1">
      <c r="A312" s="10"/>
      <c r="B312" s="67"/>
      <c r="C312" s="15"/>
      <c r="D312" s="10"/>
      <c r="E312" s="10"/>
      <c r="F312" s="10"/>
      <c r="G312" s="10"/>
      <c r="H312" s="10"/>
      <c r="I312" s="10"/>
      <c r="J312" s="10"/>
      <c r="K312" s="10"/>
    </row>
    <row r="313" ht="14.25" customHeight="1">
      <c r="A313" s="10"/>
      <c r="B313" s="66" t="s">
        <v>39</v>
      </c>
      <c r="C313" s="66" t="s">
        <v>40</v>
      </c>
      <c r="D313" s="10">
        <f t="shared" ref="D313:J313" si="73">D305+D306</f>
        <v>24800</v>
      </c>
      <c r="E313" s="10">
        <f t="shared" si="73"/>
        <v>0</v>
      </c>
      <c r="F313" s="10">
        <f t="shared" si="73"/>
        <v>28230</v>
      </c>
      <c r="G313" s="10">
        <f t="shared" si="73"/>
        <v>0</v>
      </c>
      <c r="H313" s="10">
        <f t="shared" si="73"/>
        <v>324980</v>
      </c>
      <c r="I313" s="10">
        <f t="shared" si="73"/>
        <v>0</v>
      </c>
      <c r="J313" s="10">
        <f t="shared" si="73"/>
        <v>14870</v>
      </c>
      <c r="K313" s="10">
        <f>SUM(D313:J313)</f>
        <v>392880</v>
      </c>
    </row>
    <row r="314" ht="13.5" customHeight="1">
      <c r="A314" s="10"/>
      <c r="B314" s="7"/>
      <c r="C314" s="7"/>
      <c r="D314" s="10"/>
      <c r="E314" s="10"/>
      <c r="F314" s="10"/>
      <c r="G314" s="10"/>
      <c r="H314" s="10"/>
      <c r="I314" s="10"/>
      <c r="J314" s="10"/>
      <c r="K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>
        <f>SUM(K309:K314)</f>
        <v>500550</v>
      </c>
    </row>
    <row r="316" ht="13.5" customHeight="1"/>
    <row r="317" ht="13.5" customHeight="1">
      <c r="D317" s="69"/>
    </row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1">
    <mergeCell ref="B103:B104"/>
    <mergeCell ref="C103:C104"/>
    <mergeCell ref="A107:D107"/>
    <mergeCell ref="B109:B110"/>
    <mergeCell ref="B113:B114"/>
    <mergeCell ref="C113:C114"/>
    <mergeCell ref="A116:D116"/>
    <mergeCell ref="B118:B119"/>
    <mergeCell ref="B122:B123"/>
    <mergeCell ref="C122:C123"/>
    <mergeCell ref="A125:D125"/>
    <mergeCell ref="B127:B128"/>
    <mergeCell ref="C131:C132"/>
    <mergeCell ref="A134:D134"/>
    <mergeCell ref="B131:B132"/>
    <mergeCell ref="B136:B137"/>
    <mergeCell ref="B140:B141"/>
    <mergeCell ref="C140:C141"/>
    <mergeCell ref="A143:D143"/>
    <mergeCell ref="B145:B146"/>
    <mergeCell ref="B149:B150"/>
    <mergeCell ref="C149:C150"/>
    <mergeCell ref="A152:D152"/>
    <mergeCell ref="B154:B155"/>
    <mergeCell ref="B158:B159"/>
    <mergeCell ref="C158:C159"/>
    <mergeCell ref="A161:D161"/>
    <mergeCell ref="B163:B164"/>
    <mergeCell ref="B167:B168"/>
    <mergeCell ref="C167:C168"/>
    <mergeCell ref="A170:D170"/>
    <mergeCell ref="B172:B173"/>
    <mergeCell ref="B176:B177"/>
    <mergeCell ref="C176:C177"/>
    <mergeCell ref="A179:D179"/>
    <mergeCell ref="B185:B186"/>
    <mergeCell ref="C185:C186"/>
    <mergeCell ref="A188:D188"/>
    <mergeCell ref="B190:B191"/>
    <mergeCell ref="B194:B195"/>
    <mergeCell ref="C194:C195"/>
    <mergeCell ref="A198:D198"/>
    <mergeCell ref="B200:B201"/>
    <mergeCell ref="B204:B205"/>
    <mergeCell ref="C204:C205"/>
    <mergeCell ref="A208:D208"/>
    <mergeCell ref="B210:B211"/>
    <mergeCell ref="C214:C215"/>
    <mergeCell ref="A218:D218"/>
    <mergeCell ref="B214:B215"/>
    <mergeCell ref="B220:B221"/>
    <mergeCell ref="B224:B225"/>
    <mergeCell ref="C224:C225"/>
    <mergeCell ref="A228:D228"/>
    <mergeCell ref="B230:B231"/>
    <mergeCell ref="B234:B235"/>
    <mergeCell ref="B254:B255"/>
    <mergeCell ref="C254:C255"/>
    <mergeCell ref="A258:D258"/>
    <mergeCell ref="B260:B261"/>
    <mergeCell ref="C264:C265"/>
    <mergeCell ref="A267:D267"/>
    <mergeCell ref="A268:D268"/>
    <mergeCell ref="B264:B265"/>
    <mergeCell ref="B270:B271"/>
    <mergeCell ref="B274:B275"/>
    <mergeCell ref="C274:C275"/>
    <mergeCell ref="A278:D278"/>
    <mergeCell ref="B280:B281"/>
    <mergeCell ref="B284:B285"/>
    <mergeCell ref="B305:B306"/>
    <mergeCell ref="C305:C306"/>
    <mergeCell ref="B309:B310"/>
    <mergeCell ref="B313:B314"/>
    <mergeCell ref="C313:C314"/>
    <mergeCell ref="C284:C285"/>
    <mergeCell ref="A288:D288"/>
    <mergeCell ref="B290:B291"/>
    <mergeCell ref="B294:B295"/>
    <mergeCell ref="C294:C295"/>
    <mergeCell ref="A299:D299"/>
    <mergeCell ref="B301:B302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8:D88"/>
    <mergeCell ref="B90:B91"/>
    <mergeCell ref="B94:B95"/>
    <mergeCell ref="C94:C95"/>
    <mergeCell ref="A97:D97"/>
    <mergeCell ref="B99:B100"/>
    <mergeCell ref="C234:C235"/>
    <mergeCell ref="A238:D238"/>
    <mergeCell ref="B240:B241"/>
    <mergeCell ref="B244:B245"/>
    <mergeCell ref="C244:C245"/>
    <mergeCell ref="A248:D248"/>
    <mergeCell ref="B250:B251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407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333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>
        <v>1.2</v>
      </c>
      <c r="C4" s="20" t="s">
        <v>33</v>
      </c>
      <c r="D4" s="21">
        <v>420.0</v>
      </c>
      <c r="E4" s="10"/>
      <c r="F4" s="10"/>
      <c r="G4" s="22"/>
      <c r="H4" s="21">
        <v>1380.0</v>
      </c>
      <c r="I4" s="23"/>
      <c r="J4" s="24">
        <v>100.0</v>
      </c>
      <c r="K4" s="25">
        <f t="shared" ref="K4:K10" si="1">SUM(D4:J4)</f>
        <v>1900</v>
      </c>
    </row>
    <row r="5" ht="15.0" customHeight="1">
      <c r="A5" s="26" t="s">
        <v>34</v>
      </c>
      <c r="B5" s="27"/>
      <c r="C5" s="28"/>
      <c r="D5" s="21"/>
      <c r="E5" s="10"/>
      <c r="F5" s="10"/>
      <c r="G5" s="22"/>
      <c r="H5" s="21">
        <v>5360.0</v>
      </c>
      <c r="I5" s="29"/>
      <c r="J5" s="29">
        <v>280.0</v>
      </c>
      <c r="K5" s="25">
        <f t="shared" si="1"/>
        <v>5640</v>
      </c>
    </row>
    <row r="6" ht="13.5" customHeight="1">
      <c r="A6" s="18" t="s">
        <v>35</v>
      </c>
      <c r="B6" s="30">
        <v>2.0</v>
      </c>
      <c r="C6" s="31" t="s">
        <v>36</v>
      </c>
      <c r="D6" s="21"/>
      <c r="E6" s="10"/>
      <c r="F6" s="10"/>
      <c r="G6" s="32"/>
      <c r="H6" s="21"/>
      <c r="I6" s="22"/>
      <c r="J6" s="22"/>
      <c r="K6" s="25">
        <f t="shared" si="1"/>
        <v>0</v>
      </c>
    </row>
    <row r="7" ht="13.5" customHeight="1">
      <c r="A7" s="26" t="s">
        <v>37</v>
      </c>
      <c r="B7" s="33"/>
      <c r="C7" s="34"/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460.0</v>
      </c>
      <c r="E8" s="10"/>
      <c r="F8" s="10">
        <v>700.0</v>
      </c>
      <c r="G8" s="22"/>
      <c r="H8" s="21">
        <v>4360.0</v>
      </c>
      <c r="I8" s="29"/>
      <c r="J8" s="29">
        <v>280.0</v>
      </c>
      <c r="K8" s="25">
        <f t="shared" si="1"/>
        <v>5800</v>
      </c>
    </row>
    <row r="9" ht="15.0" customHeight="1">
      <c r="A9" s="35" t="s">
        <v>41</v>
      </c>
      <c r="B9" s="27"/>
      <c r="C9" s="27"/>
      <c r="D9" s="21"/>
      <c r="E9" s="36"/>
      <c r="F9" s="37"/>
      <c r="G9" s="38"/>
      <c r="H9" s="21"/>
      <c r="I9" s="29"/>
      <c r="J9" s="39"/>
      <c r="K9" s="25">
        <f t="shared" si="1"/>
        <v>0</v>
      </c>
    </row>
    <row r="10" ht="13.5" customHeight="1">
      <c r="A10" s="40" t="s">
        <v>7</v>
      </c>
      <c r="B10" s="40"/>
      <c r="C10" s="40"/>
      <c r="D10" s="10">
        <f t="shared" ref="D10:J10" si="2">SUM(D4:D9)</f>
        <v>880</v>
      </c>
      <c r="E10" s="10">
        <f t="shared" si="2"/>
        <v>0</v>
      </c>
      <c r="F10" s="10">
        <f t="shared" si="2"/>
        <v>700</v>
      </c>
      <c r="G10" s="10">
        <f t="shared" si="2"/>
        <v>0</v>
      </c>
      <c r="H10" s="10">
        <f t="shared" si="2"/>
        <v>11100</v>
      </c>
      <c r="I10" s="10">
        <f t="shared" si="2"/>
        <v>0</v>
      </c>
      <c r="J10" s="10">
        <f t="shared" si="2"/>
        <v>660</v>
      </c>
      <c r="K10" s="25">
        <f t="shared" si="1"/>
        <v>13340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408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>
        <v>1.2</v>
      </c>
      <c r="C14" s="20" t="s">
        <v>33</v>
      </c>
      <c r="D14" s="21">
        <v>420.0</v>
      </c>
      <c r="E14" s="10"/>
      <c r="F14" s="36">
        <v>800.0</v>
      </c>
      <c r="G14" s="32"/>
      <c r="H14" s="21">
        <v>1060.0</v>
      </c>
      <c r="I14" s="23"/>
      <c r="J14" s="24">
        <v>80.0</v>
      </c>
      <c r="K14" s="25">
        <f t="shared" ref="K14:K20" si="3">SUM(D14:J14)</f>
        <v>2360</v>
      </c>
    </row>
    <row r="15" ht="13.5" customHeight="1">
      <c r="A15" s="26" t="s">
        <v>34</v>
      </c>
      <c r="B15" s="27"/>
      <c r="C15" s="28"/>
      <c r="D15" s="21">
        <v>380.0</v>
      </c>
      <c r="E15" s="10"/>
      <c r="F15" s="36">
        <v>700.0</v>
      </c>
      <c r="G15" s="22"/>
      <c r="H15" s="21">
        <v>1270.0</v>
      </c>
      <c r="I15" s="29"/>
      <c r="J15" s="29">
        <v>50.0</v>
      </c>
      <c r="K15" s="25">
        <f t="shared" si="3"/>
        <v>2400</v>
      </c>
    </row>
    <row r="16" ht="13.5" customHeight="1">
      <c r="A16" s="18" t="s">
        <v>35</v>
      </c>
      <c r="B16" s="30">
        <v>2.0</v>
      </c>
      <c r="C16" s="31" t="s">
        <v>36</v>
      </c>
      <c r="D16" s="21"/>
      <c r="E16" s="10"/>
      <c r="F16" s="36"/>
      <c r="G16" s="32"/>
      <c r="H16" s="21"/>
      <c r="I16" s="23"/>
      <c r="J16" s="24"/>
      <c r="K16" s="25">
        <f t="shared" si="3"/>
        <v>0</v>
      </c>
    </row>
    <row r="17" ht="13.5" customHeight="1">
      <c r="A17" s="26" t="s">
        <v>37</v>
      </c>
      <c r="B17" s="33"/>
      <c r="C17" s="34"/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380.0</v>
      </c>
      <c r="E18" s="10"/>
      <c r="F18" s="36">
        <v>450.0</v>
      </c>
      <c r="G18" s="22"/>
      <c r="H18" s="21">
        <v>5310.0</v>
      </c>
      <c r="I18" s="29"/>
      <c r="J18" s="29">
        <v>320.0</v>
      </c>
      <c r="K18" s="25">
        <f t="shared" si="3"/>
        <v>6460</v>
      </c>
      <c r="L18" s="43" t="s">
        <v>409</v>
      </c>
    </row>
    <row r="19" ht="13.5" customHeight="1">
      <c r="A19" s="35" t="s">
        <v>41</v>
      </c>
      <c r="B19" s="27"/>
      <c r="C19" s="27"/>
      <c r="D19" s="21">
        <v>380.0</v>
      </c>
      <c r="E19" s="36"/>
      <c r="F19" s="37">
        <v>500.0</v>
      </c>
      <c r="G19" s="38"/>
      <c r="H19" s="21">
        <v>3920.0</v>
      </c>
      <c r="I19" s="29"/>
      <c r="J19" s="39">
        <v>300.0</v>
      </c>
      <c r="K19" s="25">
        <f t="shared" si="3"/>
        <v>5100</v>
      </c>
      <c r="L19" s="43" t="s">
        <v>409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1560</v>
      </c>
      <c r="E20" s="10">
        <f t="shared" si="4"/>
        <v>0</v>
      </c>
      <c r="F20" s="10">
        <f t="shared" si="4"/>
        <v>2450</v>
      </c>
      <c r="G20" s="10">
        <f t="shared" si="4"/>
        <v>0</v>
      </c>
      <c r="H20" s="10">
        <f t="shared" si="4"/>
        <v>11560</v>
      </c>
      <c r="I20" s="10">
        <f t="shared" si="4"/>
        <v>0</v>
      </c>
      <c r="J20" s="10">
        <f t="shared" si="4"/>
        <v>750</v>
      </c>
      <c r="K20" s="25">
        <f t="shared" si="3"/>
        <v>16320</v>
      </c>
    </row>
    <row r="21" ht="13.5" customHeight="1">
      <c r="A21" s="13" t="s">
        <v>410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5" t="s">
        <v>29</v>
      </c>
      <c r="J22" s="15" t="s">
        <v>30</v>
      </c>
      <c r="K22" s="17" t="s">
        <v>7</v>
      </c>
    </row>
    <row r="23" ht="14.25" customHeight="1">
      <c r="A23" s="18" t="s">
        <v>31</v>
      </c>
      <c r="B23" s="19">
        <v>1.2</v>
      </c>
      <c r="C23" s="20" t="s">
        <v>33</v>
      </c>
      <c r="D23" s="21">
        <v>400.0</v>
      </c>
      <c r="E23" s="10"/>
      <c r="F23" s="36">
        <v>780.0</v>
      </c>
      <c r="G23" s="32"/>
      <c r="H23" s="21">
        <v>1020.0</v>
      </c>
      <c r="I23" s="21"/>
      <c r="J23" s="21">
        <v>100.0</v>
      </c>
      <c r="K23" s="25">
        <f t="shared" ref="K23:K29" si="5">SUM(D23:J23)</f>
        <v>2300</v>
      </c>
    </row>
    <row r="24" ht="13.5" customHeight="1">
      <c r="A24" s="26" t="s">
        <v>34</v>
      </c>
      <c r="B24" s="27"/>
      <c r="C24" s="28"/>
      <c r="D24" s="21">
        <v>400.0</v>
      </c>
      <c r="E24" s="36"/>
      <c r="F24" s="36">
        <v>780.0</v>
      </c>
      <c r="G24" s="21"/>
      <c r="H24" s="21">
        <v>1020.0</v>
      </c>
      <c r="I24" s="21"/>
      <c r="J24" s="21">
        <v>100.0</v>
      </c>
      <c r="K24" s="25">
        <f t="shared" si="5"/>
        <v>2300</v>
      </c>
    </row>
    <row r="25" ht="13.5" customHeight="1">
      <c r="A25" s="18" t="s">
        <v>35</v>
      </c>
      <c r="B25" s="30">
        <v>2.0</v>
      </c>
      <c r="C25" s="31" t="s">
        <v>36</v>
      </c>
      <c r="D25" s="21"/>
      <c r="E25" s="10"/>
      <c r="F25" s="36"/>
      <c r="G25" s="21"/>
      <c r="H25" s="21"/>
      <c r="I25" s="21"/>
      <c r="J25" s="21"/>
      <c r="K25" s="25">
        <f t="shared" si="5"/>
        <v>0</v>
      </c>
    </row>
    <row r="26" ht="13.5" customHeight="1">
      <c r="A26" s="26" t="s">
        <v>37</v>
      </c>
      <c r="B26" s="33"/>
      <c r="C26" s="34"/>
      <c r="D26" s="21"/>
      <c r="E26" s="10"/>
      <c r="F26" s="36"/>
      <c r="G26" s="21"/>
      <c r="H26" s="21"/>
      <c r="I26" s="21"/>
      <c r="J26" s="21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400.0</v>
      </c>
      <c r="E27" s="10"/>
      <c r="F27" s="36">
        <v>450.0</v>
      </c>
      <c r="G27" s="21"/>
      <c r="H27" s="44">
        <v>5352.0</v>
      </c>
      <c r="I27" s="44"/>
      <c r="J27" s="23">
        <v>330.0</v>
      </c>
      <c r="K27" s="25">
        <f t="shared" si="5"/>
        <v>6532</v>
      </c>
    </row>
    <row r="28" ht="13.5" customHeight="1">
      <c r="A28" s="35" t="s">
        <v>41</v>
      </c>
      <c r="B28" s="27"/>
      <c r="C28" s="27"/>
      <c r="D28" s="21">
        <v>410.0</v>
      </c>
      <c r="E28" s="10"/>
      <c r="F28" s="36">
        <v>500.0</v>
      </c>
      <c r="G28" s="21"/>
      <c r="H28" s="21">
        <v>5250.0</v>
      </c>
      <c r="I28" s="21"/>
      <c r="J28" s="29">
        <v>330.0</v>
      </c>
      <c r="K28" s="25">
        <f t="shared" si="5"/>
        <v>6490</v>
      </c>
    </row>
    <row r="29" ht="13.5" customHeight="1">
      <c r="A29" s="40" t="s">
        <v>7</v>
      </c>
      <c r="B29" s="40"/>
      <c r="C29" s="40">
        <v>547.0</v>
      </c>
      <c r="D29" s="10"/>
      <c r="E29" s="10"/>
      <c r="F29" s="10"/>
      <c r="G29" s="10"/>
      <c r="H29" s="10"/>
      <c r="I29" s="10"/>
      <c r="J29" s="10"/>
      <c r="K29" s="25">
        <f t="shared" si="5"/>
        <v>0</v>
      </c>
    </row>
    <row r="30" ht="13.5" customHeight="1">
      <c r="A30" s="13" t="s">
        <v>411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>
        <v>1.2</v>
      </c>
      <c r="C32" s="20" t="s">
        <v>33</v>
      </c>
      <c r="D32" s="21">
        <v>380.0</v>
      </c>
      <c r="E32" s="10"/>
      <c r="F32" s="36">
        <v>780.0</v>
      </c>
      <c r="G32" s="32"/>
      <c r="H32" s="21">
        <v>1180.0</v>
      </c>
      <c r="I32" s="23"/>
      <c r="J32" s="24">
        <v>90.0</v>
      </c>
      <c r="K32" s="25">
        <f t="shared" ref="K32:K37" si="6">SUM(D32:J32)</f>
        <v>2430</v>
      </c>
    </row>
    <row r="33" ht="13.5" customHeight="1">
      <c r="A33" s="26" t="s">
        <v>34</v>
      </c>
      <c r="B33" s="27"/>
      <c r="C33" s="28"/>
      <c r="D33" s="21">
        <v>380.0</v>
      </c>
      <c r="E33" s="10"/>
      <c r="F33" s="36">
        <v>800.0</v>
      </c>
      <c r="G33" s="22"/>
      <c r="H33" s="21">
        <v>1050.0</v>
      </c>
      <c r="I33" s="21"/>
      <c r="J33" s="29">
        <v>100.0</v>
      </c>
      <c r="K33" s="25">
        <f t="shared" si="6"/>
        <v>2330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6"/>
        <v>0</v>
      </c>
    </row>
    <row r="35" ht="13.5" customHeight="1">
      <c r="A35" s="26" t="s">
        <v>37</v>
      </c>
      <c r="B35" s="33"/>
      <c r="C35" s="34"/>
      <c r="D35" s="21"/>
      <c r="E35" s="10"/>
      <c r="F35" s="36"/>
      <c r="G35" s="38"/>
      <c r="H35" s="21"/>
      <c r="I35" s="21"/>
      <c r="J35" s="29"/>
      <c r="K35" s="25">
        <f t="shared" si="6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400.0</v>
      </c>
      <c r="E36" s="10"/>
      <c r="F36" s="41">
        <v>500.0</v>
      </c>
      <c r="G36" s="32"/>
      <c r="H36" s="21">
        <v>5010.0</v>
      </c>
      <c r="I36" s="21"/>
      <c r="J36" s="24">
        <v>330.0</v>
      </c>
      <c r="K36" s="25">
        <f t="shared" si="6"/>
        <v>6240</v>
      </c>
    </row>
    <row r="37" ht="13.5" customHeight="1">
      <c r="A37" s="35" t="s">
        <v>41</v>
      </c>
      <c r="B37" s="27"/>
      <c r="C37" s="27"/>
      <c r="D37" s="21">
        <v>350.0</v>
      </c>
      <c r="E37" s="36"/>
      <c r="F37" s="37">
        <v>500.0</v>
      </c>
      <c r="G37" s="22"/>
      <c r="H37" s="21">
        <v>2850.0</v>
      </c>
      <c r="I37" s="29"/>
      <c r="J37" s="39">
        <v>200.0</v>
      </c>
      <c r="K37" s="25">
        <f t="shared" si="6"/>
        <v>3900</v>
      </c>
    </row>
    <row r="38" ht="13.5" customHeight="1">
      <c r="A38" s="40" t="s">
        <v>7</v>
      </c>
      <c r="B38" s="40"/>
      <c r="C38" s="40">
        <v>547.0</v>
      </c>
      <c r="D38" s="10">
        <f t="shared" ref="D38:K38" si="7">SUM(D32:D37)</f>
        <v>1510</v>
      </c>
      <c r="E38" s="10">
        <f t="shared" si="7"/>
        <v>0</v>
      </c>
      <c r="F38" s="10">
        <f t="shared" si="7"/>
        <v>2580</v>
      </c>
      <c r="G38" s="10">
        <f t="shared" si="7"/>
        <v>0</v>
      </c>
      <c r="H38" s="10">
        <f t="shared" si="7"/>
        <v>10090</v>
      </c>
      <c r="I38" s="10">
        <f t="shared" si="7"/>
        <v>0</v>
      </c>
      <c r="J38" s="10">
        <f t="shared" si="7"/>
        <v>720</v>
      </c>
      <c r="K38" s="10">
        <f t="shared" si="7"/>
        <v>14900</v>
      </c>
    </row>
    <row r="39" ht="13.5" customHeight="1">
      <c r="A39" s="42" t="s">
        <v>412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1.2</v>
      </c>
      <c r="C41" s="20" t="s">
        <v>33</v>
      </c>
      <c r="D41" s="21">
        <v>410.0</v>
      </c>
      <c r="E41" s="10"/>
      <c r="F41" s="36">
        <v>790.0</v>
      </c>
      <c r="G41" s="32"/>
      <c r="H41" s="21">
        <v>970.0</v>
      </c>
      <c r="I41" s="21"/>
      <c r="J41" s="24">
        <v>110.0</v>
      </c>
      <c r="K41" s="25">
        <f t="shared" ref="K41:K47" si="8">SUM(D41:J41)</f>
        <v>2280</v>
      </c>
    </row>
    <row r="42" ht="13.5" customHeight="1">
      <c r="A42" s="26" t="s">
        <v>34</v>
      </c>
      <c r="B42" s="27"/>
      <c r="C42" s="28"/>
      <c r="D42" s="21"/>
      <c r="E42" s="10"/>
      <c r="F42" s="36"/>
      <c r="G42" s="22"/>
      <c r="H42" s="21"/>
      <c r="I42" s="21"/>
      <c r="J42" s="29"/>
      <c r="K42" s="25">
        <f t="shared" si="8"/>
        <v>0</v>
      </c>
    </row>
    <row r="43" ht="13.5" customHeight="1">
      <c r="A43" s="18" t="s">
        <v>35</v>
      </c>
      <c r="B43" s="30">
        <v>2.0</v>
      </c>
      <c r="C43" s="31" t="s">
        <v>36</v>
      </c>
      <c r="D43" s="21"/>
      <c r="E43" s="10"/>
      <c r="F43" s="36"/>
      <c r="G43" s="32"/>
      <c r="H43" s="21"/>
      <c r="I43" s="21"/>
      <c r="J43" s="24"/>
      <c r="K43" s="25">
        <f t="shared" si="8"/>
        <v>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8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430.0</v>
      </c>
      <c r="E45" s="10"/>
      <c r="F45" s="41">
        <v>280.0</v>
      </c>
      <c r="G45" s="32"/>
      <c r="H45" s="21">
        <v>5050.0</v>
      </c>
      <c r="I45" s="21"/>
      <c r="J45" s="24">
        <v>300.0</v>
      </c>
      <c r="K45" s="25">
        <f t="shared" si="8"/>
        <v>6060</v>
      </c>
    </row>
    <row r="46" ht="13.5" customHeight="1">
      <c r="A46" s="35" t="s">
        <v>41</v>
      </c>
      <c r="B46" s="27"/>
      <c r="C46" s="27"/>
      <c r="D46" s="21">
        <v>430.0</v>
      </c>
      <c r="E46" s="36"/>
      <c r="F46" s="37"/>
      <c r="G46" s="38"/>
      <c r="H46" s="21">
        <v>4320.0</v>
      </c>
      <c r="I46" s="21"/>
      <c r="J46" s="39">
        <v>310.0</v>
      </c>
      <c r="K46" s="25">
        <f t="shared" si="8"/>
        <v>5060</v>
      </c>
    </row>
    <row r="47" ht="13.5" customHeight="1">
      <c r="A47" s="40" t="s">
        <v>7</v>
      </c>
      <c r="B47" s="40"/>
      <c r="C47" s="40">
        <v>547.0</v>
      </c>
      <c r="D47" s="10">
        <f t="shared" ref="D47:J47" si="9">SUM(D41:D46)</f>
        <v>1270</v>
      </c>
      <c r="E47" s="10">
        <f t="shared" si="9"/>
        <v>0</v>
      </c>
      <c r="F47" s="10">
        <f t="shared" si="9"/>
        <v>1070</v>
      </c>
      <c r="G47" s="10">
        <f t="shared" si="9"/>
        <v>0</v>
      </c>
      <c r="H47" s="10">
        <f t="shared" si="9"/>
        <v>10340</v>
      </c>
      <c r="I47" s="10">
        <f t="shared" si="9"/>
        <v>0</v>
      </c>
      <c r="J47" s="10">
        <f t="shared" si="9"/>
        <v>720</v>
      </c>
      <c r="K47" s="25">
        <f t="shared" si="8"/>
        <v>13400</v>
      </c>
    </row>
    <row r="48" ht="13.5" customHeight="1">
      <c r="A48" s="13" t="s">
        <v>413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1.2</v>
      </c>
      <c r="C50" s="20" t="s">
        <v>33</v>
      </c>
      <c r="D50" s="21">
        <v>440.0</v>
      </c>
      <c r="E50" s="10"/>
      <c r="F50" s="36"/>
      <c r="G50" s="32"/>
      <c r="H50" s="21">
        <v>1010.0</v>
      </c>
      <c r="I50" s="21"/>
      <c r="J50" s="24">
        <v>50.0</v>
      </c>
      <c r="K50" s="25">
        <f t="shared" ref="K50:K56" si="10">SUM(D50:J50)</f>
        <v>1500</v>
      </c>
    </row>
    <row r="51" ht="13.5" customHeight="1">
      <c r="A51" s="26" t="s">
        <v>34</v>
      </c>
      <c r="B51" s="27"/>
      <c r="C51" s="28">
        <v>206.0</v>
      </c>
      <c r="D51" s="21">
        <v>420.0</v>
      </c>
      <c r="E51" s="10"/>
      <c r="F51" s="36"/>
      <c r="G51" s="22"/>
      <c r="H51" s="21">
        <v>1180.0</v>
      </c>
      <c r="I51" s="21"/>
      <c r="J51" s="29">
        <v>50.0</v>
      </c>
      <c r="K51" s="25">
        <f t="shared" si="10"/>
        <v>1650</v>
      </c>
    </row>
    <row r="52" ht="13.5" customHeight="1">
      <c r="A52" s="18" t="s">
        <v>35</v>
      </c>
      <c r="B52" s="30">
        <v>2.0</v>
      </c>
      <c r="C52" s="31" t="s">
        <v>36</v>
      </c>
      <c r="D52" s="21"/>
      <c r="E52" s="10"/>
      <c r="F52" s="36"/>
      <c r="G52" s="38"/>
      <c r="H52" s="21"/>
      <c r="I52" s="21"/>
      <c r="J52" s="29"/>
      <c r="K52" s="25">
        <f t="shared" si="10"/>
        <v>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0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30.0</v>
      </c>
      <c r="E54" s="10"/>
      <c r="F54" s="41"/>
      <c r="G54" s="32"/>
      <c r="H54" s="21">
        <v>4460.0</v>
      </c>
      <c r="I54" s="21"/>
      <c r="J54" s="24">
        <v>270.0</v>
      </c>
      <c r="K54" s="25">
        <f t="shared" si="10"/>
        <v>4760</v>
      </c>
    </row>
    <row r="55" ht="13.5" customHeight="1">
      <c r="A55" s="35" t="s">
        <v>41</v>
      </c>
      <c r="B55" s="27"/>
      <c r="C55" s="27"/>
      <c r="D55" s="21">
        <v>420.0</v>
      </c>
      <c r="E55" s="36"/>
      <c r="F55" s="37"/>
      <c r="G55" s="38"/>
      <c r="H55" s="21">
        <v>5020.0</v>
      </c>
      <c r="I55" s="21"/>
      <c r="J55" s="39">
        <v>320.0</v>
      </c>
      <c r="K55" s="25">
        <f t="shared" si="10"/>
        <v>5760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1">SUM(D50:D55)</f>
        <v>1310</v>
      </c>
      <c r="E56" s="10">
        <f t="shared" si="11"/>
        <v>0</v>
      </c>
      <c r="F56" s="10">
        <f t="shared" si="11"/>
        <v>0</v>
      </c>
      <c r="G56" s="10">
        <f t="shared" si="11"/>
        <v>0</v>
      </c>
      <c r="H56" s="10">
        <f t="shared" si="11"/>
        <v>11670</v>
      </c>
      <c r="I56" s="10">
        <f t="shared" si="11"/>
        <v>0</v>
      </c>
      <c r="J56" s="10">
        <f t="shared" si="11"/>
        <v>690</v>
      </c>
      <c r="K56" s="25">
        <f t="shared" si="10"/>
        <v>13670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414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>
        <v>1.2</v>
      </c>
      <c r="C60" s="20" t="s">
        <v>33</v>
      </c>
      <c r="D60" s="21">
        <v>460.0</v>
      </c>
      <c r="E60" s="10"/>
      <c r="F60" s="36"/>
      <c r="G60" s="21"/>
      <c r="H60" s="10">
        <v>1090.0</v>
      </c>
      <c r="I60" s="10"/>
      <c r="J60" s="24">
        <v>50.0</v>
      </c>
      <c r="K60" s="25">
        <f t="shared" ref="K60:K66" si="12">SUM(D60:J60)</f>
        <v>1600</v>
      </c>
    </row>
    <row r="61" ht="13.5" customHeight="1">
      <c r="A61" s="26" t="s">
        <v>34</v>
      </c>
      <c r="B61" s="27"/>
      <c r="C61" s="28"/>
      <c r="D61" s="21">
        <v>500.0</v>
      </c>
      <c r="E61" s="10"/>
      <c r="F61" s="36"/>
      <c r="G61" s="21"/>
      <c r="H61" s="10">
        <v>1040.0</v>
      </c>
      <c r="I61" s="10"/>
      <c r="J61" s="29">
        <v>60.0</v>
      </c>
      <c r="K61" s="25">
        <f t="shared" si="12"/>
        <v>1600</v>
      </c>
    </row>
    <row r="62" ht="13.5" customHeight="1">
      <c r="A62" s="18" t="s">
        <v>35</v>
      </c>
      <c r="B62" s="30">
        <v>2.0</v>
      </c>
      <c r="C62" s="31" t="s">
        <v>36</v>
      </c>
      <c r="D62" s="21"/>
      <c r="E62" s="10"/>
      <c r="F62" s="36"/>
      <c r="G62" s="21"/>
      <c r="H62" s="10"/>
      <c r="I62" s="10"/>
      <c r="J62" s="24"/>
      <c r="K62" s="25">
        <f t="shared" si="12"/>
        <v>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2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420.0</v>
      </c>
      <c r="E64" s="10"/>
      <c r="G64" s="21"/>
      <c r="H64" s="10">
        <v>4820.0</v>
      </c>
      <c r="I64" s="10"/>
      <c r="J64" s="24">
        <v>320.0</v>
      </c>
      <c r="K64" s="25">
        <f t="shared" si="12"/>
        <v>5560</v>
      </c>
      <c r="L64" s="10"/>
    </row>
    <row r="65" ht="13.5" customHeight="1">
      <c r="A65" s="35" t="s">
        <v>41</v>
      </c>
      <c r="B65" s="27"/>
      <c r="C65" s="27"/>
      <c r="D65" s="21">
        <v>400.0</v>
      </c>
      <c r="E65" s="36"/>
      <c r="F65" s="36"/>
      <c r="G65" s="21"/>
      <c r="H65" s="10">
        <v>5240.0</v>
      </c>
      <c r="I65" s="10"/>
      <c r="J65" s="39">
        <v>320.0</v>
      </c>
      <c r="K65" s="25">
        <f t="shared" si="12"/>
        <v>5960</v>
      </c>
      <c r="L65" s="36"/>
    </row>
    <row r="66" ht="13.5" customHeight="1">
      <c r="A66" s="40" t="s">
        <v>7</v>
      </c>
      <c r="B66" s="40"/>
      <c r="C66" s="40">
        <v>547.0</v>
      </c>
      <c r="D66" s="10">
        <f t="shared" ref="D66:J66" si="13">SUM(D60:D65)</f>
        <v>1780</v>
      </c>
      <c r="E66" s="10">
        <f t="shared" si="13"/>
        <v>0</v>
      </c>
      <c r="F66" s="10">
        <f t="shared" si="13"/>
        <v>0</v>
      </c>
      <c r="G66" s="10">
        <f t="shared" si="13"/>
        <v>0</v>
      </c>
      <c r="H66" s="10">
        <f t="shared" si="13"/>
        <v>12190</v>
      </c>
      <c r="I66" s="10">
        <f t="shared" si="13"/>
        <v>0</v>
      </c>
      <c r="J66" s="10">
        <f t="shared" si="13"/>
        <v>750</v>
      </c>
      <c r="K66" s="25">
        <f t="shared" si="12"/>
        <v>14720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415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  <c r="L69" s="43" t="s">
        <v>325</v>
      </c>
    </row>
    <row r="70" ht="13.5" customHeight="1">
      <c r="A70" s="18" t="s">
        <v>31</v>
      </c>
      <c r="B70" s="19">
        <v>1.13</v>
      </c>
      <c r="C70" s="20" t="s">
        <v>33</v>
      </c>
      <c r="D70" s="21">
        <v>500.0</v>
      </c>
      <c r="E70" s="10"/>
      <c r="F70" s="36"/>
      <c r="G70" s="21"/>
      <c r="H70" s="10">
        <v>1060.0</v>
      </c>
      <c r="I70" s="10"/>
      <c r="J70" s="24">
        <v>70.0</v>
      </c>
      <c r="K70" s="25">
        <f t="shared" ref="K70:K76" si="14">SUM(D70:J70)</f>
        <v>1630</v>
      </c>
    </row>
    <row r="71" ht="13.5" customHeight="1">
      <c r="A71" s="26" t="s">
        <v>34</v>
      </c>
      <c r="B71" s="27"/>
      <c r="C71" s="28"/>
      <c r="D71" s="21">
        <v>430.0</v>
      </c>
      <c r="E71" s="10"/>
      <c r="F71" s="36">
        <v>460.0</v>
      </c>
      <c r="G71" s="21"/>
      <c r="H71" s="10">
        <v>1110.0</v>
      </c>
      <c r="I71" s="10"/>
      <c r="J71" s="29">
        <v>70.0</v>
      </c>
      <c r="K71" s="25">
        <f t="shared" si="14"/>
        <v>2070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4"/>
        <v>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4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420.0</v>
      </c>
      <c r="E74" s="10"/>
      <c r="F74" s="10"/>
      <c r="G74" s="21"/>
      <c r="H74" s="10">
        <v>5230.0</v>
      </c>
      <c r="I74" s="10"/>
      <c r="J74" s="24">
        <v>300.0</v>
      </c>
      <c r="K74" s="25">
        <f t="shared" si="14"/>
        <v>5950</v>
      </c>
      <c r="L74" s="10"/>
    </row>
    <row r="75" ht="13.5" customHeight="1">
      <c r="A75" s="35" t="s">
        <v>41</v>
      </c>
      <c r="B75" s="27"/>
      <c r="C75" s="27"/>
      <c r="D75" s="21">
        <v>440.0</v>
      </c>
      <c r="E75" s="36"/>
      <c r="F75" s="36"/>
      <c r="G75" s="21"/>
      <c r="H75" s="10">
        <v>4370.0</v>
      </c>
      <c r="I75" s="10"/>
      <c r="J75" s="39">
        <v>280.0</v>
      </c>
      <c r="K75" s="25">
        <f t="shared" si="14"/>
        <v>5090</v>
      </c>
      <c r="L75" s="36"/>
    </row>
    <row r="76" ht="13.5" customHeight="1">
      <c r="A76" s="40" t="s">
        <v>7</v>
      </c>
      <c r="B76" s="40"/>
      <c r="C76" s="40">
        <v>547.0</v>
      </c>
      <c r="D76" s="40">
        <f t="shared" ref="D76:J76" si="15">SUM(D70:D75)</f>
        <v>1790</v>
      </c>
      <c r="E76" s="40">
        <f t="shared" si="15"/>
        <v>0</v>
      </c>
      <c r="F76" s="40">
        <f t="shared" si="15"/>
        <v>460</v>
      </c>
      <c r="G76" s="40">
        <f t="shared" si="15"/>
        <v>0</v>
      </c>
      <c r="H76" s="40">
        <f t="shared" si="15"/>
        <v>11770</v>
      </c>
      <c r="I76" s="40">
        <f t="shared" si="15"/>
        <v>0</v>
      </c>
      <c r="J76" s="40">
        <f t="shared" si="15"/>
        <v>720</v>
      </c>
      <c r="K76" s="25">
        <f t="shared" si="14"/>
        <v>14740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416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  <c r="L79" s="43" t="s">
        <v>325</v>
      </c>
    </row>
    <row r="80" ht="13.5" customHeight="1">
      <c r="A80" s="18" t="s">
        <v>31</v>
      </c>
      <c r="B80" s="19">
        <v>1.0</v>
      </c>
      <c r="C80" s="20" t="s">
        <v>33</v>
      </c>
      <c r="D80" s="21">
        <v>220.0</v>
      </c>
      <c r="E80" s="36"/>
      <c r="F80" s="36">
        <v>300.0</v>
      </c>
      <c r="G80" s="22"/>
      <c r="H80" s="21">
        <v>300.0</v>
      </c>
      <c r="I80" s="21"/>
      <c r="J80" s="29">
        <v>40.0</v>
      </c>
      <c r="K80" s="25">
        <f t="shared" ref="K80:K86" si="16">SUM(D80:J80)</f>
        <v>860</v>
      </c>
    </row>
    <row r="81" ht="13.5" customHeight="1">
      <c r="A81" s="26" t="s">
        <v>34</v>
      </c>
      <c r="B81" s="27"/>
      <c r="C81" s="28">
        <v>86.0</v>
      </c>
      <c r="D81" s="21">
        <v>200.0</v>
      </c>
      <c r="E81" s="36"/>
      <c r="F81" s="36">
        <v>250.0</v>
      </c>
      <c r="G81" s="22"/>
      <c r="H81" s="21">
        <v>250.0</v>
      </c>
      <c r="I81" s="21"/>
      <c r="J81" s="29">
        <v>40.0</v>
      </c>
      <c r="K81" s="25">
        <f t="shared" si="16"/>
        <v>740</v>
      </c>
    </row>
    <row r="82" ht="13.5" customHeight="1">
      <c r="A82" s="18" t="s">
        <v>35</v>
      </c>
      <c r="B82" s="30">
        <v>2.0</v>
      </c>
      <c r="C82" s="31" t="s">
        <v>36</v>
      </c>
      <c r="D82" s="21">
        <v>200.0</v>
      </c>
      <c r="E82" s="36"/>
      <c r="F82" s="36">
        <v>150.0</v>
      </c>
      <c r="G82" s="32"/>
      <c r="H82" s="21">
        <v>570.0</v>
      </c>
      <c r="I82" s="21"/>
      <c r="J82" s="24">
        <v>60.0</v>
      </c>
      <c r="K82" s="25">
        <f t="shared" si="16"/>
        <v>980</v>
      </c>
    </row>
    <row r="83" ht="13.5" customHeight="1">
      <c r="A83" s="26" t="s">
        <v>37</v>
      </c>
      <c r="B83" s="33"/>
      <c r="C83" s="34">
        <v>127.0</v>
      </c>
      <c r="D83" s="21">
        <v>160.0</v>
      </c>
      <c r="E83" s="36"/>
      <c r="F83" s="36">
        <v>100.0</v>
      </c>
      <c r="G83" s="22"/>
      <c r="H83" s="21">
        <v>550.0</v>
      </c>
      <c r="I83" s="21"/>
      <c r="J83" s="29">
        <v>60.0</v>
      </c>
      <c r="K83" s="25">
        <f t="shared" si="16"/>
        <v>870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450.0</v>
      </c>
      <c r="E84" s="41"/>
      <c r="F84" s="41">
        <v>600.0</v>
      </c>
      <c r="G84" s="32"/>
      <c r="H84" s="44">
        <v>4480.0</v>
      </c>
      <c r="I84" s="21"/>
      <c r="J84" s="24">
        <v>330.0</v>
      </c>
      <c r="K84" s="25">
        <f t="shared" si="16"/>
        <v>5860</v>
      </c>
      <c r="L84" s="10"/>
    </row>
    <row r="85" ht="13.5" customHeight="1">
      <c r="A85" s="35" t="s">
        <v>41</v>
      </c>
      <c r="B85" s="27"/>
      <c r="C85" s="27"/>
      <c r="D85" s="21">
        <v>450.0</v>
      </c>
      <c r="E85" s="36"/>
      <c r="F85" s="37">
        <v>280.0</v>
      </c>
      <c r="G85" s="38"/>
      <c r="H85" s="21">
        <v>4560.0</v>
      </c>
      <c r="I85" s="29"/>
      <c r="J85" s="39">
        <v>280.0</v>
      </c>
      <c r="K85" s="25">
        <f t="shared" si="16"/>
        <v>5570</v>
      </c>
      <c r="L85" s="36"/>
    </row>
    <row r="86" ht="13.5" customHeight="1">
      <c r="A86" s="40" t="s">
        <v>7</v>
      </c>
      <c r="B86" s="40"/>
      <c r="C86" s="40">
        <v>547.0</v>
      </c>
      <c r="D86" s="10">
        <f t="shared" ref="D86:J86" si="17">SUM(D80:D85)</f>
        <v>1680</v>
      </c>
      <c r="E86" s="10">
        <f t="shared" si="17"/>
        <v>0</v>
      </c>
      <c r="F86" s="10">
        <f t="shared" si="17"/>
        <v>1680</v>
      </c>
      <c r="G86" s="10">
        <f t="shared" si="17"/>
        <v>0</v>
      </c>
      <c r="H86" s="10">
        <f t="shared" si="17"/>
        <v>10710</v>
      </c>
      <c r="I86" s="10">
        <f t="shared" si="17"/>
        <v>0</v>
      </c>
      <c r="J86" s="10">
        <f t="shared" si="17"/>
        <v>810</v>
      </c>
      <c r="K86" s="25">
        <f t="shared" si="16"/>
        <v>14880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3" t="s">
        <v>417</v>
      </c>
    </row>
    <row r="89" ht="13.5" customHeight="1">
      <c r="A89" s="14" t="s">
        <v>25</v>
      </c>
      <c r="B89" s="14" t="s">
        <v>1</v>
      </c>
      <c r="C89" s="14" t="s">
        <v>27</v>
      </c>
      <c r="D89" s="15" t="s">
        <v>2</v>
      </c>
      <c r="E89" s="10" t="s">
        <v>28</v>
      </c>
      <c r="F89" s="16" t="s">
        <v>3</v>
      </c>
      <c r="G89" s="15" t="s">
        <v>4</v>
      </c>
      <c r="H89" s="15" t="s">
        <v>5</v>
      </c>
      <c r="I89" s="15" t="s">
        <v>29</v>
      </c>
      <c r="J89" s="14" t="s">
        <v>30</v>
      </c>
      <c r="K89" s="17" t="s">
        <v>7</v>
      </c>
      <c r="L89" s="43" t="s">
        <v>325</v>
      </c>
    </row>
    <row r="90" ht="14.25" customHeight="1">
      <c r="A90" s="18" t="s">
        <v>31</v>
      </c>
      <c r="B90" s="19">
        <v>1.0</v>
      </c>
      <c r="C90" s="20" t="s">
        <v>33</v>
      </c>
      <c r="D90" s="21">
        <v>220.0</v>
      </c>
      <c r="E90" s="10"/>
      <c r="F90" s="36">
        <v>280.0</v>
      </c>
      <c r="G90" s="32"/>
      <c r="H90" s="21">
        <v>320.0</v>
      </c>
      <c r="I90" s="21"/>
      <c r="J90" s="24">
        <v>40.0</v>
      </c>
      <c r="K90" s="25">
        <f t="shared" ref="K90:K96" si="18">SUM(D90:J90)</f>
        <v>860</v>
      </c>
    </row>
    <row r="91" ht="13.5" customHeight="1">
      <c r="A91" s="26" t="s">
        <v>34</v>
      </c>
      <c r="B91" s="27"/>
      <c r="C91" s="28">
        <v>86.0</v>
      </c>
      <c r="D91" s="21">
        <v>190.0</v>
      </c>
      <c r="E91" s="10"/>
      <c r="F91" s="36">
        <v>280.0</v>
      </c>
      <c r="G91" s="32"/>
      <c r="H91" s="21">
        <v>330.0</v>
      </c>
      <c r="I91" s="21"/>
      <c r="J91" s="29">
        <v>40.0</v>
      </c>
      <c r="K91" s="25">
        <f t="shared" si="18"/>
        <v>840</v>
      </c>
    </row>
    <row r="92" ht="13.5" customHeight="1">
      <c r="A92" s="18" t="s">
        <v>35</v>
      </c>
      <c r="B92" s="30">
        <v>2.0</v>
      </c>
      <c r="C92" s="31" t="s">
        <v>36</v>
      </c>
      <c r="D92" s="21">
        <v>180.0</v>
      </c>
      <c r="E92" s="10"/>
      <c r="F92" s="36">
        <v>150.0</v>
      </c>
      <c r="G92" s="32"/>
      <c r="H92" s="21">
        <v>490.0</v>
      </c>
      <c r="I92" s="21"/>
      <c r="J92" s="24">
        <v>80.0</v>
      </c>
      <c r="K92" s="25">
        <f t="shared" si="18"/>
        <v>900</v>
      </c>
    </row>
    <row r="93" ht="13.5" customHeight="1">
      <c r="A93" s="26" t="s">
        <v>37</v>
      </c>
      <c r="B93" s="33"/>
      <c r="C93" s="34">
        <v>127.0</v>
      </c>
      <c r="D93" s="21">
        <v>200.0</v>
      </c>
      <c r="E93" s="10"/>
      <c r="F93" s="36">
        <v>100.0</v>
      </c>
      <c r="G93" s="32"/>
      <c r="H93" s="21">
        <v>690.0</v>
      </c>
      <c r="I93" s="21"/>
      <c r="J93" s="29">
        <v>80.0</v>
      </c>
      <c r="K93" s="25">
        <f t="shared" si="18"/>
        <v>1070</v>
      </c>
    </row>
    <row r="94" ht="15.0" customHeight="1">
      <c r="A94" s="18" t="s">
        <v>38</v>
      </c>
      <c r="B94" s="19" t="s">
        <v>39</v>
      </c>
      <c r="C94" s="19" t="s">
        <v>40</v>
      </c>
      <c r="D94" s="21">
        <v>400.0</v>
      </c>
      <c r="E94" s="36"/>
      <c r="F94" s="41">
        <v>600.0</v>
      </c>
      <c r="G94" s="32"/>
      <c r="H94" s="21">
        <v>4520.0</v>
      </c>
      <c r="I94" s="21"/>
      <c r="J94" s="24">
        <v>300.0</v>
      </c>
      <c r="K94" s="25">
        <f t="shared" si="18"/>
        <v>5820</v>
      </c>
      <c r="L94" s="10"/>
    </row>
    <row r="95" ht="13.5" customHeight="1">
      <c r="A95" s="35" t="s">
        <v>41</v>
      </c>
      <c r="B95" s="27"/>
      <c r="C95" s="27"/>
      <c r="D95" s="21">
        <v>370.0</v>
      </c>
      <c r="E95" s="36"/>
      <c r="F95" s="37">
        <v>600.0</v>
      </c>
      <c r="G95" s="38"/>
      <c r="H95" s="21">
        <v>4010.0</v>
      </c>
      <c r="I95" s="21"/>
      <c r="J95" s="39">
        <v>300.0</v>
      </c>
      <c r="K95" s="25">
        <f t="shared" si="18"/>
        <v>5280</v>
      </c>
      <c r="L95" s="36"/>
    </row>
    <row r="96" ht="13.5" customHeight="1">
      <c r="A96" s="40" t="s">
        <v>7</v>
      </c>
      <c r="B96" s="40"/>
      <c r="C96" s="40">
        <v>563.0</v>
      </c>
      <c r="D96" s="10">
        <f t="shared" ref="D96:J96" si="19">SUM(D90:D95)</f>
        <v>1560</v>
      </c>
      <c r="E96" s="10">
        <f t="shared" si="19"/>
        <v>0</v>
      </c>
      <c r="F96" s="10">
        <f t="shared" si="19"/>
        <v>2010</v>
      </c>
      <c r="G96" s="10">
        <f t="shared" si="19"/>
        <v>0</v>
      </c>
      <c r="H96" s="10">
        <f t="shared" si="19"/>
        <v>10360</v>
      </c>
      <c r="I96" s="10">
        <f t="shared" si="19"/>
        <v>0</v>
      </c>
      <c r="J96" s="10">
        <f t="shared" si="19"/>
        <v>840</v>
      </c>
      <c r="K96" s="25">
        <f t="shared" si="18"/>
        <v>14770</v>
      </c>
    </row>
    <row r="97" ht="13.5" customHeight="1">
      <c r="A97" s="13" t="s">
        <v>418</v>
      </c>
    </row>
    <row r="98" ht="13.5" customHeight="1">
      <c r="A98" s="14" t="s">
        <v>25</v>
      </c>
      <c r="B98" s="14" t="s">
        <v>1</v>
      </c>
      <c r="C98" s="14" t="s">
        <v>27</v>
      </c>
      <c r="D98" s="15" t="s">
        <v>2</v>
      </c>
      <c r="E98" s="10" t="s">
        <v>28</v>
      </c>
      <c r="F98" s="16" t="s">
        <v>3</v>
      </c>
      <c r="G98" s="15" t="s">
        <v>4</v>
      </c>
      <c r="H98" s="15" t="s">
        <v>5</v>
      </c>
      <c r="I98" s="15" t="s">
        <v>29</v>
      </c>
      <c r="J98" s="14" t="s">
        <v>30</v>
      </c>
      <c r="K98" s="10" t="s">
        <v>7</v>
      </c>
    </row>
    <row r="99" ht="14.25" customHeight="1">
      <c r="A99" s="18" t="s">
        <v>31</v>
      </c>
      <c r="B99" s="19">
        <v>1.0</v>
      </c>
      <c r="C99" s="20" t="s">
        <v>33</v>
      </c>
      <c r="D99" s="21">
        <v>200.0</v>
      </c>
      <c r="E99" s="10"/>
      <c r="F99" s="36">
        <v>300.0</v>
      </c>
      <c r="G99" s="32"/>
      <c r="H99" s="21">
        <v>160.0</v>
      </c>
      <c r="I99" s="21"/>
      <c r="J99" s="21">
        <v>40.0</v>
      </c>
      <c r="K99" s="10">
        <f t="shared" ref="K99:K105" si="20">SUM(D99:J99)</f>
        <v>700</v>
      </c>
    </row>
    <row r="100" ht="13.5" customHeight="1">
      <c r="A100" s="26" t="s">
        <v>34</v>
      </c>
      <c r="B100" s="27"/>
      <c r="C100" s="28">
        <v>86.0</v>
      </c>
      <c r="D100" s="21">
        <v>200.0</v>
      </c>
      <c r="E100" s="10"/>
      <c r="F100" s="36">
        <v>290.0</v>
      </c>
      <c r="G100" s="32"/>
      <c r="H100" s="21">
        <v>170.0</v>
      </c>
      <c r="I100" s="21"/>
      <c r="J100" s="21">
        <v>40.0</v>
      </c>
      <c r="K100" s="10">
        <f t="shared" si="20"/>
        <v>700</v>
      </c>
    </row>
    <row r="101" ht="13.5" customHeight="1">
      <c r="A101" s="18" t="s">
        <v>35</v>
      </c>
      <c r="B101" s="30">
        <v>2.1</v>
      </c>
      <c r="C101" s="31" t="s">
        <v>36</v>
      </c>
      <c r="D101" s="21">
        <v>200.0</v>
      </c>
      <c r="E101" s="10"/>
      <c r="F101" s="36">
        <v>180.0</v>
      </c>
      <c r="G101" s="32"/>
      <c r="H101" s="21">
        <v>610.0</v>
      </c>
      <c r="I101" s="21"/>
      <c r="J101" s="21">
        <v>320.0</v>
      </c>
      <c r="K101" s="10">
        <f t="shared" si="20"/>
        <v>1310</v>
      </c>
    </row>
    <row r="102" ht="13.5" customHeight="1">
      <c r="A102" s="26" t="s">
        <v>37</v>
      </c>
      <c r="B102" s="33"/>
      <c r="C102" s="34">
        <v>87.0</v>
      </c>
      <c r="D102" s="21">
        <v>180.0</v>
      </c>
      <c r="E102" s="10"/>
      <c r="F102" s="36">
        <v>120.0</v>
      </c>
      <c r="G102" s="32"/>
      <c r="H102" s="21">
        <v>580.0</v>
      </c>
      <c r="I102" s="21"/>
      <c r="J102" s="21">
        <v>100.0</v>
      </c>
      <c r="K102" s="10">
        <f t="shared" si="20"/>
        <v>980</v>
      </c>
    </row>
    <row r="103" ht="14.25" customHeight="1">
      <c r="A103" s="18" t="s">
        <v>38</v>
      </c>
      <c r="B103" s="19" t="s">
        <v>39</v>
      </c>
      <c r="C103" s="19" t="s">
        <v>40</v>
      </c>
      <c r="D103" s="21">
        <v>450.0</v>
      </c>
      <c r="E103" s="36"/>
      <c r="F103" s="41">
        <v>600.0</v>
      </c>
      <c r="G103" s="32"/>
      <c r="H103" s="21">
        <v>4260.0</v>
      </c>
      <c r="I103" s="21"/>
      <c r="J103" s="21">
        <v>350.0</v>
      </c>
      <c r="K103" s="10">
        <f t="shared" si="20"/>
        <v>5660</v>
      </c>
    </row>
    <row r="104" ht="13.5" customHeight="1">
      <c r="A104" s="35" t="s">
        <v>41</v>
      </c>
      <c r="B104" s="27"/>
      <c r="C104" s="27"/>
      <c r="D104" s="21">
        <v>460.0</v>
      </c>
      <c r="E104" s="36"/>
      <c r="F104" s="37">
        <v>600.0</v>
      </c>
      <c r="G104" s="38"/>
      <c r="H104" s="21">
        <v>4320.0</v>
      </c>
      <c r="I104" s="21"/>
      <c r="J104" s="21">
        <v>320.0</v>
      </c>
      <c r="K104" s="10">
        <f t="shared" si="20"/>
        <v>5700</v>
      </c>
    </row>
    <row r="105" ht="13.5" customHeight="1">
      <c r="A105" s="40" t="s">
        <v>7</v>
      </c>
      <c r="B105" s="40"/>
      <c r="C105" s="40">
        <v>563.0</v>
      </c>
      <c r="D105" s="10">
        <f t="shared" ref="D105:J105" si="21">SUM(D99:D104)</f>
        <v>1690</v>
      </c>
      <c r="E105" s="10">
        <f t="shared" si="21"/>
        <v>0</v>
      </c>
      <c r="F105" s="10">
        <f t="shared" si="21"/>
        <v>2090</v>
      </c>
      <c r="G105" s="10">
        <f t="shared" si="21"/>
        <v>0</v>
      </c>
      <c r="H105" s="10">
        <f t="shared" si="21"/>
        <v>10100</v>
      </c>
      <c r="I105" s="10">
        <f t="shared" si="21"/>
        <v>0</v>
      </c>
      <c r="J105" s="10">
        <f t="shared" si="21"/>
        <v>1170</v>
      </c>
      <c r="K105" s="10">
        <f t="shared" si="20"/>
        <v>15050</v>
      </c>
    </row>
    <row r="106" ht="13.5" customHeight="1">
      <c r="A106" s="14"/>
      <c r="B106" s="14"/>
      <c r="C106" s="14"/>
      <c r="D106" s="14"/>
      <c r="E106" s="14"/>
      <c r="F106" s="14"/>
      <c r="G106" s="15"/>
      <c r="H106" s="15"/>
      <c r="I106" s="15"/>
      <c r="J106" s="10"/>
      <c r="K106" s="10"/>
    </row>
    <row r="107" ht="13.5" customHeight="1">
      <c r="A107" s="45" t="s">
        <v>419</v>
      </c>
    </row>
    <row r="108" ht="13.5" customHeight="1">
      <c r="A108" s="14" t="s">
        <v>25</v>
      </c>
      <c r="B108" s="14" t="s">
        <v>1</v>
      </c>
      <c r="C108" s="14" t="s">
        <v>27</v>
      </c>
      <c r="D108" s="15" t="s">
        <v>2</v>
      </c>
      <c r="E108" s="10" t="s">
        <v>28</v>
      </c>
      <c r="F108" s="16" t="s">
        <v>3</v>
      </c>
      <c r="G108" s="15" t="s">
        <v>4</v>
      </c>
      <c r="H108" s="15" t="s">
        <v>5</v>
      </c>
      <c r="I108" s="15" t="s">
        <v>29</v>
      </c>
      <c r="J108" s="14" t="s">
        <v>30</v>
      </c>
      <c r="K108" s="17" t="s">
        <v>7</v>
      </c>
    </row>
    <row r="109" ht="14.25" customHeight="1">
      <c r="A109" s="18" t="s">
        <v>31</v>
      </c>
      <c r="B109" s="19">
        <v>1.0</v>
      </c>
      <c r="C109" s="20" t="s">
        <v>33</v>
      </c>
      <c r="D109" s="21">
        <v>200.0</v>
      </c>
      <c r="E109" s="10"/>
      <c r="F109" s="10">
        <v>290.0</v>
      </c>
      <c r="G109" s="32"/>
      <c r="H109" s="21">
        <v>220.0</v>
      </c>
      <c r="I109" s="21"/>
      <c r="J109" s="21">
        <v>30.0</v>
      </c>
      <c r="K109" s="25">
        <f t="shared" ref="K109:K115" si="22">SUM(D109:J109)</f>
        <v>740</v>
      </c>
    </row>
    <row r="110" ht="13.5" customHeight="1">
      <c r="A110" s="26" t="s">
        <v>34</v>
      </c>
      <c r="B110" s="27"/>
      <c r="C110" s="28">
        <v>86.0</v>
      </c>
      <c r="D110" s="21">
        <v>210.0</v>
      </c>
      <c r="E110" s="10"/>
      <c r="F110" s="10">
        <v>290.0</v>
      </c>
      <c r="G110" s="32"/>
      <c r="H110" s="21">
        <v>210.0</v>
      </c>
      <c r="I110" s="21"/>
      <c r="J110" s="21">
        <v>40.0</v>
      </c>
      <c r="K110" s="25">
        <f t="shared" si="22"/>
        <v>750</v>
      </c>
    </row>
    <row r="111" ht="13.5" customHeight="1">
      <c r="A111" s="18" t="s">
        <v>35</v>
      </c>
      <c r="B111" s="30">
        <v>2.1</v>
      </c>
      <c r="C111" s="31" t="s">
        <v>36</v>
      </c>
      <c r="D111" s="21">
        <v>210.0</v>
      </c>
      <c r="E111" s="10"/>
      <c r="F111" s="10">
        <v>200.0</v>
      </c>
      <c r="G111" s="32"/>
      <c r="H111" s="21">
        <v>590.0</v>
      </c>
      <c r="I111" s="21"/>
      <c r="J111" s="21">
        <v>60.0</v>
      </c>
      <c r="K111" s="25">
        <f t="shared" si="22"/>
        <v>1060</v>
      </c>
    </row>
    <row r="112" ht="13.5" customHeight="1">
      <c r="A112" s="26" t="s">
        <v>37</v>
      </c>
      <c r="B112" s="33"/>
      <c r="C112" s="34">
        <v>87.0</v>
      </c>
      <c r="D112" s="21">
        <v>190.0</v>
      </c>
      <c r="E112" s="10"/>
      <c r="F112" s="36">
        <v>130.0</v>
      </c>
      <c r="G112" s="32"/>
      <c r="H112" s="21">
        <v>630.0</v>
      </c>
      <c r="I112" s="21"/>
      <c r="J112" s="21">
        <v>100.0</v>
      </c>
      <c r="K112" s="25">
        <f t="shared" si="22"/>
        <v>1050</v>
      </c>
    </row>
    <row r="113" ht="15.0" customHeight="1">
      <c r="A113" s="18" t="s">
        <v>38</v>
      </c>
      <c r="B113" s="19" t="s">
        <v>39</v>
      </c>
      <c r="C113" s="19" t="s">
        <v>40</v>
      </c>
      <c r="D113" s="21">
        <v>420.0</v>
      </c>
      <c r="E113" s="36"/>
      <c r="F113" s="41">
        <v>590.0</v>
      </c>
      <c r="G113" s="32"/>
      <c r="H113" s="21">
        <v>3960.0</v>
      </c>
      <c r="I113" s="21"/>
      <c r="J113" s="21">
        <v>300.0</v>
      </c>
      <c r="K113" s="25">
        <f t="shared" si="22"/>
        <v>5270</v>
      </c>
    </row>
    <row r="114" ht="13.5" customHeight="1">
      <c r="A114" s="35" t="s">
        <v>41</v>
      </c>
      <c r="B114" s="27"/>
      <c r="C114" s="27"/>
      <c r="D114" s="21">
        <v>420.0</v>
      </c>
      <c r="E114" s="36"/>
      <c r="F114" s="41">
        <v>600.0</v>
      </c>
      <c r="G114" s="32"/>
      <c r="H114" s="21">
        <v>3860.0</v>
      </c>
      <c r="I114" s="21"/>
      <c r="J114" s="21">
        <v>310.0</v>
      </c>
      <c r="K114" s="25">
        <f t="shared" si="22"/>
        <v>5190</v>
      </c>
    </row>
    <row r="115" ht="13.5" customHeight="1">
      <c r="A115" s="40" t="s">
        <v>7</v>
      </c>
      <c r="B115" s="40"/>
      <c r="C115" s="40">
        <v>563.0</v>
      </c>
      <c r="D115" s="10">
        <f t="shared" ref="D115:J115" si="23">SUM(D109:D114)</f>
        <v>1650</v>
      </c>
      <c r="E115" s="10">
        <f t="shared" si="23"/>
        <v>0</v>
      </c>
      <c r="F115" s="10">
        <f t="shared" si="23"/>
        <v>2100</v>
      </c>
      <c r="G115" s="10">
        <f t="shared" si="23"/>
        <v>0</v>
      </c>
      <c r="H115" s="10">
        <f t="shared" si="23"/>
        <v>9470</v>
      </c>
      <c r="I115" s="10">
        <f t="shared" si="23"/>
        <v>0</v>
      </c>
      <c r="J115" s="10">
        <f t="shared" si="23"/>
        <v>840</v>
      </c>
      <c r="K115" s="25">
        <f t="shared" si="22"/>
        <v>14060</v>
      </c>
    </row>
    <row r="116" ht="13.5" customHeight="1">
      <c r="A116" s="13" t="s">
        <v>420</v>
      </c>
    </row>
    <row r="117" ht="13.5" customHeight="1">
      <c r="A117" s="14" t="s">
        <v>25</v>
      </c>
      <c r="B117" s="14" t="s">
        <v>1</v>
      </c>
      <c r="C117" s="14" t="s">
        <v>27</v>
      </c>
      <c r="D117" s="15" t="s">
        <v>2</v>
      </c>
      <c r="E117" s="10" t="s">
        <v>28</v>
      </c>
      <c r="F117" s="16" t="s">
        <v>3</v>
      </c>
      <c r="G117" s="15" t="s">
        <v>4</v>
      </c>
      <c r="H117" s="15" t="s">
        <v>5</v>
      </c>
      <c r="I117" s="15" t="s">
        <v>29</v>
      </c>
      <c r="J117" s="14" t="s">
        <v>30</v>
      </c>
      <c r="K117" s="17" t="s">
        <v>7</v>
      </c>
    </row>
    <row r="118" ht="14.25" customHeight="1">
      <c r="A118" s="18" t="s">
        <v>31</v>
      </c>
      <c r="B118" s="19">
        <v>1.0</v>
      </c>
      <c r="C118" s="20" t="s">
        <v>33</v>
      </c>
      <c r="D118" s="21">
        <v>200.0</v>
      </c>
      <c r="E118" s="10"/>
      <c r="F118" s="36">
        <v>280.0</v>
      </c>
      <c r="G118" s="32"/>
      <c r="H118" s="21">
        <v>230.0</v>
      </c>
      <c r="I118" s="21"/>
      <c r="J118" s="21">
        <v>20.0</v>
      </c>
      <c r="K118" s="25">
        <f t="shared" ref="K118:K124" si="24">SUM(D118:J118)</f>
        <v>730</v>
      </c>
    </row>
    <row r="119" ht="13.5" customHeight="1">
      <c r="A119" s="26" t="s">
        <v>34</v>
      </c>
      <c r="B119" s="27"/>
      <c r="C119" s="28">
        <v>86.0</v>
      </c>
      <c r="D119" s="21">
        <v>220.0</v>
      </c>
      <c r="E119" s="10"/>
      <c r="F119" s="36">
        <v>280.0</v>
      </c>
      <c r="G119" s="32"/>
      <c r="H119" s="21">
        <v>260.0</v>
      </c>
      <c r="I119" s="21"/>
      <c r="J119" s="21">
        <v>40.0</v>
      </c>
      <c r="K119" s="25">
        <f t="shared" si="24"/>
        <v>800</v>
      </c>
    </row>
    <row r="120" ht="13.5" customHeight="1">
      <c r="A120" s="18" t="s">
        <v>35</v>
      </c>
      <c r="B120" s="30">
        <v>2.1</v>
      </c>
      <c r="C120" s="31" t="s">
        <v>36</v>
      </c>
      <c r="D120" s="21">
        <v>180.0</v>
      </c>
      <c r="E120" s="10"/>
      <c r="F120" s="36">
        <v>150.0</v>
      </c>
      <c r="G120" s="32"/>
      <c r="H120" s="21">
        <v>700.0</v>
      </c>
      <c r="I120" s="21"/>
      <c r="J120" s="21">
        <v>70.0</v>
      </c>
      <c r="K120" s="25">
        <f t="shared" si="24"/>
        <v>1100</v>
      </c>
    </row>
    <row r="121" ht="13.5" customHeight="1">
      <c r="A121" s="26" t="s">
        <v>37</v>
      </c>
      <c r="B121" s="33"/>
      <c r="C121" s="34">
        <v>87.0</v>
      </c>
      <c r="D121" s="21">
        <v>180.0</v>
      </c>
      <c r="E121" s="10"/>
      <c r="F121" s="36">
        <v>100.0</v>
      </c>
      <c r="G121" s="32"/>
      <c r="H121" s="21">
        <v>740.0</v>
      </c>
      <c r="I121" s="21"/>
      <c r="J121" s="21">
        <v>80.0</v>
      </c>
      <c r="K121" s="25">
        <f t="shared" si="24"/>
        <v>1100</v>
      </c>
    </row>
    <row r="122" ht="15.0" customHeight="1">
      <c r="A122" s="18" t="s">
        <v>38</v>
      </c>
      <c r="B122" s="19" t="s">
        <v>39</v>
      </c>
      <c r="C122" s="19" t="s">
        <v>40</v>
      </c>
      <c r="D122" s="21">
        <v>400.0</v>
      </c>
      <c r="E122" s="36"/>
      <c r="F122" s="41">
        <v>600.0</v>
      </c>
      <c r="G122" s="44"/>
      <c r="H122" s="44">
        <v>4220.0</v>
      </c>
      <c r="I122" s="23"/>
      <c r="J122" s="23"/>
      <c r="K122" s="25">
        <f t="shared" si="24"/>
        <v>5220</v>
      </c>
    </row>
    <row r="123" ht="13.5" customHeight="1">
      <c r="A123" s="35" t="s">
        <v>41</v>
      </c>
      <c r="B123" s="27"/>
      <c r="C123" s="27"/>
      <c r="D123" s="21">
        <v>460.0</v>
      </c>
      <c r="E123" s="36"/>
      <c r="F123" s="37">
        <v>600.0</v>
      </c>
      <c r="G123" s="38"/>
      <c r="H123" s="21">
        <v>4200.0</v>
      </c>
      <c r="I123" s="29"/>
      <c r="J123" s="39">
        <v>280.0</v>
      </c>
      <c r="K123" s="25">
        <f t="shared" si="24"/>
        <v>5540</v>
      </c>
    </row>
    <row r="124" ht="13.5" customHeight="1">
      <c r="A124" s="40" t="s">
        <v>7</v>
      </c>
      <c r="B124" s="40"/>
      <c r="C124" s="40">
        <v>563.0</v>
      </c>
      <c r="D124" s="10">
        <f t="shared" ref="D124:I124" si="25">SUM(D118:D123)</f>
        <v>1640</v>
      </c>
      <c r="E124" s="10">
        <f t="shared" si="25"/>
        <v>0</v>
      </c>
      <c r="F124" s="10">
        <f t="shared" si="25"/>
        <v>2010</v>
      </c>
      <c r="G124" s="10">
        <f t="shared" si="25"/>
        <v>0</v>
      </c>
      <c r="H124" s="10">
        <f t="shared" si="25"/>
        <v>10350</v>
      </c>
      <c r="I124" s="10">
        <f t="shared" si="25"/>
        <v>0</v>
      </c>
      <c r="J124" s="10">
        <v>310.0</v>
      </c>
      <c r="K124" s="25">
        <f t="shared" si="24"/>
        <v>14310</v>
      </c>
    </row>
    <row r="125" ht="13.5" customHeight="1">
      <c r="A125" s="13" t="s">
        <v>421</v>
      </c>
    </row>
    <row r="126" ht="13.5" customHeight="1">
      <c r="A126" s="14" t="s">
        <v>25</v>
      </c>
      <c r="B126" s="14" t="s">
        <v>1</v>
      </c>
      <c r="C126" s="14" t="s">
        <v>27</v>
      </c>
      <c r="D126" s="15" t="s">
        <v>2</v>
      </c>
      <c r="E126" s="10" t="s">
        <v>28</v>
      </c>
      <c r="F126" s="16" t="s">
        <v>3</v>
      </c>
      <c r="G126" s="15" t="s">
        <v>4</v>
      </c>
      <c r="H126" s="15" t="s">
        <v>5</v>
      </c>
      <c r="I126" s="15" t="s">
        <v>29</v>
      </c>
      <c r="J126" s="14" t="s">
        <v>30</v>
      </c>
      <c r="K126" s="17" t="s">
        <v>7</v>
      </c>
    </row>
    <row r="127" ht="13.5" customHeight="1">
      <c r="A127" s="18" t="s">
        <v>31</v>
      </c>
      <c r="B127" s="19">
        <v>1.0</v>
      </c>
      <c r="C127" s="20" t="s">
        <v>33</v>
      </c>
      <c r="D127" s="21">
        <v>210.0</v>
      </c>
      <c r="E127" s="10"/>
      <c r="F127" s="36">
        <v>280.0</v>
      </c>
      <c r="G127" s="32"/>
      <c r="H127" s="21">
        <v>240.0</v>
      </c>
      <c r="I127" s="21"/>
      <c r="J127" s="21">
        <v>30.0</v>
      </c>
      <c r="K127" s="25">
        <f t="shared" ref="K127:K133" si="26">SUM(D127:J127)</f>
        <v>760</v>
      </c>
    </row>
    <row r="128" ht="13.5" customHeight="1">
      <c r="A128" s="26" t="s">
        <v>34</v>
      </c>
      <c r="B128" s="27"/>
      <c r="C128" s="28">
        <v>86.0</v>
      </c>
      <c r="D128" s="21">
        <v>230.0</v>
      </c>
      <c r="E128" s="10"/>
      <c r="F128" s="36">
        <v>270.0</v>
      </c>
      <c r="G128" s="32"/>
      <c r="H128" s="21">
        <v>200.0</v>
      </c>
      <c r="I128" s="21"/>
      <c r="J128" s="21">
        <v>30.0</v>
      </c>
      <c r="K128" s="25">
        <f t="shared" si="26"/>
        <v>730</v>
      </c>
    </row>
    <row r="129" ht="13.5" customHeight="1">
      <c r="A129" s="18" t="s">
        <v>35</v>
      </c>
      <c r="B129" s="30">
        <v>2.1</v>
      </c>
      <c r="C129" s="31" t="s">
        <v>36</v>
      </c>
      <c r="D129" s="21">
        <v>190.0</v>
      </c>
      <c r="E129" s="10"/>
      <c r="F129" s="36">
        <v>130.0</v>
      </c>
      <c r="G129" s="32"/>
      <c r="H129" s="21">
        <v>690.0</v>
      </c>
      <c r="I129" s="21"/>
      <c r="J129" s="21">
        <v>80.0</v>
      </c>
      <c r="K129" s="25">
        <f t="shared" si="26"/>
        <v>1090</v>
      </c>
    </row>
    <row r="130" ht="13.5" customHeight="1">
      <c r="A130" s="26" t="s">
        <v>37</v>
      </c>
      <c r="B130" s="33"/>
      <c r="C130" s="34">
        <v>87.0</v>
      </c>
      <c r="D130" s="21">
        <v>200.0</v>
      </c>
      <c r="E130" s="10"/>
      <c r="F130" s="36">
        <v>110.0</v>
      </c>
      <c r="G130" s="32"/>
      <c r="H130" s="21">
        <v>720.0</v>
      </c>
      <c r="I130" s="21"/>
      <c r="J130" s="21">
        <v>80.0</v>
      </c>
      <c r="K130" s="25">
        <f t="shared" si="26"/>
        <v>1110</v>
      </c>
    </row>
    <row r="131" ht="15.0" customHeight="1">
      <c r="A131" s="18" t="s">
        <v>38</v>
      </c>
      <c r="B131" s="19" t="s">
        <v>39</v>
      </c>
      <c r="C131" s="19" t="s">
        <v>40</v>
      </c>
      <c r="D131" s="21">
        <v>430.0</v>
      </c>
      <c r="E131" s="36"/>
      <c r="F131" s="41">
        <v>600.0</v>
      </c>
      <c r="G131" s="44"/>
      <c r="H131" s="44">
        <v>4360.0</v>
      </c>
      <c r="I131" s="23"/>
      <c r="J131" s="23">
        <v>310.0</v>
      </c>
      <c r="K131" s="25">
        <f t="shared" si="26"/>
        <v>5700</v>
      </c>
    </row>
    <row r="132" ht="13.5" customHeight="1">
      <c r="A132" s="35" t="s">
        <v>41</v>
      </c>
      <c r="B132" s="27"/>
      <c r="C132" s="27"/>
      <c r="D132" s="21">
        <v>430.0</v>
      </c>
      <c r="E132" s="36"/>
      <c r="F132" s="37">
        <v>590.0</v>
      </c>
      <c r="G132" s="38"/>
      <c r="H132" s="21">
        <v>4280.0</v>
      </c>
      <c r="I132" s="29"/>
      <c r="J132" s="39">
        <v>300.0</v>
      </c>
      <c r="K132" s="25">
        <f t="shared" si="26"/>
        <v>5600</v>
      </c>
    </row>
    <row r="133" ht="13.5" customHeight="1">
      <c r="A133" s="40" t="s">
        <v>7</v>
      </c>
      <c r="B133" s="40"/>
      <c r="C133" s="40">
        <v>563.0</v>
      </c>
      <c r="D133" s="10">
        <f t="shared" ref="D133:J133" si="27">SUM(D127:D132)</f>
        <v>1690</v>
      </c>
      <c r="E133" s="10">
        <f t="shared" si="27"/>
        <v>0</v>
      </c>
      <c r="F133" s="10">
        <f t="shared" si="27"/>
        <v>1980</v>
      </c>
      <c r="G133" s="10">
        <f t="shared" si="27"/>
        <v>0</v>
      </c>
      <c r="H133" s="10">
        <f t="shared" si="27"/>
        <v>10490</v>
      </c>
      <c r="I133" s="10">
        <f t="shared" si="27"/>
        <v>0</v>
      </c>
      <c r="J133" s="10">
        <f t="shared" si="27"/>
        <v>830</v>
      </c>
      <c r="K133" s="25">
        <f t="shared" si="26"/>
        <v>14990</v>
      </c>
    </row>
    <row r="134" ht="13.5" customHeight="1">
      <c r="A134" s="46" t="s">
        <v>422</v>
      </c>
    </row>
    <row r="135" ht="13.5" customHeight="1">
      <c r="A135" s="14" t="s">
        <v>25</v>
      </c>
      <c r="B135" s="14" t="s">
        <v>1</v>
      </c>
      <c r="C135" s="14" t="s">
        <v>422</v>
      </c>
      <c r="D135" s="15" t="s">
        <v>2</v>
      </c>
      <c r="E135" s="10" t="s">
        <v>28</v>
      </c>
      <c r="F135" s="16" t="s">
        <v>3</v>
      </c>
      <c r="G135" s="15" t="s">
        <v>4</v>
      </c>
      <c r="H135" s="15" t="s">
        <v>5</v>
      </c>
      <c r="I135" s="15" t="s">
        <v>29</v>
      </c>
      <c r="J135" s="14" t="s">
        <v>30</v>
      </c>
      <c r="K135" s="17" t="s">
        <v>7</v>
      </c>
    </row>
    <row r="136" ht="13.5" customHeight="1">
      <c r="A136" s="18" t="s">
        <v>31</v>
      </c>
      <c r="B136" s="19">
        <v>1.0</v>
      </c>
      <c r="C136" s="20" t="s">
        <v>33</v>
      </c>
      <c r="D136" s="21">
        <v>220.0</v>
      </c>
      <c r="E136" s="36"/>
      <c r="F136" s="36"/>
      <c r="G136" s="32"/>
      <c r="H136" s="21">
        <v>390.0</v>
      </c>
      <c r="I136" s="21"/>
      <c r="J136" s="21">
        <v>20.0</v>
      </c>
      <c r="K136" s="25">
        <f>SUM(D136:J136)</f>
        <v>630</v>
      </c>
    </row>
    <row r="137" ht="13.5" customHeight="1">
      <c r="A137" s="26" t="s">
        <v>34</v>
      </c>
      <c r="B137" s="27"/>
      <c r="C137" s="28">
        <v>86.0</v>
      </c>
      <c r="D137" s="21">
        <v>200.0</v>
      </c>
      <c r="E137" s="36"/>
      <c r="F137" s="36"/>
      <c r="G137" s="32"/>
      <c r="H137" s="21">
        <v>370.0</v>
      </c>
      <c r="I137" s="21"/>
      <c r="J137" s="21">
        <v>30.0</v>
      </c>
      <c r="K137" s="25">
        <v>1200.0</v>
      </c>
    </row>
    <row r="138" ht="13.5" customHeight="1">
      <c r="A138" s="18" t="s">
        <v>35</v>
      </c>
      <c r="B138" s="30">
        <v>2.1</v>
      </c>
      <c r="C138" s="31" t="s">
        <v>36</v>
      </c>
      <c r="D138" s="21">
        <v>180.0</v>
      </c>
      <c r="E138" s="36"/>
      <c r="F138" s="36"/>
      <c r="G138" s="32"/>
      <c r="H138" s="21">
        <v>910.0</v>
      </c>
      <c r="I138" s="21"/>
      <c r="J138" s="21">
        <v>20.0</v>
      </c>
      <c r="K138" s="25">
        <f t="shared" ref="K138:K141" si="28">SUM(D138:J138)</f>
        <v>1110</v>
      </c>
    </row>
    <row r="139" ht="13.5" customHeight="1">
      <c r="A139" s="26" t="s">
        <v>37</v>
      </c>
      <c r="B139" s="33"/>
      <c r="C139" s="34">
        <v>87.0</v>
      </c>
      <c r="D139" s="21">
        <v>200.0</v>
      </c>
      <c r="E139" s="36"/>
      <c r="F139" s="36"/>
      <c r="G139" s="32"/>
      <c r="H139" s="21">
        <v>680.0</v>
      </c>
      <c r="I139" s="21"/>
      <c r="J139" s="21">
        <v>80.0</v>
      </c>
      <c r="K139" s="25">
        <f t="shared" si="28"/>
        <v>960</v>
      </c>
    </row>
    <row r="140" ht="15.0" customHeight="1">
      <c r="A140" s="18" t="s">
        <v>38</v>
      </c>
      <c r="B140" s="19" t="s">
        <v>39</v>
      </c>
      <c r="C140" s="19" t="s">
        <v>40</v>
      </c>
      <c r="D140" s="44">
        <v>450.0</v>
      </c>
      <c r="E140" s="41"/>
      <c r="F140" s="41"/>
      <c r="G140" s="44"/>
      <c r="H140" s="44">
        <v>4340.0</v>
      </c>
      <c r="I140" s="23"/>
      <c r="J140" s="24">
        <v>310.0</v>
      </c>
      <c r="K140" s="25">
        <f t="shared" si="28"/>
        <v>5100</v>
      </c>
      <c r="L140" s="47"/>
      <c r="M140" s="12"/>
    </row>
    <row r="141" ht="13.5" customHeight="1">
      <c r="A141" s="35" t="s">
        <v>41</v>
      </c>
      <c r="B141" s="27"/>
      <c r="C141" s="27"/>
      <c r="D141" s="21">
        <v>430.0</v>
      </c>
      <c r="E141" s="36"/>
      <c r="F141" s="36"/>
      <c r="G141" s="21"/>
      <c r="H141" s="21">
        <v>4590.0</v>
      </c>
      <c r="I141" s="29"/>
      <c r="J141" s="39">
        <v>280.0</v>
      </c>
      <c r="K141" s="25">
        <f t="shared" si="28"/>
        <v>5300</v>
      </c>
    </row>
    <row r="142" ht="13.5" customHeight="1">
      <c r="A142" s="40" t="s">
        <v>7</v>
      </c>
      <c r="B142" s="40"/>
      <c r="C142" s="40">
        <v>563.0</v>
      </c>
      <c r="D142" s="10">
        <f t="shared" ref="D142:K142" si="29">SUM(D136:D141)</f>
        <v>1680</v>
      </c>
      <c r="E142" s="10">
        <f t="shared" si="29"/>
        <v>0</v>
      </c>
      <c r="F142" s="10">
        <f t="shared" si="29"/>
        <v>0</v>
      </c>
      <c r="G142" s="10">
        <f t="shared" si="29"/>
        <v>0</v>
      </c>
      <c r="H142" s="10">
        <f t="shared" si="29"/>
        <v>11280</v>
      </c>
      <c r="I142" s="10">
        <f t="shared" si="29"/>
        <v>0</v>
      </c>
      <c r="J142" s="10">
        <f t="shared" si="29"/>
        <v>740</v>
      </c>
      <c r="K142" s="25">
        <f t="shared" si="29"/>
        <v>14300</v>
      </c>
    </row>
    <row r="143" ht="13.5" customHeight="1">
      <c r="A143" s="48" t="s">
        <v>423</v>
      </c>
    </row>
    <row r="144" ht="13.5" customHeight="1">
      <c r="A144" s="14" t="s">
        <v>25</v>
      </c>
      <c r="B144" s="14" t="s">
        <v>1</v>
      </c>
      <c r="C144" s="14" t="s">
        <v>27</v>
      </c>
      <c r="D144" s="15" t="s">
        <v>2</v>
      </c>
      <c r="E144" s="10" t="s">
        <v>28</v>
      </c>
      <c r="F144" s="16" t="s">
        <v>3</v>
      </c>
      <c r="G144" s="15" t="s">
        <v>4</v>
      </c>
      <c r="H144" s="15" t="s">
        <v>5</v>
      </c>
      <c r="I144" s="15" t="s">
        <v>29</v>
      </c>
      <c r="J144" s="14" t="s">
        <v>30</v>
      </c>
      <c r="K144" s="17" t="s">
        <v>7</v>
      </c>
    </row>
    <row r="145" ht="15.0" customHeight="1">
      <c r="A145" s="18" t="s">
        <v>31</v>
      </c>
      <c r="B145" s="19">
        <v>1.0</v>
      </c>
      <c r="C145" s="20" t="s">
        <v>33</v>
      </c>
      <c r="D145" s="21">
        <v>210.0</v>
      </c>
      <c r="E145" s="36"/>
      <c r="F145" s="36"/>
      <c r="G145" s="32"/>
      <c r="H145" s="21">
        <v>430.0</v>
      </c>
      <c r="I145" s="23"/>
      <c r="J145" s="24">
        <v>30.0</v>
      </c>
      <c r="K145" s="25">
        <f t="shared" ref="K145:K151" si="30">SUM(D145:J145)</f>
        <v>670</v>
      </c>
    </row>
    <row r="146" ht="13.5" customHeight="1">
      <c r="A146" s="26" t="s">
        <v>34</v>
      </c>
      <c r="B146" s="27"/>
      <c r="C146" s="28">
        <v>86.0</v>
      </c>
      <c r="D146" s="21">
        <v>200.0</v>
      </c>
      <c r="E146" s="36"/>
      <c r="F146" s="36"/>
      <c r="G146" s="32"/>
      <c r="H146" s="21">
        <v>440.0</v>
      </c>
      <c r="I146" s="21"/>
      <c r="J146" s="29">
        <v>30.0</v>
      </c>
      <c r="K146" s="25">
        <f t="shared" si="30"/>
        <v>670</v>
      </c>
    </row>
    <row r="147" ht="13.5" customHeight="1">
      <c r="A147" s="18" t="s">
        <v>35</v>
      </c>
      <c r="B147" s="30">
        <v>2.1</v>
      </c>
      <c r="C147" s="31" t="s">
        <v>36</v>
      </c>
      <c r="D147" s="21">
        <v>210.0</v>
      </c>
      <c r="E147" s="36"/>
      <c r="F147" s="41"/>
      <c r="G147" s="32"/>
      <c r="H147" s="21">
        <v>430.0</v>
      </c>
      <c r="I147" s="21"/>
      <c r="J147" s="24">
        <v>80.0</v>
      </c>
      <c r="K147" s="25">
        <f t="shared" si="30"/>
        <v>720</v>
      </c>
    </row>
    <row r="148" ht="13.5" customHeight="1">
      <c r="A148" s="26" t="s">
        <v>37</v>
      </c>
      <c r="B148" s="33"/>
      <c r="C148" s="34">
        <v>87.0</v>
      </c>
      <c r="D148" s="21">
        <v>200.0</v>
      </c>
      <c r="E148" s="21"/>
      <c r="F148" s="21"/>
      <c r="G148" s="21"/>
      <c r="H148" s="21">
        <v>440.0</v>
      </c>
      <c r="I148" s="21"/>
      <c r="J148" s="21">
        <v>70.0</v>
      </c>
      <c r="K148" s="25">
        <f t="shared" si="30"/>
        <v>710</v>
      </c>
    </row>
    <row r="149" ht="14.25" customHeight="1">
      <c r="A149" s="18" t="s">
        <v>38</v>
      </c>
      <c r="B149" s="19" t="s">
        <v>39</v>
      </c>
      <c r="C149" s="19" t="s">
        <v>40</v>
      </c>
      <c r="D149" s="21">
        <v>460.0</v>
      </c>
      <c r="E149" s="36"/>
      <c r="F149" s="41"/>
      <c r="G149" s="32"/>
      <c r="H149" s="21">
        <v>4370.0</v>
      </c>
      <c r="I149" s="21"/>
      <c r="J149" s="24">
        <v>310.0</v>
      </c>
      <c r="K149" s="25">
        <f t="shared" si="30"/>
        <v>5140</v>
      </c>
      <c r="L149" s="47"/>
      <c r="M149" s="12"/>
    </row>
    <row r="150" ht="13.5" customHeight="1">
      <c r="A150" s="35" t="s">
        <v>41</v>
      </c>
      <c r="B150" s="27"/>
      <c r="C150" s="27"/>
      <c r="D150" s="21">
        <v>450.0</v>
      </c>
      <c r="E150" s="21"/>
      <c r="F150" s="21"/>
      <c r="G150" s="21"/>
      <c r="H150" s="21">
        <v>4470.0</v>
      </c>
      <c r="I150" s="21"/>
      <c r="J150" s="21">
        <v>280.0</v>
      </c>
      <c r="K150" s="25">
        <f t="shared" si="30"/>
        <v>5200</v>
      </c>
    </row>
    <row r="151" ht="13.5" customHeight="1">
      <c r="A151" s="40" t="s">
        <v>7</v>
      </c>
      <c r="B151" s="40"/>
      <c r="C151" s="40">
        <v>563.0</v>
      </c>
      <c r="D151" s="10">
        <f t="shared" ref="D151:J151" si="31">SUM(D145:D150)</f>
        <v>1730</v>
      </c>
      <c r="E151" s="10">
        <f t="shared" si="31"/>
        <v>0</v>
      </c>
      <c r="F151" s="10">
        <f t="shared" si="31"/>
        <v>0</v>
      </c>
      <c r="G151" s="10">
        <f t="shared" si="31"/>
        <v>0</v>
      </c>
      <c r="H151" s="10">
        <f t="shared" si="31"/>
        <v>10580</v>
      </c>
      <c r="I151" s="10">
        <f t="shared" si="31"/>
        <v>0</v>
      </c>
      <c r="J151" s="10">
        <f t="shared" si="31"/>
        <v>800</v>
      </c>
      <c r="K151" s="25">
        <f t="shared" si="30"/>
        <v>13110</v>
      </c>
    </row>
    <row r="152" ht="13.5" customHeight="1">
      <c r="A152" s="48" t="s">
        <v>424</v>
      </c>
    </row>
    <row r="153" ht="13.5" customHeight="1">
      <c r="A153" s="14" t="s">
        <v>25</v>
      </c>
      <c r="B153" s="14" t="s">
        <v>1</v>
      </c>
      <c r="C153" s="14" t="s">
        <v>27</v>
      </c>
      <c r="D153" s="15" t="s">
        <v>2</v>
      </c>
      <c r="E153" s="10" t="s">
        <v>28</v>
      </c>
      <c r="F153" s="16" t="s">
        <v>3</v>
      </c>
      <c r="G153" s="15" t="s">
        <v>4</v>
      </c>
      <c r="H153" s="15" t="s">
        <v>5</v>
      </c>
      <c r="I153" s="15" t="s">
        <v>29</v>
      </c>
      <c r="J153" s="14" t="s">
        <v>30</v>
      </c>
      <c r="K153" s="17" t="s">
        <v>7</v>
      </c>
      <c r="L153" s="49"/>
      <c r="M153" s="70"/>
    </row>
    <row r="154" ht="13.5" customHeight="1">
      <c r="A154" s="18" t="s">
        <v>31</v>
      </c>
      <c r="B154" s="19">
        <v>1.0</v>
      </c>
      <c r="C154" s="20" t="s">
        <v>33</v>
      </c>
      <c r="D154" s="21">
        <v>200.0</v>
      </c>
      <c r="E154" s="36"/>
      <c r="F154" s="36"/>
      <c r="G154" s="32"/>
      <c r="H154" s="21">
        <v>460.0</v>
      </c>
      <c r="I154" s="21"/>
      <c r="J154" s="21">
        <v>20.0</v>
      </c>
      <c r="K154" s="25">
        <f t="shared" ref="K154:K160" si="32">SUM(D154:J154)</f>
        <v>680</v>
      </c>
    </row>
    <row r="155" ht="13.5" customHeight="1">
      <c r="A155" s="26" t="s">
        <v>34</v>
      </c>
      <c r="B155" s="27"/>
      <c r="C155" s="28">
        <v>86.0</v>
      </c>
      <c r="D155" s="21"/>
      <c r="E155" s="36"/>
      <c r="F155" s="36"/>
      <c r="G155" s="32"/>
      <c r="H155" s="21"/>
      <c r="I155" s="21"/>
      <c r="J155" s="21"/>
      <c r="K155" s="25">
        <f t="shared" si="32"/>
        <v>0</v>
      </c>
    </row>
    <row r="156" ht="13.5" customHeight="1">
      <c r="A156" s="18" t="s">
        <v>35</v>
      </c>
      <c r="B156" s="30">
        <v>2.1</v>
      </c>
      <c r="C156" s="31" t="s">
        <v>36</v>
      </c>
      <c r="D156" s="21">
        <v>200.0</v>
      </c>
      <c r="E156" s="36"/>
      <c r="F156" s="36"/>
      <c r="G156" s="32"/>
      <c r="H156" s="21">
        <v>720.0</v>
      </c>
      <c r="I156" s="21"/>
      <c r="J156" s="21">
        <v>80.0</v>
      </c>
      <c r="K156" s="25">
        <f t="shared" si="32"/>
        <v>1000</v>
      </c>
    </row>
    <row r="157" ht="13.5" customHeight="1">
      <c r="A157" s="26" t="s">
        <v>37</v>
      </c>
      <c r="B157" s="33"/>
      <c r="C157" s="34">
        <v>87.0</v>
      </c>
      <c r="D157" s="21">
        <v>200.0</v>
      </c>
      <c r="E157" s="36"/>
      <c r="F157" s="36"/>
      <c r="G157" s="32"/>
      <c r="H157" s="21">
        <v>540.0</v>
      </c>
      <c r="I157" s="21"/>
      <c r="J157" s="21">
        <v>30.0</v>
      </c>
      <c r="K157" s="25">
        <f t="shared" si="32"/>
        <v>770</v>
      </c>
    </row>
    <row r="158" ht="14.25" customHeight="1">
      <c r="A158" s="18" t="s">
        <v>38</v>
      </c>
      <c r="B158" s="19" t="s">
        <v>39</v>
      </c>
      <c r="C158" s="19" t="s">
        <v>40</v>
      </c>
      <c r="D158" s="21">
        <v>440.0</v>
      </c>
      <c r="E158" s="36"/>
      <c r="F158" s="36"/>
      <c r="G158" s="21"/>
      <c r="H158" s="21">
        <v>4540.0</v>
      </c>
      <c r="I158" s="21"/>
      <c r="J158" s="21">
        <v>300.0</v>
      </c>
      <c r="K158" s="25">
        <f t="shared" si="32"/>
        <v>5280</v>
      </c>
      <c r="L158" s="47"/>
      <c r="M158" s="12"/>
    </row>
    <row r="159" ht="13.5" customHeight="1">
      <c r="A159" s="35" t="s">
        <v>41</v>
      </c>
      <c r="B159" s="27"/>
      <c r="C159" s="27"/>
      <c r="D159" s="21">
        <v>450.0</v>
      </c>
      <c r="E159" s="21"/>
      <c r="F159" s="21"/>
      <c r="G159" s="21"/>
      <c r="H159" s="21">
        <v>4340.0</v>
      </c>
      <c r="I159" s="21"/>
      <c r="J159" s="21">
        <v>310.0</v>
      </c>
      <c r="K159" s="25">
        <f t="shared" si="32"/>
        <v>5100</v>
      </c>
    </row>
    <row r="160" ht="13.5" customHeight="1">
      <c r="A160" s="40" t="s">
        <v>7</v>
      </c>
      <c r="B160" s="40"/>
      <c r="C160" s="40"/>
      <c r="D160" s="10">
        <f t="shared" ref="D160:J160" si="33">SUM(D154:D159)</f>
        <v>1490</v>
      </c>
      <c r="E160" s="10">
        <f t="shared" si="33"/>
        <v>0</v>
      </c>
      <c r="F160" s="10">
        <f t="shared" si="33"/>
        <v>0</v>
      </c>
      <c r="G160" s="10">
        <f t="shared" si="33"/>
        <v>0</v>
      </c>
      <c r="H160" s="10">
        <f t="shared" si="33"/>
        <v>10600</v>
      </c>
      <c r="I160" s="10">
        <f t="shared" si="33"/>
        <v>0</v>
      </c>
      <c r="J160" s="10">
        <f t="shared" si="33"/>
        <v>740</v>
      </c>
      <c r="K160" s="25">
        <f t="shared" si="32"/>
        <v>12830</v>
      </c>
    </row>
    <row r="161" ht="13.5" customHeight="1">
      <c r="A161" s="48" t="s">
        <v>425</v>
      </c>
    </row>
    <row r="162" ht="13.5" customHeight="1">
      <c r="A162" s="14" t="s">
        <v>25</v>
      </c>
      <c r="B162" s="14" t="s">
        <v>1</v>
      </c>
      <c r="C162" s="14" t="s">
        <v>27</v>
      </c>
      <c r="D162" s="15" t="s">
        <v>2</v>
      </c>
      <c r="E162" s="10" t="s">
        <v>28</v>
      </c>
      <c r="F162" s="16" t="s">
        <v>3</v>
      </c>
      <c r="G162" s="15" t="s">
        <v>4</v>
      </c>
      <c r="H162" s="15" t="s">
        <v>5</v>
      </c>
      <c r="I162" s="15" t="s">
        <v>29</v>
      </c>
      <c r="J162" s="14" t="s">
        <v>30</v>
      </c>
      <c r="K162" s="17" t="s">
        <v>7</v>
      </c>
    </row>
    <row r="163" ht="13.5" customHeight="1">
      <c r="A163" s="18" t="s">
        <v>31</v>
      </c>
      <c r="B163" s="19">
        <v>1.0</v>
      </c>
      <c r="C163" s="20" t="s">
        <v>33</v>
      </c>
      <c r="D163" s="21">
        <v>230.0</v>
      </c>
      <c r="E163" s="36"/>
      <c r="F163" s="36"/>
      <c r="G163" s="32"/>
      <c r="H163" s="21">
        <v>470.0</v>
      </c>
      <c r="I163" s="21"/>
      <c r="J163" s="24">
        <v>30.0</v>
      </c>
      <c r="K163" s="25">
        <f t="shared" ref="K163:K169" si="34">SUM(D163:J163)</f>
        <v>730</v>
      </c>
    </row>
    <row r="164" ht="13.5" customHeight="1">
      <c r="A164" s="26" t="s">
        <v>34</v>
      </c>
      <c r="B164" s="27"/>
      <c r="C164" s="28">
        <v>86.0</v>
      </c>
      <c r="D164" s="21">
        <v>200.0</v>
      </c>
      <c r="E164" s="36"/>
      <c r="F164" s="36"/>
      <c r="G164" s="32"/>
      <c r="H164" s="21">
        <v>490.0</v>
      </c>
      <c r="I164" s="21"/>
      <c r="J164" s="29">
        <v>30.0</v>
      </c>
      <c r="K164" s="25">
        <f t="shared" si="34"/>
        <v>720</v>
      </c>
    </row>
    <row r="165" ht="13.5" customHeight="1">
      <c r="A165" s="18" t="s">
        <v>35</v>
      </c>
      <c r="B165" s="30">
        <v>2.1</v>
      </c>
      <c r="C165" s="31" t="s">
        <v>36</v>
      </c>
      <c r="D165" s="21">
        <v>180.0</v>
      </c>
      <c r="E165" s="36"/>
      <c r="F165" s="36"/>
      <c r="G165" s="32"/>
      <c r="H165" s="21">
        <v>840.0</v>
      </c>
      <c r="I165" s="21"/>
      <c r="J165" s="24">
        <v>80.0</v>
      </c>
      <c r="K165" s="25">
        <f t="shared" si="34"/>
        <v>1100</v>
      </c>
    </row>
    <row r="166" ht="13.5" customHeight="1">
      <c r="A166" s="26" t="s">
        <v>37</v>
      </c>
      <c r="B166" s="33"/>
      <c r="C166" s="34">
        <v>87.0</v>
      </c>
      <c r="D166" s="21">
        <v>200.0</v>
      </c>
      <c r="E166" s="36"/>
      <c r="F166" s="36"/>
      <c r="G166" s="21"/>
      <c r="H166" s="21">
        <v>360.0</v>
      </c>
      <c r="I166" s="21"/>
      <c r="J166" s="29">
        <v>40.0</v>
      </c>
      <c r="K166" s="25">
        <f t="shared" si="34"/>
        <v>600</v>
      </c>
    </row>
    <row r="167" ht="14.25" customHeight="1">
      <c r="A167" s="18" t="s">
        <v>38</v>
      </c>
      <c r="B167" s="19" t="s">
        <v>39</v>
      </c>
      <c r="C167" s="19" t="s">
        <v>40</v>
      </c>
      <c r="D167" s="21">
        <v>450.0</v>
      </c>
      <c r="E167" s="36"/>
      <c r="F167" s="36"/>
      <c r="G167" s="21"/>
      <c r="H167" s="21">
        <v>4650.0</v>
      </c>
      <c r="I167" s="21"/>
      <c r="J167" s="21">
        <v>280.0</v>
      </c>
      <c r="K167" s="25">
        <f t="shared" si="34"/>
        <v>5380</v>
      </c>
      <c r="L167" s="47"/>
      <c r="M167" s="12"/>
    </row>
    <row r="168" ht="13.5" customHeight="1">
      <c r="A168" s="35" t="s">
        <v>41</v>
      </c>
      <c r="B168" s="27"/>
      <c r="C168" s="27"/>
      <c r="D168" s="21">
        <v>460.0</v>
      </c>
      <c r="E168" s="21"/>
      <c r="F168" s="21"/>
      <c r="G168" s="21"/>
      <c r="H168" s="21">
        <v>4540.0</v>
      </c>
      <c r="I168" s="21"/>
      <c r="J168" s="21">
        <v>300.0</v>
      </c>
      <c r="K168" s="25">
        <f t="shared" si="34"/>
        <v>5300</v>
      </c>
    </row>
    <row r="169" ht="13.5" customHeight="1">
      <c r="A169" s="40" t="s">
        <v>7</v>
      </c>
      <c r="B169" s="40"/>
      <c r="C169" s="40"/>
      <c r="D169" s="10">
        <f t="shared" ref="D169:J169" si="35">SUM(D163:D168)</f>
        <v>1720</v>
      </c>
      <c r="E169" s="10">
        <f t="shared" si="35"/>
        <v>0</v>
      </c>
      <c r="F169" s="10">
        <f t="shared" si="35"/>
        <v>0</v>
      </c>
      <c r="G169" s="10">
        <f t="shared" si="35"/>
        <v>0</v>
      </c>
      <c r="H169" s="10">
        <f t="shared" si="35"/>
        <v>11350</v>
      </c>
      <c r="I169" s="10">
        <f t="shared" si="35"/>
        <v>0</v>
      </c>
      <c r="J169" s="10">
        <f t="shared" si="35"/>
        <v>760</v>
      </c>
      <c r="K169" s="25">
        <f t="shared" si="34"/>
        <v>13830</v>
      </c>
    </row>
    <row r="170" ht="13.5" customHeight="1">
      <c r="A170" s="48" t="s">
        <v>426</v>
      </c>
    </row>
    <row r="171" ht="13.5" customHeight="1">
      <c r="A171" s="14"/>
      <c r="B171" s="14" t="s">
        <v>1</v>
      </c>
      <c r="C171" s="14" t="s">
        <v>27</v>
      </c>
      <c r="D171" s="15" t="s">
        <v>2</v>
      </c>
      <c r="E171" s="10" t="s">
        <v>28</v>
      </c>
      <c r="F171" s="16" t="s">
        <v>3</v>
      </c>
      <c r="G171" s="15" t="s">
        <v>4</v>
      </c>
      <c r="H171" s="15" t="s">
        <v>5</v>
      </c>
      <c r="I171" s="15" t="s">
        <v>77</v>
      </c>
      <c r="J171" s="14" t="s">
        <v>30</v>
      </c>
      <c r="K171" s="17" t="s">
        <v>7</v>
      </c>
    </row>
    <row r="172" ht="13.5" customHeight="1">
      <c r="A172" s="18" t="s">
        <v>31</v>
      </c>
      <c r="B172" s="19">
        <v>1.0</v>
      </c>
      <c r="C172" s="20" t="s">
        <v>33</v>
      </c>
      <c r="D172" s="21">
        <v>230.0</v>
      </c>
      <c r="E172" s="36"/>
      <c r="F172" s="36"/>
      <c r="G172" s="32"/>
      <c r="H172" s="21">
        <v>470.0</v>
      </c>
      <c r="I172" s="21"/>
      <c r="J172" s="24">
        <v>20.0</v>
      </c>
      <c r="K172" s="25">
        <f t="shared" ref="K172:K178" si="36">SUM(D172:J172)</f>
        <v>720</v>
      </c>
    </row>
    <row r="173" ht="13.5" customHeight="1">
      <c r="A173" s="26" t="s">
        <v>34</v>
      </c>
      <c r="B173" s="27"/>
      <c r="C173" s="28">
        <v>86.0</v>
      </c>
      <c r="D173" s="21">
        <v>240.0</v>
      </c>
      <c r="E173" s="36"/>
      <c r="F173" s="36">
        <v>290.0</v>
      </c>
      <c r="G173" s="32"/>
      <c r="H173" s="21">
        <v>220.0</v>
      </c>
      <c r="I173" s="21"/>
      <c r="J173" s="24">
        <v>30.0</v>
      </c>
      <c r="K173" s="25">
        <f t="shared" si="36"/>
        <v>780</v>
      </c>
    </row>
    <row r="174" ht="13.5" customHeight="1">
      <c r="A174" s="18" t="s">
        <v>35</v>
      </c>
      <c r="B174" s="30">
        <v>2.1</v>
      </c>
      <c r="C174" s="31" t="s">
        <v>36</v>
      </c>
      <c r="D174" s="21">
        <v>190.0</v>
      </c>
      <c r="E174" s="36"/>
      <c r="F174" s="41"/>
      <c r="G174" s="32"/>
      <c r="H174" s="21">
        <v>660.0</v>
      </c>
      <c r="I174" s="21"/>
      <c r="J174" s="24">
        <v>80.0</v>
      </c>
      <c r="K174" s="25">
        <f t="shared" si="36"/>
        <v>930</v>
      </c>
    </row>
    <row r="175" ht="13.5" customHeight="1">
      <c r="A175" s="26" t="s">
        <v>37</v>
      </c>
      <c r="B175" s="33"/>
      <c r="C175" s="34">
        <v>87.0</v>
      </c>
      <c r="D175" s="21">
        <v>190.0</v>
      </c>
      <c r="E175" s="36"/>
      <c r="F175" s="41">
        <v>140.0</v>
      </c>
      <c r="G175" s="32"/>
      <c r="H175" s="21">
        <v>710.0</v>
      </c>
      <c r="I175" s="21"/>
      <c r="J175" s="29">
        <v>70.0</v>
      </c>
      <c r="K175" s="25">
        <f t="shared" si="36"/>
        <v>1110</v>
      </c>
    </row>
    <row r="176" ht="14.25" customHeight="1">
      <c r="A176" s="18" t="s">
        <v>38</v>
      </c>
      <c r="B176" s="19" t="s">
        <v>39</v>
      </c>
      <c r="C176" s="19" t="s">
        <v>40</v>
      </c>
      <c r="D176" s="21">
        <v>460.0</v>
      </c>
      <c r="E176" s="36"/>
      <c r="F176" s="36"/>
      <c r="G176" s="21"/>
      <c r="H176" s="21">
        <v>4590.0</v>
      </c>
      <c r="I176" s="21"/>
      <c r="J176" s="21">
        <v>310.0</v>
      </c>
      <c r="K176" s="25">
        <f t="shared" si="36"/>
        <v>5360</v>
      </c>
      <c r="L176" s="47"/>
      <c r="M176" s="12"/>
    </row>
    <row r="177" ht="13.5" customHeight="1">
      <c r="A177" s="35" t="s">
        <v>41</v>
      </c>
      <c r="B177" s="27"/>
      <c r="C177" s="27"/>
      <c r="D177" s="21">
        <v>470.0</v>
      </c>
      <c r="E177" s="36"/>
      <c r="F177" s="36">
        <v>610.0</v>
      </c>
      <c r="G177" s="21"/>
      <c r="H177" s="21">
        <v>4260.0</v>
      </c>
      <c r="I177" s="21"/>
      <c r="J177" s="21">
        <v>310.0</v>
      </c>
      <c r="K177" s="25">
        <f t="shared" si="36"/>
        <v>5650</v>
      </c>
    </row>
    <row r="178" ht="13.5" customHeight="1">
      <c r="A178" s="40" t="s">
        <v>7</v>
      </c>
      <c r="B178" s="40"/>
      <c r="C178" s="40"/>
      <c r="D178" s="10">
        <f t="shared" ref="D178:J178" si="37">SUM(D172:D177)</f>
        <v>1780</v>
      </c>
      <c r="E178" s="10">
        <f t="shared" si="37"/>
        <v>0</v>
      </c>
      <c r="F178" s="10">
        <f t="shared" si="37"/>
        <v>1040</v>
      </c>
      <c r="G178" s="10">
        <f t="shared" si="37"/>
        <v>0</v>
      </c>
      <c r="H178" s="10">
        <f t="shared" si="37"/>
        <v>10910</v>
      </c>
      <c r="I178" s="10">
        <f t="shared" si="37"/>
        <v>0</v>
      </c>
      <c r="J178" s="10">
        <f t="shared" si="37"/>
        <v>820</v>
      </c>
      <c r="K178" s="25">
        <f t="shared" si="36"/>
        <v>14550</v>
      </c>
    </row>
    <row r="179" ht="13.5" customHeight="1">
      <c r="A179" s="48" t="s">
        <v>427</v>
      </c>
    </row>
    <row r="180" ht="13.5" customHeight="1">
      <c r="A180" s="14" t="s">
        <v>25</v>
      </c>
      <c r="B180" s="14" t="s">
        <v>1</v>
      </c>
      <c r="C180" s="14" t="s">
        <v>27</v>
      </c>
      <c r="D180" s="15" t="s">
        <v>2</v>
      </c>
      <c r="E180" s="10" t="s">
        <v>28</v>
      </c>
      <c r="F180" s="16" t="s">
        <v>3</v>
      </c>
      <c r="G180" s="15" t="s">
        <v>4</v>
      </c>
      <c r="H180" s="15" t="s">
        <v>5</v>
      </c>
      <c r="I180" s="15" t="s">
        <v>77</v>
      </c>
      <c r="J180" s="14" t="s">
        <v>30</v>
      </c>
      <c r="K180" s="17" t="s">
        <v>7</v>
      </c>
    </row>
    <row r="181" ht="13.5" customHeight="1">
      <c r="A181" s="18" t="s">
        <v>31</v>
      </c>
      <c r="D181" s="21">
        <v>400.0</v>
      </c>
      <c r="E181" s="36"/>
      <c r="F181" s="41">
        <v>450.0</v>
      </c>
      <c r="G181" s="32"/>
      <c r="H181" s="21">
        <v>1150.0</v>
      </c>
      <c r="I181" s="21"/>
      <c r="J181" s="24">
        <v>100.0</v>
      </c>
      <c r="K181" s="25">
        <f t="shared" ref="K181:K187" si="38">SUM(D181:J181)</f>
        <v>2100</v>
      </c>
    </row>
    <row r="182" ht="13.5" customHeight="1">
      <c r="A182" s="26" t="s">
        <v>34</v>
      </c>
      <c r="D182" s="21">
        <v>400.0</v>
      </c>
      <c r="E182" s="36"/>
      <c r="F182" s="41">
        <v>400.0</v>
      </c>
      <c r="G182" s="32"/>
      <c r="H182" s="21">
        <v>1160.0</v>
      </c>
      <c r="I182" s="21"/>
      <c r="J182" s="29">
        <v>90.0</v>
      </c>
      <c r="K182" s="25">
        <f t="shared" si="38"/>
        <v>2050</v>
      </c>
    </row>
    <row r="183" ht="13.5" customHeight="1">
      <c r="A183" s="18" t="s">
        <v>35</v>
      </c>
      <c r="D183" s="21"/>
      <c r="E183" s="36"/>
      <c r="F183" s="41"/>
      <c r="G183" s="32"/>
      <c r="H183" s="21"/>
      <c r="I183" s="21"/>
      <c r="J183" s="24"/>
      <c r="K183" s="25">
        <f t="shared" si="38"/>
        <v>0</v>
      </c>
    </row>
    <row r="184" ht="13.5" customHeight="1">
      <c r="A184" s="26" t="s">
        <v>37</v>
      </c>
      <c r="D184" s="21"/>
      <c r="E184" s="36"/>
      <c r="F184" s="41"/>
      <c r="G184" s="32"/>
      <c r="H184" s="21"/>
      <c r="I184" s="21"/>
      <c r="J184" s="29"/>
      <c r="K184" s="25">
        <f t="shared" si="38"/>
        <v>0</v>
      </c>
    </row>
    <row r="185" ht="14.25" customHeight="1">
      <c r="A185" s="18" t="s">
        <v>38</v>
      </c>
      <c r="B185" s="19" t="s">
        <v>39</v>
      </c>
      <c r="C185" s="19" t="s">
        <v>40</v>
      </c>
      <c r="D185" s="21">
        <v>450.0</v>
      </c>
      <c r="E185" s="36"/>
      <c r="F185" s="36">
        <v>750.0</v>
      </c>
      <c r="G185" s="21"/>
      <c r="H185" s="21">
        <v>4580.0</v>
      </c>
      <c r="I185" s="21"/>
      <c r="J185" s="21">
        <v>320.0</v>
      </c>
      <c r="K185" s="25">
        <f t="shared" si="38"/>
        <v>6100</v>
      </c>
      <c r="L185" s="47"/>
      <c r="M185" s="12"/>
    </row>
    <row r="186" ht="13.5" customHeight="1">
      <c r="A186" s="35" t="s">
        <v>41</v>
      </c>
      <c r="B186" s="27"/>
      <c r="C186" s="27"/>
      <c r="D186" s="21">
        <v>460.0</v>
      </c>
      <c r="E186" s="21"/>
      <c r="F186" s="21">
        <v>400.0</v>
      </c>
      <c r="G186" s="21"/>
      <c r="H186" s="21">
        <v>1160.0</v>
      </c>
      <c r="I186" s="21"/>
      <c r="J186" s="21">
        <v>90.0</v>
      </c>
      <c r="K186" s="25">
        <f t="shared" si="38"/>
        <v>2110</v>
      </c>
    </row>
    <row r="187" ht="13.5" customHeight="1">
      <c r="A187" s="40" t="s">
        <v>7</v>
      </c>
      <c r="B187" s="40"/>
      <c r="C187" s="40"/>
      <c r="D187" s="10">
        <f t="shared" ref="D187:J187" si="39">SUM(D181:D186)</f>
        <v>1710</v>
      </c>
      <c r="E187" s="10">
        <f t="shared" si="39"/>
        <v>0</v>
      </c>
      <c r="F187" s="10">
        <f t="shared" si="39"/>
        <v>2000</v>
      </c>
      <c r="G187" s="10">
        <f t="shared" si="39"/>
        <v>0</v>
      </c>
      <c r="H187" s="10">
        <f t="shared" si="39"/>
        <v>8050</v>
      </c>
      <c r="I187" s="10">
        <f t="shared" si="39"/>
        <v>0</v>
      </c>
      <c r="J187" s="10">
        <f t="shared" si="39"/>
        <v>600</v>
      </c>
      <c r="K187" s="25">
        <f t="shared" si="38"/>
        <v>12360</v>
      </c>
    </row>
    <row r="188" ht="13.5" customHeight="1">
      <c r="A188" s="48" t="s">
        <v>428</v>
      </c>
    </row>
    <row r="189" ht="13.5" customHeight="1">
      <c r="A189" s="14" t="s">
        <v>25</v>
      </c>
      <c r="B189" s="14" t="s">
        <v>1</v>
      </c>
      <c r="C189" s="14" t="s">
        <v>27</v>
      </c>
      <c r="D189" s="15" t="s">
        <v>2</v>
      </c>
      <c r="E189" s="10" t="s">
        <v>28</v>
      </c>
      <c r="F189" s="16" t="s">
        <v>3</v>
      </c>
      <c r="G189" s="15" t="s">
        <v>4</v>
      </c>
      <c r="H189" s="15" t="s">
        <v>5</v>
      </c>
      <c r="I189" s="15" t="s">
        <v>82</v>
      </c>
      <c r="J189" s="14" t="s">
        <v>30</v>
      </c>
      <c r="K189" s="17" t="s">
        <v>7</v>
      </c>
    </row>
    <row r="190" ht="13.5" customHeight="1">
      <c r="A190" s="18" t="s">
        <v>31</v>
      </c>
      <c r="B190" s="19">
        <v>1.0</v>
      </c>
      <c r="C190" s="20" t="s">
        <v>33</v>
      </c>
      <c r="D190" s="21">
        <v>410.0</v>
      </c>
      <c r="E190" s="36"/>
      <c r="F190" s="36">
        <v>460.0</v>
      </c>
      <c r="G190" s="32"/>
      <c r="H190" s="21">
        <v>1070.0</v>
      </c>
      <c r="I190" s="21"/>
      <c r="J190" s="50">
        <v>90.0</v>
      </c>
      <c r="K190" s="25">
        <f t="shared" ref="K190:K196" si="40">SUM(D190:J190)</f>
        <v>2030</v>
      </c>
    </row>
    <row r="191" ht="13.5" customHeight="1">
      <c r="A191" s="26" t="s">
        <v>34</v>
      </c>
      <c r="B191" s="27"/>
      <c r="C191" s="28">
        <v>86.0</v>
      </c>
      <c r="D191" s="21">
        <v>430.0</v>
      </c>
      <c r="E191" s="36"/>
      <c r="F191" s="36">
        <v>420.0</v>
      </c>
      <c r="G191" s="32"/>
      <c r="H191" s="21">
        <v>1070.0</v>
      </c>
      <c r="I191" s="21"/>
      <c r="J191" s="51">
        <v>100.0</v>
      </c>
      <c r="K191" s="25">
        <f t="shared" si="40"/>
        <v>2020</v>
      </c>
    </row>
    <row r="192" ht="13.5" customHeight="1">
      <c r="A192" s="18" t="s">
        <v>35</v>
      </c>
      <c r="B192" s="30">
        <v>2.1</v>
      </c>
      <c r="C192" s="31" t="s">
        <v>36</v>
      </c>
      <c r="D192" s="21"/>
      <c r="E192" s="36"/>
      <c r="F192" s="36"/>
      <c r="G192" s="32"/>
      <c r="H192" s="21"/>
      <c r="I192" s="21"/>
      <c r="J192" s="50"/>
      <c r="K192" s="25">
        <f t="shared" si="40"/>
        <v>0</v>
      </c>
    </row>
    <row r="193" ht="13.5" customHeight="1">
      <c r="A193" s="26" t="s">
        <v>37</v>
      </c>
      <c r="B193" s="33"/>
      <c r="C193" s="34">
        <v>87.0</v>
      </c>
      <c r="D193" s="10"/>
      <c r="E193" s="10"/>
      <c r="F193" s="10"/>
      <c r="G193" s="32"/>
      <c r="H193" s="10"/>
      <c r="I193" s="10"/>
      <c r="J193" s="52"/>
      <c r="K193" s="25">
        <f t="shared" si="40"/>
        <v>0</v>
      </c>
    </row>
    <row r="194" ht="14.25" customHeight="1">
      <c r="A194" s="18" t="s">
        <v>38</v>
      </c>
      <c r="B194" s="19" t="s">
        <v>39</v>
      </c>
      <c r="C194" s="19" t="s">
        <v>40</v>
      </c>
      <c r="D194" s="21">
        <v>470.0</v>
      </c>
      <c r="E194" s="36"/>
      <c r="F194" s="36">
        <v>740.0</v>
      </c>
      <c r="G194" s="21"/>
      <c r="H194" s="21">
        <v>4590.0</v>
      </c>
      <c r="I194" s="21"/>
      <c r="J194" s="21">
        <v>310.0</v>
      </c>
      <c r="K194" s="25">
        <f t="shared" si="40"/>
        <v>6110</v>
      </c>
      <c r="L194" s="47"/>
      <c r="M194" s="12"/>
    </row>
    <row r="195" ht="13.5" customHeight="1">
      <c r="A195" s="35" t="s">
        <v>41</v>
      </c>
      <c r="B195" s="27"/>
      <c r="C195" s="27"/>
      <c r="D195" s="21">
        <v>480.0</v>
      </c>
      <c r="E195" s="21"/>
      <c r="F195" s="21">
        <v>760.0</v>
      </c>
      <c r="G195" s="21"/>
      <c r="H195" s="21">
        <v>4530.0</v>
      </c>
      <c r="I195" s="21"/>
      <c r="J195" s="21">
        <v>300.0</v>
      </c>
      <c r="K195" s="25">
        <f t="shared" si="40"/>
        <v>6070</v>
      </c>
    </row>
    <row r="196" ht="13.5" customHeight="1">
      <c r="A196" s="40" t="s">
        <v>7</v>
      </c>
      <c r="B196" s="40"/>
      <c r="C196" s="40"/>
      <c r="D196" s="10">
        <f t="shared" ref="D196:J196" si="41">SUM(D190:D195)</f>
        <v>1790</v>
      </c>
      <c r="E196" s="10">
        <f t="shared" si="41"/>
        <v>0</v>
      </c>
      <c r="F196" s="10">
        <f t="shared" si="41"/>
        <v>2380</v>
      </c>
      <c r="G196" s="10">
        <f t="shared" si="41"/>
        <v>0</v>
      </c>
      <c r="H196" s="10">
        <f t="shared" si="41"/>
        <v>11260</v>
      </c>
      <c r="I196" s="10">
        <f t="shared" si="41"/>
        <v>0</v>
      </c>
      <c r="J196" s="10">
        <f t="shared" si="41"/>
        <v>800</v>
      </c>
      <c r="K196" s="25">
        <f t="shared" si="40"/>
        <v>16230</v>
      </c>
    </row>
    <row r="197" ht="13.5" customHeight="1"/>
    <row r="198" ht="13.5" customHeight="1">
      <c r="A198" s="48" t="s">
        <v>429</v>
      </c>
    </row>
    <row r="199" ht="13.5" customHeight="1">
      <c r="A199" s="14" t="s">
        <v>25</v>
      </c>
      <c r="B199" s="14" t="s">
        <v>1</v>
      </c>
      <c r="C199" s="14" t="s">
        <v>27</v>
      </c>
      <c r="D199" s="15" t="s">
        <v>2</v>
      </c>
      <c r="E199" s="10" t="s">
        <v>28</v>
      </c>
      <c r="F199" s="16" t="s">
        <v>3</v>
      </c>
      <c r="G199" s="15" t="s">
        <v>4</v>
      </c>
      <c r="H199" s="15" t="s">
        <v>5</v>
      </c>
      <c r="I199" s="15" t="s">
        <v>29</v>
      </c>
      <c r="J199" s="14" t="s">
        <v>30</v>
      </c>
      <c r="K199" s="17" t="s">
        <v>7</v>
      </c>
    </row>
    <row r="200" ht="13.5" customHeight="1">
      <c r="A200" s="18" t="s">
        <v>31</v>
      </c>
      <c r="B200" s="19">
        <v>1.0</v>
      </c>
      <c r="C200" s="20" t="s">
        <v>33</v>
      </c>
      <c r="D200" s="21">
        <v>400.0</v>
      </c>
      <c r="E200" s="36"/>
      <c r="F200" s="41">
        <v>430.0</v>
      </c>
      <c r="G200" s="32"/>
      <c r="H200" s="21">
        <v>1150.0</v>
      </c>
      <c r="I200" s="21"/>
      <c r="J200" s="24">
        <v>100.0</v>
      </c>
      <c r="K200" s="25">
        <f t="shared" ref="K200:K206" si="42">SUM(D200:J200)</f>
        <v>2080</v>
      </c>
    </row>
    <row r="201" ht="13.5" customHeight="1">
      <c r="A201" s="26" t="s">
        <v>34</v>
      </c>
      <c r="B201" s="27"/>
      <c r="C201" s="28">
        <v>86.0</v>
      </c>
      <c r="D201" s="21">
        <v>400.0</v>
      </c>
      <c r="E201" s="36"/>
      <c r="F201" s="41">
        <v>400.0</v>
      </c>
      <c r="G201" s="32"/>
      <c r="H201" s="21">
        <v>1470.0</v>
      </c>
      <c r="I201" s="21"/>
      <c r="J201" s="29">
        <v>30.0</v>
      </c>
      <c r="K201" s="25">
        <f t="shared" si="42"/>
        <v>2300</v>
      </c>
    </row>
    <row r="202" ht="13.5" customHeight="1">
      <c r="A202" s="18" t="s">
        <v>35</v>
      </c>
      <c r="B202" s="30">
        <v>2.1</v>
      </c>
      <c r="C202" s="31" t="s">
        <v>36</v>
      </c>
      <c r="D202" s="21"/>
      <c r="E202" s="41"/>
      <c r="F202" s="10"/>
      <c r="G202" s="32"/>
      <c r="H202" s="21"/>
      <c r="I202" s="24"/>
      <c r="J202" s="24"/>
      <c r="K202" s="25">
        <f t="shared" si="42"/>
        <v>0</v>
      </c>
    </row>
    <row r="203" ht="13.5" customHeight="1">
      <c r="A203" s="26" t="s">
        <v>37</v>
      </c>
      <c r="B203" s="33"/>
      <c r="C203" s="34">
        <v>87.0</v>
      </c>
      <c r="D203" s="21"/>
      <c r="E203" s="36"/>
      <c r="F203" s="36"/>
      <c r="G203" s="32"/>
      <c r="H203" s="21"/>
      <c r="I203" s="29"/>
      <c r="J203" s="29"/>
      <c r="K203" s="25">
        <f t="shared" si="42"/>
        <v>0</v>
      </c>
    </row>
    <row r="204" ht="14.25" customHeight="1">
      <c r="A204" s="18" t="s">
        <v>38</v>
      </c>
      <c r="B204" s="19" t="s">
        <v>39</v>
      </c>
      <c r="C204" s="19" t="s">
        <v>40</v>
      </c>
      <c r="D204" s="21">
        <v>460.0</v>
      </c>
      <c r="E204" s="36"/>
      <c r="F204" s="36">
        <v>770.0</v>
      </c>
      <c r="G204" s="21"/>
      <c r="H204" s="21">
        <v>4690.0</v>
      </c>
      <c r="I204" s="21"/>
      <c r="J204" s="24">
        <v>320.0</v>
      </c>
      <c r="K204" s="25">
        <f t="shared" si="42"/>
        <v>6240</v>
      </c>
      <c r="L204" s="47"/>
      <c r="M204" s="12"/>
    </row>
    <row r="205" ht="13.5" customHeight="1">
      <c r="A205" s="35" t="s">
        <v>41</v>
      </c>
      <c r="B205" s="27"/>
      <c r="C205" s="27"/>
      <c r="D205" s="21">
        <v>440.0</v>
      </c>
      <c r="E205" s="36"/>
      <c r="F205" s="36">
        <v>770.0</v>
      </c>
      <c r="G205" s="21"/>
      <c r="H205" s="21">
        <v>4520.0</v>
      </c>
      <c r="I205" s="21"/>
      <c r="J205" s="39">
        <v>310.0</v>
      </c>
      <c r="K205" s="25">
        <f t="shared" si="42"/>
        <v>6040</v>
      </c>
    </row>
    <row r="206" ht="13.5" customHeight="1">
      <c r="A206" s="40" t="s">
        <v>7</v>
      </c>
      <c r="B206" s="40"/>
      <c r="C206" s="40"/>
      <c r="D206" s="10">
        <f t="shared" ref="D206:J206" si="43">SUM(D200:D205)</f>
        <v>1700</v>
      </c>
      <c r="E206" s="10">
        <f t="shared" si="43"/>
        <v>0</v>
      </c>
      <c r="F206" s="10">
        <f t="shared" si="43"/>
        <v>2370</v>
      </c>
      <c r="G206" s="10">
        <f t="shared" si="43"/>
        <v>0</v>
      </c>
      <c r="H206" s="10">
        <f t="shared" si="43"/>
        <v>11830</v>
      </c>
      <c r="I206" s="10">
        <f t="shared" si="43"/>
        <v>0</v>
      </c>
      <c r="J206" s="10">
        <f t="shared" si="43"/>
        <v>760</v>
      </c>
      <c r="K206" s="25">
        <f t="shared" si="42"/>
        <v>16660</v>
      </c>
    </row>
    <row r="207" ht="13.5" customHeight="1"/>
    <row r="208" ht="13.5" customHeight="1">
      <c r="A208" s="48" t="s">
        <v>430</v>
      </c>
    </row>
    <row r="209" ht="13.5" customHeight="1">
      <c r="A209" s="14"/>
      <c r="B209" s="14" t="s">
        <v>1</v>
      </c>
      <c r="C209" s="14" t="s">
        <v>27</v>
      </c>
      <c r="D209" s="15" t="s">
        <v>2</v>
      </c>
      <c r="E209" s="10" t="s">
        <v>28</v>
      </c>
      <c r="F209" s="16" t="s">
        <v>3</v>
      </c>
      <c r="G209" s="15" t="s">
        <v>4</v>
      </c>
      <c r="H209" s="15" t="s">
        <v>5</v>
      </c>
      <c r="I209" s="15" t="s">
        <v>29</v>
      </c>
      <c r="J209" s="14" t="s">
        <v>30</v>
      </c>
      <c r="K209" s="17" t="s">
        <v>7</v>
      </c>
    </row>
    <row r="210" ht="13.5" customHeight="1">
      <c r="A210" s="18" t="s">
        <v>31</v>
      </c>
      <c r="B210" s="19">
        <v>1.2</v>
      </c>
      <c r="C210" s="20" t="s">
        <v>33</v>
      </c>
      <c r="D210" s="21">
        <v>400.0</v>
      </c>
      <c r="E210" s="36"/>
      <c r="F210" s="36">
        <v>420.0</v>
      </c>
      <c r="G210" s="32"/>
      <c r="H210" s="21">
        <v>1370.0</v>
      </c>
      <c r="I210" s="23"/>
      <c r="J210" s="24">
        <v>70.0</v>
      </c>
      <c r="K210" s="25">
        <f t="shared" ref="K210:K216" si="44">SUM(D210:J210)</f>
        <v>2260</v>
      </c>
    </row>
    <row r="211" ht="13.5" customHeight="1">
      <c r="A211" s="26" t="s">
        <v>34</v>
      </c>
      <c r="B211" s="27"/>
      <c r="C211" s="28"/>
      <c r="D211" s="21">
        <v>400.0</v>
      </c>
      <c r="E211" s="36"/>
      <c r="F211" s="37">
        <v>400.0</v>
      </c>
      <c r="G211" s="53"/>
      <c r="H211" s="22">
        <v>1470.0</v>
      </c>
      <c r="I211" s="29"/>
      <c r="J211" s="29">
        <v>70.0</v>
      </c>
      <c r="K211" s="25">
        <f t="shared" si="44"/>
        <v>2340</v>
      </c>
    </row>
    <row r="212" ht="13.5" customHeight="1">
      <c r="A212" s="18" t="s">
        <v>35</v>
      </c>
      <c r="B212" s="30">
        <v>2.0</v>
      </c>
      <c r="C212" s="31" t="s">
        <v>36</v>
      </c>
      <c r="D212" s="21"/>
      <c r="E212" s="36"/>
      <c r="F212" s="36"/>
      <c r="G212" s="21"/>
      <c r="H212" s="21"/>
      <c r="I212" s="21"/>
      <c r="J212" s="24"/>
      <c r="K212" s="25">
        <f t="shared" si="44"/>
        <v>0</v>
      </c>
    </row>
    <row r="213" ht="13.5" customHeight="1">
      <c r="A213" s="26" t="s">
        <v>37</v>
      </c>
      <c r="B213" s="33"/>
      <c r="C213" s="34"/>
      <c r="D213" s="21"/>
      <c r="E213" s="36"/>
      <c r="F213" s="36"/>
      <c r="G213" s="21"/>
      <c r="H213" s="21"/>
      <c r="I213" s="21"/>
      <c r="J213" s="29"/>
      <c r="K213" s="25">
        <f t="shared" si="44"/>
        <v>0</v>
      </c>
    </row>
    <row r="214" ht="14.25" customHeight="1">
      <c r="A214" s="18" t="s">
        <v>38</v>
      </c>
      <c r="B214" s="19" t="s">
        <v>39</v>
      </c>
      <c r="C214" s="19" t="s">
        <v>40</v>
      </c>
      <c r="D214" s="21">
        <v>450.0</v>
      </c>
      <c r="E214" s="36"/>
      <c r="F214" s="36">
        <v>760.0</v>
      </c>
      <c r="G214" s="21"/>
      <c r="H214" s="21">
        <v>4560.0</v>
      </c>
      <c r="I214" s="21"/>
      <c r="J214" s="24">
        <v>330.0</v>
      </c>
      <c r="K214" s="25">
        <f t="shared" si="44"/>
        <v>6100</v>
      </c>
      <c r="L214" s="47"/>
      <c r="M214" s="12"/>
    </row>
    <row r="215" ht="13.5" customHeight="1">
      <c r="A215" s="35" t="s">
        <v>41</v>
      </c>
      <c r="B215" s="27"/>
      <c r="C215" s="27"/>
      <c r="D215" s="21">
        <v>460.0</v>
      </c>
      <c r="E215" s="21"/>
      <c r="F215" s="21"/>
      <c r="G215" s="21"/>
      <c r="H215" s="21">
        <v>4860.0</v>
      </c>
      <c r="I215" s="21"/>
      <c r="J215" s="21">
        <v>280.0</v>
      </c>
      <c r="K215" s="25">
        <f t="shared" si="44"/>
        <v>5600</v>
      </c>
    </row>
    <row r="216" ht="13.5" customHeight="1">
      <c r="A216" s="40" t="s">
        <v>7</v>
      </c>
      <c r="B216" s="40"/>
      <c r="C216" s="40"/>
      <c r="D216" s="10">
        <f t="shared" ref="D216:J216" si="45">SUM(D210:D215)</f>
        <v>1710</v>
      </c>
      <c r="E216" s="10">
        <f t="shared" si="45"/>
        <v>0</v>
      </c>
      <c r="F216" s="10">
        <f t="shared" si="45"/>
        <v>1580</v>
      </c>
      <c r="G216" s="10">
        <f t="shared" si="45"/>
        <v>0</v>
      </c>
      <c r="H216" s="10">
        <f t="shared" si="45"/>
        <v>12260</v>
      </c>
      <c r="I216" s="10">
        <f t="shared" si="45"/>
        <v>0</v>
      </c>
      <c r="J216" s="10">
        <f t="shared" si="45"/>
        <v>750</v>
      </c>
      <c r="K216" s="25">
        <f t="shared" si="44"/>
        <v>16300</v>
      </c>
    </row>
    <row r="217" ht="13.5" customHeight="1"/>
    <row r="218" ht="13.5" customHeight="1">
      <c r="A218" s="48" t="s">
        <v>431</v>
      </c>
    </row>
    <row r="219" ht="13.5" customHeight="1">
      <c r="A219" s="14" t="s">
        <v>25</v>
      </c>
      <c r="B219" s="14" t="s">
        <v>1</v>
      </c>
      <c r="C219" s="14" t="s">
        <v>27</v>
      </c>
      <c r="D219" s="15" t="s">
        <v>2</v>
      </c>
      <c r="E219" s="10" t="s">
        <v>325</v>
      </c>
      <c r="F219" s="16" t="s">
        <v>3</v>
      </c>
      <c r="G219" s="15" t="s">
        <v>4</v>
      </c>
      <c r="H219" s="15" t="s">
        <v>5</v>
      </c>
      <c r="I219" s="15" t="s">
        <v>29</v>
      </c>
      <c r="J219" s="14" t="s">
        <v>30</v>
      </c>
      <c r="K219" s="17" t="s">
        <v>7</v>
      </c>
    </row>
    <row r="220" ht="13.5" customHeight="1">
      <c r="A220" s="18" t="s">
        <v>31</v>
      </c>
      <c r="B220" s="19">
        <v>1.2</v>
      </c>
      <c r="C220" s="20" t="s">
        <v>33</v>
      </c>
      <c r="D220" s="21">
        <v>400.0</v>
      </c>
      <c r="E220" s="36"/>
      <c r="F220" s="36">
        <v>500.0</v>
      </c>
      <c r="G220" s="32"/>
      <c r="H220" s="21">
        <v>920.0</v>
      </c>
      <c r="I220" s="23"/>
      <c r="J220" s="24">
        <v>60.0</v>
      </c>
      <c r="K220" s="25">
        <f t="shared" ref="K220:K226" si="46">D220+F220+G220+H220+I220+J220</f>
        <v>1880</v>
      </c>
    </row>
    <row r="221" ht="13.5" customHeight="1">
      <c r="A221" s="26" t="s">
        <v>34</v>
      </c>
      <c r="B221" s="27"/>
      <c r="C221" s="28"/>
      <c r="D221" s="21">
        <v>400.0</v>
      </c>
      <c r="E221" s="36"/>
      <c r="F221" s="37"/>
      <c r="G221" s="53"/>
      <c r="H221" s="22">
        <v>920.0</v>
      </c>
      <c r="I221" s="29"/>
      <c r="J221" s="29">
        <v>60.0</v>
      </c>
      <c r="K221" s="25">
        <f t="shared" si="46"/>
        <v>1380</v>
      </c>
    </row>
    <row r="222" ht="13.5" customHeight="1">
      <c r="A222" s="18" t="s">
        <v>35</v>
      </c>
      <c r="B222" s="30">
        <v>2.0</v>
      </c>
      <c r="C222" s="31" t="s">
        <v>36</v>
      </c>
      <c r="D222" s="21"/>
      <c r="E222" s="36"/>
      <c r="F222" s="36"/>
      <c r="G222" s="21"/>
      <c r="H222" s="21"/>
      <c r="I222" s="21"/>
      <c r="J222" s="24"/>
      <c r="K222" s="25">
        <f t="shared" si="46"/>
        <v>0</v>
      </c>
    </row>
    <row r="223" ht="13.5" customHeight="1">
      <c r="A223" s="26" t="s">
        <v>37</v>
      </c>
      <c r="B223" s="33"/>
      <c r="C223" s="34"/>
      <c r="D223" s="21"/>
      <c r="E223" s="36"/>
      <c r="F223" s="36"/>
      <c r="G223" s="21"/>
      <c r="H223" s="21"/>
      <c r="I223" s="21"/>
      <c r="J223" s="29"/>
      <c r="K223" s="25">
        <f t="shared" si="46"/>
        <v>0</v>
      </c>
    </row>
    <row r="224" ht="14.25" customHeight="1">
      <c r="A224" s="18" t="s">
        <v>38</v>
      </c>
      <c r="B224" s="19" t="s">
        <v>39</v>
      </c>
      <c r="C224" s="19" t="s">
        <v>40</v>
      </c>
      <c r="D224" s="21">
        <v>450.0</v>
      </c>
      <c r="E224" s="36"/>
      <c r="F224" s="36"/>
      <c r="G224" s="21"/>
      <c r="H224" s="21">
        <v>4390.0</v>
      </c>
      <c r="I224" s="21"/>
      <c r="J224" s="24">
        <v>320.0</v>
      </c>
      <c r="K224" s="25">
        <f t="shared" si="46"/>
        <v>5160</v>
      </c>
      <c r="L224" s="47"/>
      <c r="M224" s="12"/>
    </row>
    <row r="225" ht="13.5" customHeight="1">
      <c r="A225" s="35" t="s">
        <v>41</v>
      </c>
      <c r="B225" s="27"/>
      <c r="C225" s="27"/>
      <c r="D225" s="21">
        <v>460.0</v>
      </c>
      <c r="E225" s="36"/>
      <c r="F225" s="21"/>
      <c r="G225" s="21"/>
      <c r="H225" s="21">
        <v>4320.0</v>
      </c>
      <c r="I225" s="21"/>
      <c r="J225" s="21">
        <v>320.0</v>
      </c>
      <c r="K225" s="25">
        <f t="shared" si="46"/>
        <v>5100</v>
      </c>
    </row>
    <row r="226" ht="13.5" customHeight="1">
      <c r="A226" s="40" t="s">
        <v>7</v>
      </c>
      <c r="B226" s="40"/>
      <c r="C226" s="40"/>
      <c r="D226" s="10">
        <f t="shared" ref="D226:J226" si="47">SUM(D220:D225)</f>
        <v>1710</v>
      </c>
      <c r="E226" s="10">
        <f t="shared" si="47"/>
        <v>0</v>
      </c>
      <c r="F226" s="10">
        <f t="shared" si="47"/>
        <v>500</v>
      </c>
      <c r="G226" s="10">
        <f t="shared" si="47"/>
        <v>0</v>
      </c>
      <c r="H226" s="10">
        <f t="shared" si="47"/>
        <v>10550</v>
      </c>
      <c r="I226" s="10">
        <f t="shared" si="47"/>
        <v>0</v>
      </c>
      <c r="J226" s="10">
        <f t="shared" si="47"/>
        <v>760</v>
      </c>
      <c r="K226" s="25">
        <f t="shared" si="46"/>
        <v>13520</v>
      </c>
    </row>
    <row r="227" ht="13.5" customHeight="1"/>
    <row r="228" ht="13.5" customHeight="1">
      <c r="A228" s="48" t="s">
        <v>432</v>
      </c>
    </row>
    <row r="229" ht="13.5" customHeight="1">
      <c r="A229" s="14" t="s">
        <v>25</v>
      </c>
      <c r="B229" s="14" t="s">
        <v>1</v>
      </c>
      <c r="C229" s="14" t="s">
        <v>27</v>
      </c>
      <c r="D229" s="15" t="s">
        <v>2</v>
      </c>
      <c r="E229" s="10" t="s">
        <v>325</v>
      </c>
      <c r="F229" s="16" t="s">
        <v>3</v>
      </c>
      <c r="G229" s="15" t="s">
        <v>4</v>
      </c>
      <c r="H229" s="14" t="s">
        <v>5</v>
      </c>
      <c r="I229" s="15" t="s">
        <v>29</v>
      </c>
      <c r="J229" s="14" t="s">
        <v>30</v>
      </c>
      <c r="K229" s="17" t="s">
        <v>7</v>
      </c>
    </row>
    <row r="230" ht="13.5" customHeight="1">
      <c r="A230" s="18" t="s">
        <v>31</v>
      </c>
      <c r="B230" s="19">
        <v>1.2</v>
      </c>
      <c r="C230" s="20" t="s">
        <v>33</v>
      </c>
      <c r="D230" s="21">
        <v>400.0</v>
      </c>
      <c r="E230" s="36"/>
      <c r="F230" s="36"/>
      <c r="G230" s="32"/>
      <c r="H230" s="21">
        <v>920.0</v>
      </c>
      <c r="I230" s="21"/>
      <c r="J230" s="21">
        <v>80.0</v>
      </c>
      <c r="K230" s="25">
        <f t="shared" ref="K230:K236" si="48">D230+F230+G230+H230+I230+J230</f>
        <v>1400</v>
      </c>
    </row>
    <row r="231" ht="13.5" customHeight="1">
      <c r="A231" s="26" t="s">
        <v>34</v>
      </c>
      <c r="B231" s="27"/>
      <c r="C231" s="28"/>
      <c r="D231" s="21">
        <v>400.0</v>
      </c>
      <c r="E231" s="36"/>
      <c r="F231" s="36"/>
      <c r="G231" s="32"/>
      <c r="H231" s="21">
        <v>940.0</v>
      </c>
      <c r="I231" s="21"/>
      <c r="J231" s="21">
        <v>60.0</v>
      </c>
      <c r="K231" s="25">
        <f t="shared" si="48"/>
        <v>1400</v>
      </c>
    </row>
    <row r="232" ht="13.5" customHeight="1">
      <c r="A232" s="18" t="s">
        <v>35</v>
      </c>
      <c r="B232" s="30">
        <v>2.0</v>
      </c>
      <c r="C232" s="31" t="s">
        <v>36</v>
      </c>
      <c r="D232" s="21"/>
      <c r="E232" s="36"/>
      <c r="F232" s="36"/>
      <c r="G232" s="32"/>
      <c r="H232" s="21"/>
      <c r="I232" s="21"/>
      <c r="J232" s="21"/>
      <c r="K232" s="25">
        <f t="shared" si="48"/>
        <v>0</v>
      </c>
    </row>
    <row r="233" ht="13.5" customHeight="1">
      <c r="A233" s="26" t="s">
        <v>37</v>
      </c>
      <c r="B233" s="33"/>
      <c r="C233" s="34"/>
      <c r="D233" s="21"/>
      <c r="E233" s="36"/>
      <c r="F233" s="36"/>
      <c r="G233" s="32"/>
      <c r="H233" s="21"/>
      <c r="I233" s="21"/>
      <c r="J233" s="21"/>
      <c r="K233" s="25">
        <f t="shared" si="48"/>
        <v>0</v>
      </c>
    </row>
    <row r="234" ht="14.25" customHeight="1">
      <c r="A234" s="18" t="s">
        <v>38</v>
      </c>
      <c r="B234" s="19" t="s">
        <v>39</v>
      </c>
      <c r="C234" s="19" t="s">
        <v>40</v>
      </c>
      <c r="D234" s="21">
        <v>450.0</v>
      </c>
      <c r="E234" s="36"/>
      <c r="F234" s="36"/>
      <c r="G234" s="32"/>
      <c r="H234" s="21">
        <v>4380.0</v>
      </c>
      <c r="I234" s="21"/>
      <c r="J234" s="21">
        <v>310.0</v>
      </c>
      <c r="K234" s="25">
        <f t="shared" si="48"/>
        <v>5140</v>
      </c>
      <c r="L234" s="47"/>
      <c r="M234" s="12"/>
    </row>
    <row r="235" ht="13.5" customHeight="1">
      <c r="A235" s="35" t="s">
        <v>41</v>
      </c>
      <c r="B235" s="27"/>
      <c r="C235" s="27"/>
      <c r="D235" s="21">
        <v>450.0</v>
      </c>
      <c r="E235" s="36"/>
      <c r="F235" s="36"/>
      <c r="G235" s="38"/>
      <c r="H235" s="21">
        <v>4330.0</v>
      </c>
      <c r="I235" s="29"/>
      <c r="J235" s="39">
        <v>300.0</v>
      </c>
      <c r="K235" s="25">
        <f t="shared" si="48"/>
        <v>5080</v>
      </c>
    </row>
    <row r="236" ht="13.5" customHeight="1">
      <c r="A236" s="40" t="s">
        <v>7</v>
      </c>
      <c r="B236" s="40"/>
      <c r="C236" s="40"/>
      <c r="D236" s="10">
        <f t="shared" ref="D236:J236" si="49">SUM(D230:D235)</f>
        <v>1700</v>
      </c>
      <c r="E236" s="10">
        <f t="shared" si="49"/>
        <v>0</v>
      </c>
      <c r="F236" s="10">
        <f t="shared" si="49"/>
        <v>0</v>
      </c>
      <c r="G236" s="10">
        <f t="shared" si="49"/>
        <v>0</v>
      </c>
      <c r="H236" s="10">
        <f t="shared" si="49"/>
        <v>10570</v>
      </c>
      <c r="I236" s="10">
        <f t="shared" si="49"/>
        <v>0</v>
      </c>
      <c r="J236" s="10">
        <f t="shared" si="49"/>
        <v>750</v>
      </c>
      <c r="K236" s="25">
        <f t="shared" si="48"/>
        <v>13020</v>
      </c>
    </row>
    <row r="237" ht="13.5" customHeight="1"/>
    <row r="238" ht="13.5" customHeight="1">
      <c r="A238" s="48" t="s">
        <v>433</v>
      </c>
    </row>
    <row r="239" ht="13.5" customHeight="1">
      <c r="A239" s="14" t="s">
        <v>25</v>
      </c>
      <c r="B239" s="14" t="s">
        <v>1</v>
      </c>
      <c r="C239" s="14" t="s">
        <v>27</v>
      </c>
      <c r="D239" s="15" t="s">
        <v>2</v>
      </c>
      <c r="E239" s="10" t="s">
        <v>325</v>
      </c>
      <c r="F239" s="16" t="s">
        <v>3</v>
      </c>
      <c r="G239" s="15" t="s">
        <v>4</v>
      </c>
      <c r="H239" s="15" t="s">
        <v>5</v>
      </c>
      <c r="I239" s="15" t="s">
        <v>29</v>
      </c>
      <c r="J239" s="14" t="s">
        <v>30</v>
      </c>
      <c r="K239" s="17" t="s">
        <v>7</v>
      </c>
    </row>
    <row r="240" ht="13.5" customHeight="1">
      <c r="A240" s="18" t="s">
        <v>31</v>
      </c>
      <c r="B240" s="19">
        <v>1.2</v>
      </c>
      <c r="C240" s="20" t="s">
        <v>33</v>
      </c>
      <c r="D240" s="21">
        <v>420.0</v>
      </c>
      <c r="E240" s="36"/>
      <c r="F240" s="36"/>
      <c r="G240" s="32"/>
      <c r="H240" s="21">
        <v>1010.0</v>
      </c>
      <c r="I240" s="23"/>
      <c r="J240" s="24">
        <v>80.0</v>
      </c>
      <c r="K240" s="25">
        <f t="shared" ref="K240:K246" si="50">D240+F240+G240+H240+I240+J240</f>
        <v>1510</v>
      </c>
    </row>
    <row r="241" ht="13.5" customHeight="1">
      <c r="A241" s="26" t="s">
        <v>34</v>
      </c>
      <c r="B241" s="27"/>
      <c r="C241" s="28"/>
      <c r="D241" s="21">
        <v>430.0</v>
      </c>
      <c r="E241" s="36"/>
      <c r="F241" s="36"/>
      <c r="G241" s="32"/>
      <c r="H241" s="21">
        <v>920.0</v>
      </c>
      <c r="I241" s="29"/>
      <c r="J241" s="29">
        <v>90.0</v>
      </c>
      <c r="K241" s="25">
        <f t="shared" si="50"/>
        <v>1440</v>
      </c>
    </row>
    <row r="242" ht="13.5" customHeight="1">
      <c r="A242" s="18" t="s">
        <v>35</v>
      </c>
      <c r="B242" s="30">
        <v>2.0</v>
      </c>
      <c r="C242" s="31" t="s">
        <v>36</v>
      </c>
      <c r="D242" s="21"/>
      <c r="E242" s="36"/>
      <c r="F242" s="36"/>
      <c r="G242" s="32"/>
      <c r="H242" s="21"/>
      <c r="I242" s="23"/>
      <c r="J242" s="24"/>
      <c r="K242" s="25">
        <f t="shared" si="50"/>
        <v>0</v>
      </c>
    </row>
    <row r="243" ht="13.5" customHeight="1">
      <c r="A243" s="26" t="s">
        <v>37</v>
      </c>
      <c r="B243" s="33"/>
      <c r="C243" s="34"/>
      <c r="D243" s="21"/>
      <c r="E243" s="36"/>
      <c r="F243" s="36"/>
      <c r="G243" s="32"/>
      <c r="H243" s="21"/>
      <c r="I243" s="29"/>
      <c r="J243" s="29"/>
      <c r="K243" s="25">
        <f t="shared" si="50"/>
        <v>0</v>
      </c>
    </row>
    <row r="244" ht="14.25" customHeight="1">
      <c r="A244" s="18" t="s">
        <v>38</v>
      </c>
      <c r="B244" s="19" t="s">
        <v>39</v>
      </c>
      <c r="C244" s="19" t="s">
        <v>40</v>
      </c>
      <c r="D244" s="21">
        <v>460.0</v>
      </c>
      <c r="E244" s="36"/>
      <c r="F244" s="36"/>
      <c r="G244" s="32"/>
      <c r="H244" s="21">
        <v>4400.0</v>
      </c>
      <c r="I244" s="23"/>
      <c r="J244" s="24">
        <v>300.0</v>
      </c>
      <c r="K244" s="25">
        <f t="shared" si="50"/>
        <v>5160</v>
      </c>
      <c r="L244" s="12"/>
    </row>
    <row r="245" ht="13.5" customHeight="1">
      <c r="A245" s="35" t="s">
        <v>41</v>
      </c>
      <c r="B245" s="27"/>
      <c r="C245" s="27"/>
      <c r="D245" s="21">
        <v>460.0</v>
      </c>
      <c r="E245" s="36"/>
      <c r="F245" s="21"/>
      <c r="G245" s="21"/>
      <c r="H245" s="21">
        <v>4380.0</v>
      </c>
      <c r="I245" s="21"/>
      <c r="J245" s="21">
        <v>310.0</v>
      </c>
      <c r="K245" s="25">
        <f t="shared" si="50"/>
        <v>5150</v>
      </c>
    </row>
    <row r="246" ht="13.5" customHeight="1">
      <c r="A246" s="40" t="s">
        <v>7</v>
      </c>
      <c r="B246" s="40"/>
      <c r="C246" s="40"/>
      <c r="D246" s="10">
        <f t="shared" ref="D246:J246" si="51">SUM(D240:D245)</f>
        <v>1770</v>
      </c>
      <c r="E246" s="10">
        <f t="shared" si="51"/>
        <v>0</v>
      </c>
      <c r="F246" s="10">
        <f t="shared" si="51"/>
        <v>0</v>
      </c>
      <c r="G246" s="10">
        <f t="shared" si="51"/>
        <v>0</v>
      </c>
      <c r="H246" s="10">
        <f t="shared" si="51"/>
        <v>10710</v>
      </c>
      <c r="I246" s="10">
        <f t="shared" si="51"/>
        <v>0</v>
      </c>
      <c r="J246" s="10">
        <f t="shared" si="51"/>
        <v>780</v>
      </c>
      <c r="K246" s="25">
        <f t="shared" si="50"/>
        <v>13260</v>
      </c>
    </row>
    <row r="247" ht="13.5" customHeight="1"/>
    <row r="248" ht="13.5" customHeight="1">
      <c r="A248" s="48" t="s">
        <v>434</v>
      </c>
    </row>
    <row r="249" ht="13.5" customHeight="1">
      <c r="A249" s="14" t="s">
        <v>25</v>
      </c>
      <c r="B249" s="14" t="s">
        <v>1</v>
      </c>
      <c r="C249" s="14" t="s">
        <v>27</v>
      </c>
      <c r="D249" s="15" t="s">
        <v>2</v>
      </c>
      <c r="E249" s="10" t="s">
        <v>325</v>
      </c>
      <c r="F249" s="16" t="s">
        <v>3</v>
      </c>
      <c r="G249" s="15" t="s">
        <v>4</v>
      </c>
      <c r="H249" s="15" t="s">
        <v>5</v>
      </c>
      <c r="I249" s="15" t="s">
        <v>29</v>
      </c>
      <c r="J249" s="14" t="s">
        <v>30</v>
      </c>
      <c r="K249" s="17" t="s">
        <v>7</v>
      </c>
    </row>
    <row r="250" ht="14.25" customHeight="1">
      <c r="A250" s="18" t="s">
        <v>31</v>
      </c>
      <c r="B250" s="19">
        <v>1.2</v>
      </c>
      <c r="C250" s="20" t="s">
        <v>33</v>
      </c>
      <c r="D250" s="21">
        <v>410.0</v>
      </c>
      <c r="E250" s="36"/>
      <c r="F250" s="36"/>
      <c r="G250" s="36"/>
      <c r="H250" s="32">
        <v>980.0</v>
      </c>
      <c r="I250" s="23"/>
      <c r="J250" s="24">
        <v>60.0</v>
      </c>
      <c r="K250" s="25">
        <f t="shared" ref="K250:K256" si="52">D250+F250+G250+H250+I250+J250</f>
        <v>1450</v>
      </c>
    </row>
    <row r="251" ht="13.5" customHeight="1">
      <c r="A251" s="26" t="s">
        <v>34</v>
      </c>
      <c r="B251" s="27"/>
      <c r="C251" s="28"/>
      <c r="D251" s="21">
        <v>420.0</v>
      </c>
      <c r="E251" s="36"/>
      <c r="F251" s="36"/>
      <c r="G251" s="32"/>
      <c r="H251" s="36">
        <v>1080.0</v>
      </c>
      <c r="I251" s="32"/>
      <c r="J251" s="21">
        <v>60.0</v>
      </c>
      <c r="K251" s="25">
        <f t="shared" si="52"/>
        <v>1560</v>
      </c>
    </row>
    <row r="252" ht="13.5" customHeight="1">
      <c r="A252" s="18" t="s">
        <v>35</v>
      </c>
      <c r="B252" s="30">
        <v>2.0</v>
      </c>
      <c r="C252" s="31" t="s">
        <v>36</v>
      </c>
      <c r="D252" s="21"/>
      <c r="E252" s="36"/>
      <c r="F252" s="36"/>
      <c r="G252" s="36"/>
      <c r="H252" s="32"/>
      <c r="I252" s="23"/>
      <c r="J252" s="24"/>
      <c r="K252" s="25">
        <f t="shared" si="52"/>
        <v>0</v>
      </c>
    </row>
    <row r="253" ht="13.5" customHeight="1">
      <c r="A253" s="26" t="s">
        <v>37</v>
      </c>
      <c r="B253" s="33"/>
      <c r="C253" s="34"/>
      <c r="D253" s="21"/>
      <c r="E253" s="36"/>
      <c r="F253" s="36"/>
      <c r="G253" s="21"/>
      <c r="H253" s="21"/>
      <c r="I253" s="21"/>
      <c r="J253" s="21"/>
      <c r="K253" s="25">
        <f t="shared" si="52"/>
        <v>0</v>
      </c>
    </row>
    <row r="254" ht="14.25" customHeight="1">
      <c r="A254" s="18" t="s">
        <v>38</v>
      </c>
      <c r="B254" s="19" t="s">
        <v>39</v>
      </c>
      <c r="C254" s="19" t="s">
        <v>40</v>
      </c>
      <c r="D254" s="10">
        <v>460.0</v>
      </c>
      <c r="E254" s="36"/>
      <c r="F254" s="10"/>
      <c r="G254" s="10"/>
      <c r="H254" s="10">
        <v>4420.0</v>
      </c>
      <c r="I254" s="10"/>
      <c r="J254" s="10">
        <v>300.0</v>
      </c>
      <c r="K254" s="25">
        <f t="shared" si="52"/>
        <v>5180</v>
      </c>
      <c r="L254" s="47"/>
      <c r="M254" s="12"/>
    </row>
    <row r="255" ht="13.5" customHeight="1">
      <c r="A255" s="35" t="s">
        <v>41</v>
      </c>
      <c r="B255" s="27"/>
      <c r="C255" s="27"/>
      <c r="D255" s="21">
        <v>470.0</v>
      </c>
      <c r="E255" s="36"/>
      <c r="F255" s="21"/>
      <c r="G255" s="21"/>
      <c r="H255" s="21">
        <v>4650.0</v>
      </c>
      <c r="I255" s="21"/>
      <c r="J255" s="21">
        <v>310.0</v>
      </c>
      <c r="K255" s="25">
        <f t="shared" si="52"/>
        <v>5430</v>
      </c>
    </row>
    <row r="256" ht="13.5" customHeight="1">
      <c r="A256" s="40" t="s">
        <v>7</v>
      </c>
      <c r="B256" s="40"/>
      <c r="C256" s="40"/>
      <c r="D256" s="10">
        <f t="shared" ref="D256:J256" si="53">SUM(D250:D255)</f>
        <v>1760</v>
      </c>
      <c r="E256" s="10">
        <f t="shared" si="53"/>
        <v>0</v>
      </c>
      <c r="F256" s="10">
        <f t="shared" si="53"/>
        <v>0</v>
      </c>
      <c r="G256" s="10">
        <f t="shared" si="53"/>
        <v>0</v>
      </c>
      <c r="H256" s="10">
        <f t="shared" si="53"/>
        <v>11130</v>
      </c>
      <c r="I256" s="10">
        <f t="shared" si="53"/>
        <v>0</v>
      </c>
      <c r="J256" s="10">
        <f t="shared" si="53"/>
        <v>730</v>
      </c>
      <c r="K256" s="25">
        <f t="shared" si="52"/>
        <v>13620</v>
      </c>
    </row>
    <row r="257" ht="13.5" customHeight="1"/>
    <row r="258" ht="13.5" customHeight="1">
      <c r="A258" s="48" t="s">
        <v>435</v>
      </c>
    </row>
    <row r="259" ht="13.5" customHeight="1">
      <c r="A259" s="14" t="s">
        <v>25</v>
      </c>
      <c r="B259" s="14" t="s">
        <v>1</v>
      </c>
      <c r="C259" s="14" t="s">
        <v>27</v>
      </c>
      <c r="D259" s="15" t="s">
        <v>2</v>
      </c>
      <c r="E259" s="10" t="s">
        <v>325</v>
      </c>
      <c r="F259" s="16" t="s">
        <v>3</v>
      </c>
      <c r="G259" s="15" t="s">
        <v>4</v>
      </c>
      <c r="H259" s="15" t="s">
        <v>5</v>
      </c>
      <c r="I259" s="15" t="s">
        <v>29</v>
      </c>
      <c r="J259" s="14" t="s">
        <v>30</v>
      </c>
      <c r="K259" s="17" t="s">
        <v>7</v>
      </c>
    </row>
    <row r="260" ht="14.25" customHeight="1">
      <c r="A260" s="18" t="s">
        <v>31</v>
      </c>
      <c r="B260" s="19">
        <v>1.2</v>
      </c>
      <c r="C260" s="20" t="s">
        <v>33</v>
      </c>
      <c r="D260" s="21">
        <v>420.0</v>
      </c>
      <c r="E260" s="36"/>
      <c r="F260" s="36"/>
      <c r="G260" s="32"/>
      <c r="H260" s="21">
        <v>1230.0</v>
      </c>
      <c r="I260" s="23"/>
      <c r="J260" s="24">
        <v>80.0</v>
      </c>
      <c r="K260" s="25">
        <f t="shared" ref="K260:K266" si="54">D260+F260+G260+H260+I260+J260</f>
        <v>1730</v>
      </c>
    </row>
    <row r="261" ht="13.5" customHeight="1">
      <c r="A261" s="26" t="s">
        <v>34</v>
      </c>
      <c r="B261" s="27"/>
      <c r="C261" s="28"/>
      <c r="D261" s="21">
        <v>400.0</v>
      </c>
      <c r="E261" s="36"/>
      <c r="F261" s="36"/>
      <c r="G261" s="22"/>
      <c r="H261" s="21">
        <v>1260.0</v>
      </c>
      <c r="I261" s="29"/>
      <c r="J261" s="29">
        <v>80.0</v>
      </c>
      <c r="K261" s="25">
        <f t="shared" si="54"/>
        <v>1740</v>
      </c>
    </row>
    <row r="262" ht="13.5" customHeight="1">
      <c r="A262" s="18" t="s">
        <v>35</v>
      </c>
      <c r="B262" s="30">
        <v>2.0</v>
      </c>
      <c r="C262" s="31" t="s">
        <v>36</v>
      </c>
      <c r="D262" s="21"/>
      <c r="E262" s="36"/>
      <c r="F262" s="10"/>
      <c r="G262" s="36"/>
      <c r="H262" s="21"/>
      <c r="I262" s="23"/>
      <c r="J262" s="24"/>
      <c r="K262" s="25">
        <f t="shared" si="54"/>
        <v>0</v>
      </c>
    </row>
    <row r="263" ht="13.5" customHeight="1">
      <c r="A263" s="26" t="s">
        <v>37</v>
      </c>
      <c r="B263" s="33"/>
      <c r="C263" s="34"/>
      <c r="D263" s="21"/>
      <c r="E263" s="36"/>
      <c r="F263" s="36"/>
      <c r="G263" s="22"/>
      <c r="H263" s="21"/>
      <c r="I263" s="29"/>
      <c r="J263" s="29"/>
      <c r="K263" s="25">
        <f t="shared" si="54"/>
        <v>0</v>
      </c>
    </row>
    <row r="264" ht="14.25" customHeight="1">
      <c r="A264" s="18" t="s">
        <v>38</v>
      </c>
      <c r="B264" s="19" t="s">
        <v>39</v>
      </c>
      <c r="C264" s="19" t="s">
        <v>40</v>
      </c>
      <c r="D264" s="21">
        <v>480.0</v>
      </c>
      <c r="E264" s="36"/>
      <c r="F264" s="36"/>
      <c r="G264" s="32"/>
      <c r="H264" s="21">
        <v>5680.0</v>
      </c>
      <c r="I264" s="23"/>
      <c r="J264" s="24">
        <v>320.0</v>
      </c>
      <c r="K264" s="25">
        <f t="shared" si="54"/>
        <v>6480</v>
      </c>
      <c r="L264" s="47"/>
      <c r="M264" s="12"/>
    </row>
    <row r="265" ht="13.5" customHeight="1">
      <c r="A265" s="35" t="s">
        <v>41</v>
      </c>
      <c r="B265" s="27"/>
      <c r="C265" s="27"/>
      <c r="D265" s="21">
        <v>480.0</v>
      </c>
      <c r="E265" s="36"/>
      <c r="F265" s="21"/>
      <c r="G265" s="21"/>
      <c r="H265" s="21">
        <v>5640.0</v>
      </c>
      <c r="I265" s="21"/>
      <c r="J265" s="21">
        <v>320.0</v>
      </c>
      <c r="K265" s="25">
        <f t="shared" si="54"/>
        <v>6440</v>
      </c>
    </row>
    <row r="266" ht="13.5" customHeight="1">
      <c r="A266" s="40" t="s">
        <v>7</v>
      </c>
      <c r="B266" s="40"/>
      <c r="C266" s="40"/>
      <c r="D266" s="10">
        <f t="shared" ref="D266:J266" si="55">SUM(D260:D265)</f>
        <v>1780</v>
      </c>
      <c r="E266" s="10">
        <f t="shared" si="55"/>
        <v>0</v>
      </c>
      <c r="F266" s="10">
        <f t="shared" si="55"/>
        <v>0</v>
      </c>
      <c r="G266" s="10">
        <f t="shared" si="55"/>
        <v>0</v>
      </c>
      <c r="H266" s="10">
        <f t="shared" si="55"/>
        <v>13810</v>
      </c>
      <c r="I266" s="10">
        <f t="shared" si="55"/>
        <v>0</v>
      </c>
      <c r="J266" s="10">
        <f t="shared" si="55"/>
        <v>800</v>
      </c>
      <c r="K266" s="25">
        <f t="shared" si="54"/>
        <v>16390</v>
      </c>
    </row>
    <row r="267" ht="13.5" customHeight="1">
      <c r="A267" s="48"/>
    </row>
    <row r="268" ht="13.5" customHeight="1">
      <c r="A268" s="48" t="s">
        <v>436</v>
      </c>
    </row>
    <row r="269" ht="13.5" customHeight="1">
      <c r="A269" s="14" t="s">
        <v>25</v>
      </c>
      <c r="B269" s="14" t="s">
        <v>1</v>
      </c>
      <c r="C269" s="14" t="s">
        <v>27</v>
      </c>
      <c r="D269" s="15" t="s">
        <v>2</v>
      </c>
      <c r="E269" s="10" t="s">
        <v>325</v>
      </c>
      <c r="F269" s="16" t="s">
        <v>3</v>
      </c>
      <c r="G269" s="14" t="s">
        <v>4</v>
      </c>
      <c r="H269" s="15" t="s">
        <v>5</v>
      </c>
      <c r="I269" s="15" t="s">
        <v>29</v>
      </c>
      <c r="J269" s="14" t="s">
        <v>30</v>
      </c>
      <c r="K269" s="17" t="s">
        <v>7</v>
      </c>
    </row>
    <row r="270" ht="13.5" customHeight="1">
      <c r="A270" s="18" t="s">
        <v>31</v>
      </c>
      <c r="B270" s="19">
        <v>1.2</v>
      </c>
      <c r="C270" s="20" t="s">
        <v>33</v>
      </c>
      <c r="D270" s="21">
        <v>420.0</v>
      </c>
      <c r="E270" s="36"/>
      <c r="F270" s="36"/>
      <c r="G270" s="32"/>
      <c r="H270" s="21">
        <v>1090.0</v>
      </c>
      <c r="I270" s="21"/>
      <c r="J270" s="24">
        <v>70.0</v>
      </c>
      <c r="K270" s="25">
        <f t="shared" ref="K270:K276" si="56">D270+F270+G270+H270+I270+J270</f>
        <v>1580</v>
      </c>
    </row>
    <row r="271" ht="13.5" customHeight="1">
      <c r="A271" s="26" t="s">
        <v>34</v>
      </c>
      <c r="B271" s="27"/>
      <c r="C271" s="28"/>
      <c r="D271" s="21">
        <v>400.0</v>
      </c>
      <c r="E271" s="36"/>
      <c r="F271" s="36"/>
      <c r="G271" s="22"/>
      <c r="H271" s="21">
        <v>980.0</v>
      </c>
      <c r="I271" s="21"/>
      <c r="J271" s="29">
        <v>50.0</v>
      </c>
      <c r="K271" s="25">
        <f t="shared" si="56"/>
        <v>1430</v>
      </c>
    </row>
    <row r="272" ht="13.5" customHeight="1">
      <c r="A272" s="18" t="s">
        <v>35</v>
      </c>
      <c r="B272" s="30">
        <v>2.0</v>
      </c>
      <c r="C272" s="31" t="s">
        <v>36</v>
      </c>
      <c r="D272" s="21"/>
      <c r="E272" s="36"/>
      <c r="F272" s="36"/>
      <c r="G272" s="32"/>
      <c r="I272" s="21"/>
      <c r="J272" s="24"/>
      <c r="K272" s="25">
        <f t="shared" si="56"/>
        <v>0</v>
      </c>
    </row>
    <row r="273" ht="13.5" customHeight="1">
      <c r="A273" s="26" t="s">
        <v>37</v>
      </c>
      <c r="B273" s="33"/>
      <c r="C273" s="34"/>
      <c r="D273" s="21"/>
      <c r="E273" s="36"/>
      <c r="F273" s="36"/>
      <c r="G273" s="22"/>
      <c r="I273" s="21"/>
      <c r="J273" s="29"/>
      <c r="K273" s="25">
        <f t="shared" si="56"/>
        <v>0</v>
      </c>
    </row>
    <row r="274" ht="15.0" customHeight="1">
      <c r="A274" s="18" t="s">
        <v>38</v>
      </c>
      <c r="B274" s="19" t="s">
        <v>39</v>
      </c>
      <c r="C274" s="19" t="s">
        <v>40</v>
      </c>
      <c r="D274" s="21">
        <v>300.0</v>
      </c>
      <c r="E274" s="36"/>
      <c r="F274" s="41"/>
      <c r="G274" s="32"/>
      <c r="H274" s="21">
        <v>3780.0</v>
      </c>
      <c r="I274" s="21"/>
      <c r="J274" s="24">
        <v>220.0</v>
      </c>
      <c r="K274" s="25">
        <f t="shared" si="56"/>
        <v>4300</v>
      </c>
    </row>
    <row r="275" ht="13.5" customHeight="1">
      <c r="A275" s="35" t="s">
        <v>41</v>
      </c>
      <c r="B275" s="27"/>
      <c r="C275" s="27"/>
      <c r="D275" s="21">
        <v>400.0</v>
      </c>
      <c r="E275" s="36"/>
      <c r="F275" s="37"/>
      <c r="G275" s="38"/>
      <c r="H275" s="21">
        <v>4520.0</v>
      </c>
      <c r="I275" s="21"/>
      <c r="J275" s="39">
        <v>320.0</v>
      </c>
      <c r="K275" s="25">
        <f t="shared" si="56"/>
        <v>5240</v>
      </c>
    </row>
    <row r="276" ht="13.5" customHeight="1">
      <c r="A276" s="40" t="s">
        <v>7</v>
      </c>
      <c r="B276" s="40"/>
      <c r="C276" s="40"/>
      <c r="D276" s="10">
        <f t="shared" ref="D276:J276" si="57">SUM(D270:D275)</f>
        <v>1520</v>
      </c>
      <c r="E276" s="10">
        <f t="shared" si="57"/>
        <v>0</v>
      </c>
      <c r="F276" s="10">
        <f t="shared" si="57"/>
        <v>0</v>
      </c>
      <c r="G276" s="10">
        <f t="shared" si="57"/>
        <v>0</v>
      </c>
      <c r="H276" s="10">
        <f t="shared" si="57"/>
        <v>10370</v>
      </c>
      <c r="I276" s="10">
        <f t="shared" si="57"/>
        <v>0</v>
      </c>
      <c r="J276" s="10">
        <f t="shared" si="57"/>
        <v>660</v>
      </c>
      <c r="K276" s="25">
        <f t="shared" si="56"/>
        <v>12550</v>
      </c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ht="13.5" customHeight="1">
      <c r="A278" s="48" t="s">
        <v>437</v>
      </c>
    </row>
    <row r="279" ht="13.5" customHeight="1">
      <c r="A279" s="14" t="s">
        <v>25</v>
      </c>
      <c r="B279" s="14" t="s">
        <v>1</v>
      </c>
      <c r="C279" s="14" t="s">
        <v>27</v>
      </c>
      <c r="D279" s="15" t="s">
        <v>2</v>
      </c>
      <c r="E279" s="10" t="s">
        <v>325</v>
      </c>
      <c r="F279" s="16" t="s">
        <v>3</v>
      </c>
      <c r="G279" s="14" t="s">
        <v>4</v>
      </c>
      <c r="H279" s="15" t="s">
        <v>5</v>
      </c>
      <c r="I279" s="15" t="s">
        <v>29</v>
      </c>
      <c r="J279" s="14" t="s">
        <v>30</v>
      </c>
      <c r="K279" s="17" t="s">
        <v>7</v>
      </c>
    </row>
    <row r="280" ht="13.5" customHeight="1">
      <c r="A280" s="18" t="s">
        <v>31</v>
      </c>
      <c r="B280" s="19">
        <v>1.2</v>
      </c>
      <c r="C280" s="20" t="s">
        <v>33</v>
      </c>
      <c r="D280" s="21">
        <v>400.0</v>
      </c>
      <c r="E280" s="36"/>
      <c r="F280" s="36"/>
      <c r="G280" s="32"/>
      <c r="H280" s="21">
        <v>920.0</v>
      </c>
      <c r="I280" s="21"/>
      <c r="J280" s="24">
        <v>80.0</v>
      </c>
      <c r="K280" s="25">
        <f t="shared" ref="K280:K286" si="58">D280+F280+G280+H280+I280+J280</f>
        <v>1400</v>
      </c>
      <c r="L280" s="43" t="s">
        <v>395</v>
      </c>
    </row>
    <row r="281" ht="13.5" customHeight="1">
      <c r="A281" s="26" t="s">
        <v>34</v>
      </c>
      <c r="B281" s="27"/>
      <c r="C281" s="28"/>
      <c r="D281" s="21">
        <v>400.0</v>
      </c>
      <c r="E281" s="36"/>
      <c r="F281" s="36"/>
      <c r="G281" s="22"/>
      <c r="H281" s="21">
        <v>910.0</v>
      </c>
      <c r="I281" s="21"/>
      <c r="J281" s="29">
        <v>70.0</v>
      </c>
      <c r="K281" s="25">
        <f t="shared" si="58"/>
        <v>1380</v>
      </c>
    </row>
    <row r="282" ht="13.5" customHeight="1">
      <c r="A282" s="18" t="s">
        <v>35</v>
      </c>
      <c r="B282" s="30">
        <v>2.0</v>
      </c>
      <c r="C282" s="31" t="s">
        <v>36</v>
      </c>
      <c r="D282" s="21"/>
      <c r="E282" s="36"/>
      <c r="F282" s="36"/>
      <c r="G282" s="32"/>
      <c r="H282" s="21"/>
      <c r="I282" s="21"/>
      <c r="J282" s="24"/>
      <c r="K282" s="25">
        <f t="shared" si="58"/>
        <v>0</v>
      </c>
    </row>
    <row r="283" ht="13.5" customHeight="1">
      <c r="A283" s="26" t="s">
        <v>37</v>
      </c>
      <c r="B283" s="33"/>
      <c r="C283" s="34"/>
      <c r="D283" s="21"/>
      <c r="E283" s="36"/>
      <c r="F283" s="36"/>
      <c r="G283" s="22"/>
      <c r="H283" s="21"/>
      <c r="I283" s="21"/>
      <c r="J283" s="29"/>
      <c r="K283" s="25">
        <f t="shared" si="58"/>
        <v>0</v>
      </c>
    </row>
    <row r="284" ht="15.0" customHeight="1">
      <c r="A284" s="18" t="s">
        <v>38</v>
      </c>
      <c r="B284" s="19" t="s">
        <v>39</v>
      </c>
      <c r="C284" s="19" t="s">
        <v>40</v>
      </c>
      <c r="D284" s="21">
        <v>450.0</v>
      </c>
      <c r="E284" s="36"/>
      <c r="F284" s="41"/>
      <c r="G284" s="32"/>
      <c r="H284" s="21">
        <v>4560.0</v>
      </c>
      <c r="I284" s="21"/>
      <c r="J284" s="24">
        <v>330.0</v>
      </c>
      <c r="K284" s="25">
        <f t="shared" si="58"/>
        <v>5340</v>
      </c>
    </row>
    <row r="285" ht="13.5" customHeight="1">
      <c r="A285" s="35" t="s">
        <v>41</v>
      </c>
      <c r="B285" s="27"/>
      <c r="C285" s="27"/>
      <c r="D285" s="21">
        <v>460.0</v>
      </c>
      <c r="E285" s="36"/>
      <c r="F285" s="37"/>
      <c r="G285" s="38"/>
      <c r="H285" s="21">
        <v>4620.0</v>
      </c>
      <c r="I285" s="21"/>
      <c r="J285" s="39">
        <v>300.0</v>
      </c>
      <c r="K285" s="25">
        <f t="shared" si="58"/>
        <v>5380</v>
      </c>
    </row>
    <row r="286" ht="13.5" customHeight="1">
      <c r="A286" s="40" t="s">
        <v>7</v>
      </c>
      <c r="B286" s="40"/>
      <c r="C286" s="40"/>
      <c r="D286" s="10">
        <f t="shared" ref="D286:J286" si="59">SUM(D280:D285)</f>
        <v>1710</v>
      </c>
      <c r="E286" s="10">
        <f t="shared" si="59"/>
        <v>0</v>
      </c>
      <c r="F286" s="10">
        <f t="shared" si="59"/>
        <v>0</v>
      </c>
      <c r="G286" s="10">
        <f t="shared" si="59"/>
        <v>0</v>
      </c>
      <c r="H286" s="10">
        <f t="shared" si="59"/>
        <v>11010</v>
      </c>
      <c r="I286" s="10">
        <f t="shared" si="59"/>
        <v>0</v>
      </c>
      <c r="J286" s="10">
        <f t="shared" si="59"/>
        <v>780</v>
      </c>
      <c r="K286" s="25">
        <f t="shared" si="58"/>
        <v>13500</v>
      </c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ht="13.5" customHeight="1">
      <c r="A288" s="48"/>
    </row>
    <row r="289" ht="13.5" customHeight="1">
      <c r="A289" s="14" t="s">
        <v>25</v>
      </c>
      <c r="B289" s="14" t="s">
        <v>1</v>
      </c>
      <c r="C289" s="14" t="s">
        <v>27</v>
      </c>
      <c r="D289" s="15" t="s">
        <v>2</v>
      </c>
      <c r="E289" s="16" t="s">
        <v>28</v>
      </c>
      <c r="F289" s="16" t="s">
        <v>3</v>
      </c>
      <c r="G289" s="14" t="s">
        <v>4</v>
      </c>
      <c r="H289" s="15" t="s">
        <v>5</v>
      </c>
      <c r="I289" s="15" t="s">
        <v>29</v>
      </c>
      <c r="J289" s="14" t="s">
        <v>30</v>
      </c>
      <c r="K289" s="17" t="s">
        <v>7</v>
      </c>
    </row>
    <row r="290" ht="13.5" customHeight="1">
      <c r="A290" s="18" t="s">
        <v>31</v>
      </c>
      <c r="B290" s="19" t="s">
        <v>172</v>
      </c>
      <c r="C290" s="20" t="s">
        <v>33</v>
      </c>
      <c r="D290" s="21"/>
      <c r="E290" s="36"/>
      <c r="F290" s="36"/>
      <c r="G290" s="32"/>
      <c r="H290" s="21"/>
      <c r="I290" s="21"/>
      <c r="J290" s="24"/>
      <c r="K290" s="25">
        <f t="shared" ref="K290:K296" si="60">SUM(D290:J290)</f>
        <v>0</v>
      </c>
    </row>
    <row r="291" ht="13.5" customHeight="1">
      <c r="A291" s="26" t="s">
        <v>34</v>
      </c>
      <c r="B291" s="27"/>
      <c r="C291" s="28"/>
      <c r="D291" s="21"/>
      <c r="E291" s="36"/>
      <c r="F291" s="36"/>
      <c r="G291" s="22"/>
      <c r="H291" s="21"/>
      <c r="I291" s="21"/>
      <c r="J291" s="29"/>
      <c r="K291" s="25">
        <f t="shared" si="60"/>
        <v>0</v>
      </c>
    </row>
    <row r="292" ht="13.5" customHeight="1">
      <c r="A292" s="18" t="s">
        <v>35</v>
      </c>
      <c r="B292" s="30">
        <v>2.0</v>
      </c>
      <c r="C292" s="31" t="s">
        <v>36</v>
      </c>
      <c r="D292" s="21"/>
      <c r="E292" s="36"/>
      <c r="F292" s="36"/>
      <c r="G292" s="32"/>
      <c r="H292" s="21"/>
      <c r="I292" s="21"/>
      <c r="J292" s="24"/>
      <c r="K292" s="25">
        <f t="shared" si="60"/>
        <v>0</v>
      </c>
    </row>
    <row r="293" ht="13.5" customHeight="1">
      <c r="A293" s="26" t="s">
        <v>37</v>
      </c>
      <c r="B293" s="33"/>
      <c r="C293" s="34"/>
      <c r="D293" s="21"/>
      <c r="E293" s="36"/>
      <c r="F293" s="36"/>
      <c r="G293" s="22"/>
      <c r="H293" s="21"/>
      <c r="I293" s="21"/>
      <c r="J293" s="29"/>
      <c r="K293" s="25">
        <f t="shared" si="60"/>
        <v>0</v>
      </c>
    </row>
    <row r="294" ht="15.0" customHeight="1">
      <c r="A294" s="18" t="s">
        <v>38</v>
      </c>
      <c r="B294" s="19" t="s">
        <v>39</v>
      </c>
      <c r="C294" s="19" t="s">
        <v>40</v>
      </c>
      <c r="D294" s="21"/>
      <c r="E294" s="41"/>
      <c r="F294" s="41"/>
      <c r="G294" s="32"/>
      <c r="H294" s="21"/>
      <c r="I294" s="21"/>
      <c r="J294" s="24"/>
      <c r="K294" s="25">
        <f t="shared" si="60"/>
        <v>0</v>
      </c>
    </row>
    <row r="295" ht="13.5" customHeight="1">
      <c r="A295" s="35" t="s">
        <v>41</v>
      </c>
      <c r="B295" s="27"/>
      <c r="C295" s="27"/>
      <c r="D295" s="21"/>
      <c r="E295" s="36"/>
      <c r="F295" s="37"/>
      <c r="G295" s="38"/>
      <c r="H295" s="21"/>
      <c r="I295" s="21"/>
      <c r="J295" s="39"/>
      <c r="K295" s="25">
        <f t="shared" si="60"/>
        <v>0</v>
      </c>
    </row>
    <row r="296" ht="13.5" customHeight="1">
      <c r="A296" s="40" t="s">
        <v>7</v>
      </c>
      <c r="B296" s="40"/>
      <c r="C296" s="40"/>
      <c r="D296" s="10">
        <f t="shared" ref="D296:J296" si="61">SUM(D290:D295)</f>
        <v>0</v>
      </c>
      <c r="E296" s="10">
        <f t="shared" si="61"/>
        <v>0</v>
      </c>
      <c r="F296" s="10">
        <f t="shared" si="61"/>
        <v>0</v>
      </c>
      <c r="G296" s="10">
        <f t="shared" si="61"/>
        <v>0</v>
      </c>
      <c r="H296" s="10">
        <f t="shared" si="61"/>
        <v>0</v>
      </c>
      <c r="I296" s="10">
        <f t="shared" si="61"/>
        <v>0</v>
      </c>
      <c r="J296" s="10">
        <f t="shared" si="61"/>
        <v>0</v>
      </c>
      <c r="K296" s="25">
        <f t="shared" si="60"/>
        <v>0</v>
      </c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ht="13.5" customHeight="1">
      <c r="A299" s="64" t="s">
        <v>438</v>
      </c>
      <c r="B299" s="65"/>
      <c r="C299" s="65"/>
      <c r="D299" s="5"/>
      <c r="E299" s="10"/>
      <c r="F299" s="10"/>
      <c r="G299" s="10"/>
      <c r="H299" s="10"/>
      <c r="I299" s="10"/>
      <c r="J299" s="10"/>
      <c r="K299" s="10"/>
    </row>
    <row r="300" ht="13.5" customHeight="1">
      <c r="A300" s="15" t="s">
        <v>25</v>
      </c>
      <c r="B300" s="15" t="s">
        <v>1</v>
      </c>
      <c r="C300" s="15" t="s">
        <v>27</v>
      </c>
      <c r="D300" s="15" t="s">
        <v>2</v>
      </c>
      <c r="E300" s="10" t="s">
        <v>28</v>
      </c>
      <c r="F300" s="16" t="s">
        <v>3</v>
      </c>
      <c r="G300" s="15" t="s">
        <v>4</v>
      </c>
      <c r="H300" s="15" t="s">
        <v>5</v>
      </c>
      <c r="I300" s="15" t="s">
        <v>29</v>
      </c>
      <c r="J300" s="15" t="s">
        <v>30</v>
      </c>
      <c r="K300" s="10" t="s">
        <v>7</v>
      </c>
    </row>
    <row r="301" ht="13.5" customHeight="1">
      <c r="A301" s="10" t="s">
        <v>31</v>
      </c>
      <c r="B301" s="19">
        <v>1.2</v>
      </c>
      <c r="C301" s="10" t="s">
        <v>33</v>
      </c>
      <c r="D301" s="21">
        <f t="shared" ref="D301:J301" si="62">D4+D14+D23+D32+D41+D50+D60+D70+D80+D90+D99+D109+D118+D127+D136+D145+D154+D163+D172+D181+D190+D200+D210+D220+D230+D240+D250+D260+D270+D280+D290</f>
        <v>10250</v>
      </c>
      <c r="E301" s="21">
        <f t="shared" si="62"/>
        <v>0</v>
      </c>
      <c r="F301" s="21">
        <f t="shared" si="62"/>
        <v>7140</v>
      </c>
      <c r="G301" s="21">
        <f t="shared" si="62"/>
        <v>0</v>
      </c>
      <c r="H301" s="21">
        <f t="shared" si="62"/>
        <v>24270</v>
      </c>
      <c r="I301" s="21">
        <f t="shared" si="62"/>
        <v>0</v>
      </c>
      <c r="J301" s="21">
        <f t="shared" si="62"/>
        <v>1840</v>
      </c>
      <c r="K301" s="10">
        <f t="shared" ref="K301:K306" si="64">SUM(D301:J301)</f>
        <v>43500</v>
      </c>
    </row>
    <row r="302" ht="13.5" customHeight="1">
      <c r="A302" s="10" t="s">
        <v>34</v>
      </c>
      <c r="B302" s="27"/>
      <c r="C302" s="10"/>
      <c r="D302" s="21">
        <f t="shared" ref="D302:J302" si="63">D5+D15+D24+D33+D42+D51+D61+D71+D81+D91+D100+D110+D119+D128+D137+D146+D155+D164+D173+D182+D191+D201+D211+D221+D231+D241+D251+D261+D271+D281+D291</f>
        <v>9080</v>
      </c>
      <c r="E302" s="21">
        <f t="shared" si="63"/>
        <v>0</v>
      </c>
      <c r="F302" s="21">
        <f t="shared" si="63"/>
        <v>6310</v>
      </c>
      <c r="G302" s="21">
        <f t="shared" si="63"/>
        <v>0</v>
      </c>
      <c r="H302" s="21">
        <f t="shared" si="63"/>
        <v>27150</v>
      </c>
      <c r="I302" s="21">
        <f t="shared" si="63"/>
        <v>0</v>
      </c>
      <c r="J302" s="21">
        <f t="shared" si="63"/>
        <v>1820</v>
      </c>
      <c r="K302" s="10">
        <f t="shared" si="64"/>
        <v>44360</v>
      </c>
    </row>
    <row r="303" ht="13.5" customHeight="1">
      <c r="A303" s="10" t="s">
        <v>35</v>
      </c>
      <c r="B303" s="67">
        <v>2.0</v>
      </c>
      <c r="C303" s="15" t="s">
        <v>36</v>
      </c>
      <c r="D303" s="21">
        <f t="shared" ref="D303:J303" si="65">D6+D16+D25+D34+D43+D52+D62+D72+D82+D92+D101+D111+D120+D129+D138+D147+D156+D165+D174+D183+D192+D202+D212+D222+D232+D242+D252+D262+D272+D282+D292</f>
        <v>2120</v>
      </c>
      <c r="E303" s="21">
        <f t="shared" si="65"/>
        <v>0</v>
      </c>
      <c r="F303" s="21">
        <f t="shared" si="65"/>
        <v>960</v>
      </c>
      <c r="G303" s="21">
        <f t="shared" si="65"/>
        <v>0</v>
      </c>
      <c r="H303" s="21">
        <f t="shared" si="65"/>
        <v>7210</v>
      </c>
      <c r="I303" s="21">
        <f t="shared" si="65"/>
        <v>0</v>
      </c>
      <c r="J303" s="21">
        <f t="shared" si="65"/>
        <v>1010</v>
      </c>
      <c r="K303" s="10">
        <f t="shared" si="64"/>
        <v>11300</v>
      </c>
    </row>
    <row r="304" ht="13.5" customHeight="1">
      <c r="A304" s="10" t="s">
        <v>37</v>
      </c>
      <c r="B304" s="67"/>
      <c r="C304" s="15"/>
      <c r="D304" s="21">
        <f t="shared" ref="D304:J304" si="66">D7+D17+D26+D35+D44+D53+D63+D73+D83+D93+D102+D112+D121+D130+D139+D148+D157+D166+D175+D184+D193+D203+D213+D223+D233+D243+D253+D263+D273+D283+D293</f>
        <v>2100</v>
      </c>
      <c r="E304" s="21">
        <f t="shared" si="66"/>
        <v>0</v>
      </c>
      <c r="F304" s="21">
        <f t="shared" si="66"/>
        <v>800</v>
      </c>
      <c r="G304" s="21">
        <f t="shared" si="66"/>
        <v>0</v>
      </c>
      <c r="H304" s="21">
        <f t="shared" si="66"/>
        <v>6640</v>
      </c>
      <c r="I304" s="21">
        <f t="shared" si="66"/>
        <v>0</v>
      </c>
      <c r="J304" s="21">
        <f t="shared" si="66"/>
        <v>790</v>
      </c>
      <c r="K304" s="10">
        <f t="shared" si="64"/>
        <v>10330</v>
      </c>
    </row>
    <row r="305" ht="15.0" customHeight="1">
      <c r="A305" s="10" t="s">
        <v>38</v>
      </c>
      <c r="B305" s="66" t="s">
        <v>39</v>
      </c>
      <c r="C305" s="66" t="s">
        <v>40</v>
      </c>
      <c r="D305" s="21">
        <f t="shared" ref="D305:J305" si="67">D8+D18+D27+D36+D45+D54+D64+D74+D84+D94+D103+D113+D122+D131+D140+D149+D158+D167+D176+D185+D194+D204+D214+D224+D234+D244+D254+D264+D274+D284+D294</f>
        <v>12630</v>
      </c>
      <c r="E305" s="21">
        <f t="shared" si="67"/>
        <v>0</v>
      </c>
      <c r="F305" s="21">
        <f t="shared" si="67"/>
        <v>8990</v>
      </c>
      <c r="G305" s="21">
        <f t="shared" si="67"/>
        <v>0</v>
      </c>
      <c r="H305" s="21">
        <f t="shared" si="67"/>
        <v>137912</v>
      </c>
      <c r="I305" s="21">
        <f t="shared" si="67"/>
        <v>0</v>
      </c>
      <c r="J305" s="21">
        <f t="shared" si="67"/>
        <v>8930</v>
      </c>
      <c r="K305" s="10">
        <f t="shared" si="64"/>
        <v>168462</v>
      </c>
    </row>
    <row r="306" ht="13.5" customHeight="1">
      <c r="A306" s="10" t="s">
        <v>41</v>
      </c>
      <c r="B306" s="7"/>
      <c r="C306" s="7"/>
      <c r="D306" s="21">
        <f t="shared" ref="D306:J306" si="68">D9+D19+D28+D37+D46+D55+D65+D75+D85+D95+D104+D114+D123+D132+D141+D150+D159+D168+D177+D186+D195+D205+D215+D225+D235+D245+D255+D265+D275+D285+D295</f>
        <v>12700</v>
      </c>
      <c r="E306" s="21">
        <f t="shared" si="68"/>
        <v>0</v>
      </c>
      <c r="F306" s="21">
        <f t="shared" si="68"/>
        <v>7310</v>
      </c>
      <c r="G306" s="21">
        <f t="shared" si="68"/>
        <v>0</v>
      </c>
      <c r="H306" s="21">
        <f t="shared" si="68"/>
        <v>125930</v>
      </c>
      <c r="I306" s="21">
        <f t="shared" si="68"/>
        <v>0</v>
      </c>
      <c r="J306" s="21">
        <f t="shared" si="68"/>
        <v>8490</v>
      </c>
      <c r="K306" s="10">
        <f t="shared" si="64"/>
        <v>154430</v>
      </c>
    </row>
    <row r="307" ht="13.5" customHeight="1">
      <c r="A307" s="10" t="s">
        <v>7</v>
      </c>
      <c r="B307" s="10"/>
      <c r="C307" s="10"/>
      <c r="D307" s="21">
        <f t="shared" ref="D307:K307" si="69">SUM(D301:D306)</f>
        <v>48880</v>
      </c>
      <c r="E307" s="21">
        <f t="shared" si="69"/>
        <v>0</v>
      </c>
      <c r="F307" s="21">
        <f t="shared" si="69"/>
        <v>31510</v>
      </c>
      <c r="G307" s="21">
        <f t="shared" si="69"/>
        <v>0</v>
      </c>
      <c r="H307" s="21">
        <f t="shared" si="69"/>
        <v>329112</v>
      </c>
      <c r="I307" s="21">
        <f t="shared" si="69"/>
        <v>0</v>
      </c>
      <c r="J307" s="21">
        <f t="shared" si="69"/>
        <v>22880</v>
      </c>
      <c r="K307" s="10">
        <f t="shared" si="69"/>
        <v>432382</v>
      </c>
    </row>
    <row r="308" ht="13.5" customHeight="1">
      <c r="A308" s="10"/>
      <c r="B308" s="10"/>
      <c r="C308" s="10"/>
      <c r="D308" s="15" t="s">
        <v>2</v>
      </c>
      <c r="E308" s="10" t="s">
        <v>28</v>
      </c>
      <c r="F308" s="16" t="s">
        <v>3</v>
      </c>
      <c r="G308" s="15" t="s">
        <v>4</v>
      </c>
      <c r="H308" s="15" t="s">
        <v>5</v>
      </c>
      <c r="I308" s="15" t="s">
        <v>29</v>
      </c>
      <c r="J308" s="15" t="s">
        <v>30</v>
      </c>
      <c r="K308" s="10" t="s">
        <v>7</v>
      </c>
    </row>
    <row r="309" ht="13.5" customHeight="1">
      <c r="A309" s="10"/>
      <c r="B309" s="66" t="s">
        <v>439</v>
      </c>
      <c r="C309" s="10" t="s">
        <v>33</v>
      </c>
      <c r="D309" s="10">
        <f t="shared" ref="D309:K309" si="70">D301+D302</f>
        <v>19330</v>
      </c>
      <c r="E309" s="10">
        <f t="shared" si="70"/>
        <v>0</v>
      </c>
      <c r="F309" s="10">
        <f t="shared" si="70"/>
        <v>13450</v>
      </c>
      <c r="G309" s="10">
        <f t="shared" si="70"/>
        <v>0</v>
      </c>
      <c r="H309" s="10">
        <f t="shared" si="70"/>
        <v>51420</v>
      </c>
      <c r="I309" s="10">
        <f t="shared" si="70"/>
        <v>0</v>
      </c>
      <c r="J309" s="10">
        <f t="shared" si="70"/>
        <v>3660</v>
      </c>
      <c r="K309" s="10">
        <f t="shared" si="70"/>
        <v>87860</v>
      </c>
      <c r="L309" s="68"/>
    </row>
    <row r="310" ht="13.5" customHeight="1">
      <c r="A310" s="10" t="s">
        <v>7</v>
      </c>
      <c r="B310" s="7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3.5" customHeight="1">
      <c r="A311" s="10"/>
      <c r="B311" s="67">
        <v>2.0</v>
      </c>
      <c r="C311" s="15" t="s">
        <v>36</v>
      </c>
      <c r="D311" s="10">
        <f t="shared" ref="D311:J311" si="71">D303+D304</f>
        <v>4220</v>
      </c>
      <c r="E311" s="10">
        <f t="shared" si="71"/>
        <v>0</v>
      </c>
      <c r="F311" s="10">
        <f t="shared" si="71"/>
        <v>1760</v>
      </c>
      <c r="G311" s="10">
        <f t="shared" si="71"/>
        <v>0</v>
      </c>
      <c r="H311" s="10">
        <f t="shared" si="71"/>
        <v>13850</v>
      </c>
      <c r="I311" s="10">
        <f t="shared" si="71"/>
        <v>0</v>
      </c>
      <c r="J311" s="10">
        <f t="shared" si="71"/>
        <v>1800</v>
      </c>
      <c r="K311" s="10">
        <f>SUM(D311:J311)</f>
        <v>21630</v>
      </c>
    </row>
    <row r="312" ht="13.5" customHeight="1">
      <c r="A312" s="10"/>
      <c r="B312" s="67"/>
      <c r="C312" s="15"/>
      <c r="D312" s="10"/>
      <c r="E312" s="10"/>
      <c r="F312" s="10"/>
      <c r="G312" s="10"/>
      <c r="H312" s="10"/>
      <c r="I312" s="10"/>
      <c r="J312" s="10"/>
      <c r="K312" s="10"/>
    </row>
    <row r="313" ht="14.25" customHeight="1">
      <c r="A313" s="10"/>
      <c r="B313" s="66" t="s">
        <v>39</v>
      </c>
      <c r="C313" s="66" t="s">
        <v>40</v>
      </c>
      <c r="D313" s="10">
        <f t="shared" ref="D313:J313" si="72">D305+D306</f>
        <v>25330</v>
      </c>
      <c r="E313" s="10">
        <f t="shared" si="72"/>
        <v>0</v>
      </c>
      <c r="F313" s="10">
        <f t="shared" si="72"/>
        <v>16300</v>
      </c>
      <c r="G313" s="10">
        <f t="shared" si="72"/>
        <v>0</v>
      </c>
      <c r="H313" s="10">
        <f t="shared" si="72"/>
        <v>263842</v>
      </c>
      <c r="I313" s="10">
        <f t="shared" si="72"/>
        <v>0</v>
      </c>
      <c r="J313" s="10">
        <f t="shared" si="72"/>
        <v>17420</v>
      </c>
      <c r="K313" s="10">
        <f>SUM(D313:J313)</f>
        <v>322892</v>
      </c>
    </row>
    <row r="314" ht="13.5" customHeight="1">
      <c r="A314" s="10"/>
      <c r="B314" s="7"/>
      <c r="C314" s="7"/>
      <c r="D314" s="10"/>
      <c r="E314" s="10"/>
      <c r="F314" s="10"/>
      <c r="G314" s="10"/>
      <c r="H314" s="10"/>
      <c r="I314" s="10"/>
      <c r="J314" s="10"/>
      <c r="K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>
        <f>SUM(K309:K314)</f>
        <v>432382</v>
      </c>
    </row>
    <row r="316" ht="13.5" customHeight="1"/>
    <row r="317" ht="13.5" customHeight="1">
      <c r="D317" s="69"/>
    </row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1">
    <mergeCell ref="B103:B104"/>
    <mergeCell ref="C103:C104"/>
    <mergeCell ref="A107:D107"/>
    <mergeCell ref="B109:B110"/>
    <mergeCell ref="B113:B114"/>
    <mergeCell ref="C113:C114"/>
    <mergeCell ref="A116:D116"/>
    <mergeCell ref="B118:B119"/>
    <mergeCell ref="B122:B123"/>
    <mergeCell ref="C122:C123"/>
    <mergeCell ref="A125:D125"/>
    <mergeCell ref="B127:B128"/>
    <mergeCell ref="C131:C132"/>
    <mergeCell ref="A134:D134"/>
    <mergeCell ref="B131:B132"/>
    <mergeCell ref="B136:B137"/>
    <mergeCell ref="B140:B141"/>
    <mergeCell ref="C140:C141"/>
    <mergeCell ref="A143:D143"/>
    <mergeCell ref="B145:B146"/>
    <mergeCell ref="B149:B150"/>
    <mergeCell ref="C149:C150"/>
    <mergeCell ref="A152:D152"/>
    <mergeCell ref="B154:B155"/>
    <mergeCell ref="B158:B159"/>
    <mergeCell ref="C158:C159"/>
    <mergeCell ref="A161:D161"/>
    <mergeCell ref="B163:B164"/>
    <mergeCell ref="B167:B168"/>
    <mergeCell ref="C167:C168"/>
    <mergeCell ref="A170:D170"/>
    <mergeCell ref="B172:B173"/>
    <mergeCell ref="B176:B177"/>
    <mergeCell ref="C176:C177"/>
    <mergeCell ref="A179:D179"/>
    <mergeCell ref="B185:B186"/>
    <mergeCell ref="C185:C186"/>
    <mergeCell ref="A188:D188"/>
    <mergeCell ref="B190:B191"/>
    <mergeCell ref="B194:B195"/>
    <mergeCell ref="C194:C195"/>
    <mergeCell ref="A198:D198"/>
    <mergeCell ref="B200:B201"/>
    <mergeCell ref="B204:B205"/>
    <mergeCell ref="C204:C205"/>
    <mergeCell ref="A208:D208"/>
    <mergeCell ref="B210:B211"/>
    <mergeCell ref="C214:C215"/>
    <mergeCell ref="A218:D218"/>
    <mergeCell ref="B214:B215"/>
    <mergeCell ref="B220:B221"/>
    <mergeCell ref="B224:B225"/>
    <mergeCell ref="C224:C225"/>
    <mergeCell ref="A228:D228"/>
    <mergeCell ref="B230:B231"/>
    <mergeCell ref="B234:B235"/>
    <mergeCell ref="B254:B255"/>
    <mergeCell ref="C254:C255"/>
    <mergeCell ref="A258:D258"/>
    <mergeCell ref="B260:B261"/>
    <mergeCell ref="C264:C265"/>
    <mergeCell ref="A267:D267"/>
    <mergeCell ref="A268:D268"/>
    <mergeCell ref="B264:B265"/>
    <mergeCell ref="B270:B271"/>
    <mergeCell ref="B274:B275"/>
    <mergeCell ref="C274:C275"/>
    <mergeCell ref="A278:D278"/>
    <mergeCell ref="B280:B281"/>
    <mergeCell ref="B284:B285"/>
    <mergeCell ref="B305:B306"/>
    <mergeCell ref="C305:C306"/>
    <mergeCell ref="B309:B310"/>
    <mergeCell ref="B313:B314"/>
    <mergeCell ref="C313:C314"/>
    <mergeCell ref="C284:C285"/>
    <mergeCell ref="A288:D288"/>
    <mergeCell ref="B290:B291"/>
    <mergeCell ref="B294:B295"/>
    <mergeCell ref="C294:C295"/>
    <mergeCell ref="A299:D299"/>
    <mergeCell ref="B301:B302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8:D88"/>
    <mergeCell ref="B90:B91"/>
    <mergeCell ref="B94:B95"/>
    <mergeCell ref="C94:C95"/>
    <mergeCell ref="A97:D97"/>
    <mergeCell ref="B99:B100"/>
    <mergeCell ref="C234:C235"/>
    <mergeCell ref="A238:D238"/>
    <mergeCell ref="B240:B241"/>
    <mergeCell ref="B244:B245"/>
    <mergeCell ref="C244:C245"/>
    <mergeCell ref="A248:D248"/>
    <mergeCell ref="B250:B251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437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333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>
        <v>1.2</v>
      </c>
      <c r="C4" s="20" t="s">
        <v>33</v>
      </c>
      <c r="D4" s="21">
        <v>400.0</v>
      </c>
      <c r="E4" s="10"/>
      <c r="F4" s="10"/>
      <c r="G4" s="22"/>
      <c r="H4" s="21">
        <v>980.0</v>
      </c>
      <c r="I4" s="23"/>
      <c r="J4" s="24">
        <v>60.0</v>
      </c>
      <c r="K4" s="25">
        <f t="shared" ref="K4:K10" si="1">SUM(D4:J4)</f>
        <v>1440</v>
      </c>
    </row>
    <row r="5" ht="15.0" customHeight="1">
      <c r="A5" s="26" t="s">
        <v>34</v>
      </c>
      <c r="B5" s="27"/>
      <c r="C5" s="28"/>
      <c r="D5" s="21">
        <v>400.0</v>
      </c>
      <c r="E5" s="10"/>
      <c r="F5" s="10">
        <v>440.0</v>
      </c>
      <c r="G5" s="22"/>
      <c r="H5" s="21">
        <v>1100.0</v>
      </c>
      <c r="I5" s="29"/>
      <c r="J5" s="29">
        <v>60.0</v>
      </c>
      <c r="K5" s="25">
        <f t="shared" si="1"/>
        <v>2000</v>
      </c>
    </row>
    <row r="6" ht="13.5" customHeight="1">
      <c r="A6" s="18" t="s">
        <v>35</v>
      </c>
      <c r="B6" s="30">
        <v>2.0</v>
      </c>
      <c r="C6" s="31" t="s">
        <v>36</v>
      </c>
      <c r="D6" s="21"/>
      <c r="E6" s="10"/>
      <c r="F6" s="10"/>
      <c r="G6" s="32"/>
      <c r="H6" s="21"/>
      <c r="I6" s="22"/>
      <c r="J6" s="22"/>
      <c r="K6" s="25">
        <f t="shared" si="1"/>
        <v>0</v>
      </c>
    </row>
    <row r="7" ht="13.5" customHeight="1">
      <c r="A7" s="26" t="s">
        <v>37</v>
      </c>
      <c r="B7" s="33"/>
      <c r="C7" s="34"/>
      <c r="D7" s="21"/>
      <c r="E7" s="10"/>
      <c r="F7" s="10"/>
      <c r="G7" s="32"/>
      <c r="H7" s="21"/>
      <c r="I7" s="22"/>
      <c r="J7" s="22"/>
      <c r="K7" s="25">
        <f t="shared" si="1"/>
        <v>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450.0</v>
      </c>
      <c r="E8" s="10"/>
      <c r="F8" s="10"/>
      <c r="G8" s="22"/>
      <c r="H8" s="21">
        <v>4660.0</v>
      </c>
      <c r="I8" s="29"/>
      <c r="J8" s="29">
        <v>320.0</v>
      </c>
      <c r="K8" s="25">
        <f t="shared" si="1"/>
        <v>5430</v>
      </c>
    </row>
    <row r="9" ht="15.0" customHeight="1">
      <c r="A9" s="35" t="s">
        <v>41</v>
      </c>
      <c r="B9" s="27"/>
      <c r="C9" s="27"/>
      <c r="D9" s="21">
        <v>450.0</v>
      </c>
      <c r="E9" s="36"/>
      <c r="F9" s="37">
        <v>750.0</v>
      </c>
      <c r="G9" s="38"/>
      <c r="H9" s="21">
        <v>4850.0</v>
      </c>
      <c r="I9" s="29"/>
      <c r="J9" s="39">
        <v>330.0</v>
      </c>
      <c r="K9" s="25">
        <f t="shared" si="1"/>
        <v>6380</v>
      </c>
    </row>
    <row r="10" ht="13.5" customHeight="1">
      <c r="A10" s="40" t="s">
        <v>7</v>
      </c>
      <c r="B10" s="40"/>
      <c r="C10" s="40"/>
      <c r="D10" s="10">
        <f t="shared" ref="D10:J10" si="2">SUM(D4:D9)</f>
        <v>1700</v>
      </c>
      <c r="E10" s="10">
        <f t="shared" si="2"/>
        <v>0</v>
      </c>
      <c r="F10" s="10">
        <f t="shared" si="2"/>
        <v>1190</v>
      </c>
      <c r="G10" s="10">
        <f t="shared" si="2"/>
        <v>0</v>
      </c>
      <c r="H10" s="10">
        <f t="shared" si="2"/>
        <v>11590</v>
      </c>
      <c r="I10" s="10">
        <f t="shared" si="2"/>
        <v>0</v>
      </c>
      <c r="J10" s="10">
        <f t="shared" si="2"/>
        <v>770</v>
      </c>
      <c r="K10" s="25">
        <f t="shared" si="1"/>
        <v>15250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440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>
        <v>1.2</v>
      </c>
      <c r="C14" s="20" t="s">
        <v>33</v>
      </c>
      <c r="D14" s="21">
        <v>420.0</v>
      </c>
      <c r="E14" s="10"/>
      <c r="F14" s="36">
        <v>470.0</v>
      </c>
      <c r="G14" s="32"/>
      <c r="H14" s="21">
        <v>1240.0</v>
      </c>
      <c r="I14" s="23"/>
      <c r="J14" s="24">
        <v>70.0</v>
      </c>
      <c r="K14" s="25">
        <f t="shared" ref="K14:K20" si="3">SUM(D14:J14)</f>
        <v>2200</v>
      </c>
    </row>
    <row r="15" ht="13.5" customHeight="1">
      <c r="A15" s="26" t="s">
        <v>34</v>
      </c>
      <c r="B15" s="27"/>
      <c r="C15" s="28"/>
      <c r="D15" s="21">
        <v>400.0</v>
      </c>
      <c r="E15" s="10"/>
      <c r="F15" s="36">
        <v>400.0</v>
      </c>
      <c r="G15" s="22"/>
      <c r="H15" s="21">
        <v>680.0</v>
      </c>
      <c r="I15" s="29"/>
      <c r="J15" s="29">
        <v>60.0</v>
      </c>
      <c r="K15" s="25">
        <f t="shared" si="3"/>
        <v>1540</v>
      </c>
    </row>
    <row r="16" ht="13.5" customHeight="1">
      <c r="A16" s="18" t="s">
        <v>35</v>
      </c>
      <c r="B16" s="30">
        <v>2.0</v>
      </c>
      <c r="C16" s="31" t="s">
        <v>36</v>
      </c>
      <c r="D16" s="21"/>
      <c r="E16" s="10"/>
      <c r="F16" s="36"/>
      <c r="G16" s="32"/>
      <c r="H16" s="21"/>
      <c r="I16" s="23"/>
      <c r="J16" s="24"/>
      <c r="K16" s="25">
        <f t="shared" si="3"/>
        <v>0</v>
      </c>
    </row>
    <row r="17" ht="13.5" customHeight="1">
      <c r="A17" s="26" t="s">
        <v>37</v>
      </c>
      <c r="B17" s="33"/>
      <c r="C17" s="34"/>
      <c r="D17" s="21"/>
      <c r="E17" s="10"/>
      <c r="F17" s="37"/>
      <c r="G17" s="22"/>
      <c r="H17" s="21"/>
      <c r="I17" s="29"/>
      <c r="J17" s="29"/>
      <c r="K17" s="25">
        <f t="shared" si="3"/>
        <v>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450.0</v>
      </c>
      <c r="E18" s="10"/>
      <c r="F18" s="36">
        <v>750.0</v>
      </c>
      <c r="G18" s="22"/>
      <c r="H18" s="21">
        <v>4820.0</v>
      </c>
      <c r="I18" s="29"/>
      <c r="J18" s="29">
        <v>300.0</v>
      </c>
      <c r="K18" s="25">
        <f t="shared" si="3"/>
        <v>6320</v>
      </c>
    </row>
    <row r="19" ht="13.5" customHeight="1">
      <c r="A19" s="35" t="s">
        <v>41</v>
      </c>
      <c r="B19" s="27"/>
      <c r="C19" s="27"/>
      <c r="D19" s="21">
        <v>450.0</v>
      </c>
      <c r="E19" s="36"/>
      <c r="F19" s="37">
        <v>760.0</v>
      </c>
      <c r="G19" s="38"/>
      <c r="H19" s="21">
        <v>4890.0</v>
      </c>
      <c r="I19" s="29"/>
      <c r="J19" s="39">
        <v>330.0</v>
      </c>
      <c r="K19" s="25">
        <f t="shared" si="3"/>
        <v>6430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1720</v>
      </c>
      <c r="E20" s="10">
        <f t="shared" si="4"/>
        <v>0</v>
      </c>
      <c r="F20" s="10">
        <f t="shared" si="4"/>
        <v>2380</v>
      </c>
      <c r="G20" s="10">
        <f t="shared" si="4"/>
        <v>0</v>
      </c>
      <c r="H20" s="10">
        <f t="shared" si="4"/>
        <v>11630</v>
      </c>
      <c r="I20" s="10">
        <f t="shared" si="4"/>
        <v>0</v>
      </c>
      <c r="J20" s="10">
        <f t="shared" si="4"/>
        <v>760</v>
      </c>
      <c r="K20" s="25">
        <f t="shared" si="3"/>
        <v>16490</v>
      </c>
    </row>
    <row r="21" ht="13.5" customHeight="1">
      <c r="A21" s="13" t="s">
        <v>441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5" t="s">
        <v>29</v>
      </c>
      <c r="J22" s="15" t="s">
        <v>30</v>
      </c>
      <c r="K22" s="17" t="s">
        <v>7</v>
      </c>
    </row>
    <row r="23" ht="14.25" customHeight="1">
      <c r="A23" s="18" t="s">
        <v>31</v>
      </c>
      <c r="B23" s="19">
        <v>1.2</v>
      </c>
      <c r="C23" s="20" t="s">
        <v>33</v>
      </c>
      <c r="D23" s="21">
        <v>410.0</v>
      </c>
      <c r="E23" s="10"/>
      <c r="F23" s="36">
        <v>410.0</v>
      </c>
      <c r="G23" s="32"/>
      <c r="H23" s="21">
        <v>1520.0</v>
      </c>
      <c r="I23" s="21"/>
      <c r="J23" s="21"/>
      <c r="K23" s="25">
        <f t="shared" ref="K23:K29" si="5">SUM(D23:J23)</f>
        <v>2340</v>
      </c>
    </row>
    <row r="24" ht="13.5" customHeight="1">
      <c r="A24" s="26" t="s">
        <v>34</v>
      </c>
      <c r="B24" s="27"/>
      <c r="C24" s="28"/>
      <c r="D24" s="21">
        <v>420.0</v>
      </c>
      <c r="E24" s="36"/>
      <c r="F24" s="36">
        <v>410.0</v>
      </c>
      <c r="G24" s="21"/>
      <c r="H24" s="21">
        <v>1010.0</v>
      </c>
      <c r="I24" s="21"/>
      <c r="J24" s="21"/>
      <c r="K24" s="25">
        <f t="shared" si="5"/>
        <v>1840</v>
      </c>
    </row>
    <row r="25" ht="13.5" customHeight="1">
      <c r="A25" s="18" t="s">
        <v>35</v>
      </c>
      <c r="B25" s="30">
        <v>2.0</v>
      </c>
      <c r="C25" s="31" t="s">
        <v>36</v>
      </c>
      <c r="D25" s="21"/>
      <c r="E25" s="10"/>
      <c r="F25" s="36"/>
      <c r="G25" s="21"/>
      <c r="H25" s="21"/>
      <c r="I25" s="21"/>
      <c r="J25" s="21"/>
      <c r="K25" s="25">
        <f t="shared" si="5"/>
        <v>0</v>
      </c>
    </row>
    <row r="26" ht="13.5" customHeight="1">
      <c r="A26" s="26" t="s">
        <v>37</v>
      </c>
      <c r="B26" s="33"/>
      <c r="C26" s="34"/>
      <c r="D26" s="21"/>
      <c r="E26" s="10"/>
      <c r="F26" s="36"/>
      <c r="G26" s="21"/>
      <c r="H26" s="21"/>
      <c r="I26" s="21"/>
      <c r="J26" s="21"/>
      <c r="K26" s="25">
        <f t="shared" si="5"/>
        <v>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460.0</v>
      </c>
      <c r="E27" s="10"/>
      <c r="F27" s="36">
        <v>760.0</v>
      </c>
      <c r="G27" s="21"/>
      <c r="H27" s="44">
        <v>5250.0</v>
      </c>
      <c r="I27" s="44"/>
      <c r="J27" s="23"/>
      <c r="K27" s="25">
        <f t="shared" si="5"/>
        <v>6470</v>
      </c>
    </row>
    <row r="28" ht="13.5" customHeight="1">
      <c r="A28" s="35" t="s">
        <v>41</v>
      </c>
      <c r="B28" s="27"/>
      <c r="C28" s="27"/>
      <c r="D28" s="21">
        <v>460.0</v>
      </c>
      <c r="E28" s="10"/>
      <c r="F28" s="36">
        <v>750.0</v>
      </c>
      <c r="G28" s="21"/>
      <c r="H28" s="21">
        <v>5200.0</v>
      </c>
      <c r="I28" s="21"/>
      <c r="J28" s="29"/>
      <c r="K28" s="25">
        <f t="shared" si="5"/>
        <v>6410</v>
      </c>
    </row>
    <row r="29" ht="13.5" customHeight="1">
      <c r="A29" s="40" t="s">
        <v>7</v>
      </c>
      <c r="B29" s="40"/>
      <c r="C29" s="40">
        <v>547.0</v>
      </c>
      <c r="D29" s="10"/>
      <c r="E29" s="10"/>
      <c r="F29" s="10"/>
      <c r="G29" s="10"/>
      <c r="H29" s="10"/>
      <c r="I29" s="10"/>
      <c r="J29" s="10"/>
      <c r="K29" s="25">
        <f t="shared" si="5"/>
        <v>0</v>
      </c>
    </row>
    <row r="30" ht="13.5" customHeight="1">
      <c r="A30" s="13" t="s">
        <v>442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 t="s">
        <v>443</v>
      </c>
      <c r="C32" s="20" t="s">
        <v>33</v>
      </c>
      <c r="D32" s="21">
        <v>400.0</v>
      </c>
      <c r="E32" s="10"/>
      <c r="F32" s="36">
        <v>400.0</v>
      </c>
      <c r="G32" s="32"/>
      <c r="H32" s="21">
        <v>1440.0</v>
      </c>
      <c r="I32" s="23"/>
      <c r="J32" s="24">
        <v>80.0</v>
      </c>
      <c r="K32" s="25">
        <f t="shared" ref="K32:K37" si="6">SUM(D32:J32)</f>
        <v>2320</v>
      </c>
    </row>
    <row r="33" ht="13.5" customHeight="1">
      <c r="A33" s="26" t="s">
        <v>34</v>
      </c>
      <c r="B33" s="27"/>
      <c r="C33" s="28"/>
      <c r="D33" s="21">
        <v>430.0</v>
      </c>
      <c r="E33" s="10"/>
      <c r="F33" s="36">
        <v>450.0</v>
      </c>
      <c r="G33" s="22"/>
      <c r="H33" s="21">
        <v>1740.0</v>
      </c>
      <c r="I33" s="21"/>
      <c r="J33" s="29">
        <v>80.0</v>
      </c>
      <c r="K33" s="25">
        <f t="shared" si="6"/>
        <v>2700</v>
      </c>
    </row>
    <row r="34" ht="13.5" customHeight="1">
      <c r="A34" s="18" t="s">
        <v>35</v>
      </c>
      <c r="B34" s="30">
        <v>2.0</v>
      </c>
      <c r="C34" s="31" t="s">
        <v>36</v>
      </c>
      <c r="D34" s="21"/>
      <c r="E34" s="10"/>
      <c r="F34" s="36"/>
      <c r="G34" s="32"/>
      <c r="H34" s="21"/>
      <c r="I34" s="21"/>
      <c r="J34" s="24"/>
      <c r="K34" s="25">
        <f t="shared" si="6"/>
        <v>0</v>
      </c>
    </row>
    <row r="35" ht="13.5" customHeight="1">
      <c r="A35" s="26" t="s">
        <v>37</v>
      </c>
      <c r="B35" s="33"/>
      <c r="C35" s="34"/>
      <c r="D35" s="21"/>
      <c r="E35" s="10"/>
      <c r="F35" s="36"/>
      <c r="G35" s="38"/>
      <c r="H35" s="21"/>
      <c r="I35" s="21"/>
      <c r="J35" s="29"/>
      <c r="K35" s="25">
        <f t="shared" si="6"/>
        <v>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420.0</v>
      </c>
      <c r="E36" s="10"/>
      <c r="F36" s="41">
        <v>750.0</v>
      </c>
      <c r="G36" s="32"/>
      <c r="H36" s="21">
        <v>5030.0</v>
      </c>
      <c r="I36" s="21"/>
      <c r="J36" s="24">
        <v>280.0</v>
      </c>
      <c r="K36" s="25">
        <f t="shared" si="6"/>
        <v>6480</v>
      </c>
    </row>
    <row r="37" ht="13.5" customHeight="1">
      <c r="A37" s="35" t="s">
        <v>41</v>
      </c>
      <c r="B37" s="27"/>
      <c r="C37" s="27"/>
      <c r="D37" s="21">
        <v>460.0</v>
      </c>
      <c r="E37" s="36"/>
      <c r="F37" s="37">
        <v>750.0</v>
      </c>
      <c r="G37" s="22"/>
      <c r="H37" s="21">
        <v>4830.0</v>
      </c>
      <c r="I37" s="29"/>
      <c r="J37" s="39">
        <v>320.0</v>
      </c>
      <c r="K37" s="25">
        <f t="shared" si="6"/>
        <v>6360</v>
      </c>
    </row>
    <row r="38" ht="13.5" customHeight="1">
      <c r="A38" s="40" t="s">
        <v>7</v>
      </c>
      <c r="B38" s="40"/>
      <c r="C38" s="40">
        <v>547.0</v>
      </c>
      <c r="D38" s="10">
        <f t="shared" ref="D38:K38" si="7">SUM(D32:D37)</f>
        <v>1710</v>
      </c>
      <c r="E38" s="10">
        <f t="shared" si="7"/>
        <v>0</v>
      </c>
      <c r="F38" s="10">
        <f t="shared" si="7"/>
        <v>2350</v>
      </c>
      <c r="G38" s="10">
        <f t="shared" si="7"/>
        <v>0</v>
      </c>
      <c r="H38" s="10">
        <f t="shared" si="7"/>
        <v>13040</v>
      </c>
      <c r="I38" s="10">
        <f t="shared" si="7"/>
        <v>0</v>
      </c>
      <c r="J38" s="10">
        <f t="shared" si="7"/>
        <v>760</v>
      </c>
      <c r="K38" s="10">
        <f t="shared" si="7"/>
        <v>17860</v>
      </c>
    </row>
    <row r="39" ht="13.5" customHeight="1">
      <c r="A39" s="42" t="s">
        <v>444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 t="s">
        <v>443</v>
      </c>
      <c r="C41" s="20" t="s">
        <v>33</v>
      </c>
      <c r="D41" s="21">
        <v>410.0</v>
      </c>
      <c r="E41" s="10"/>
      <c r="F41" s="36">
        <v>420.0</v>
      </c>
      <c r="G41" s="32"/>
      <c r="H41" s="21">
        <v>1890.0</v>
      </c>
      <c r="I41" s="21"/>
      <c r="J41" s="24">
        <v>100.0</v>
      </c>
      <c r="K41" s="25">
        <f t="shared" ref="K41:K47" si="8">SUM(D41:J41)</f>
        <v>2820</v>
      </c>
    </row>
    <row r="42" ht="13.5" customHeight="1">
      <c r="A42" s="26" t="s">
        <v>34</v>
      </c>
      <c r="B42" s="27"/>
      <c r="C42" s="28"/>
      <c r="D42" s="21">
        <v>420.0</v>
      </c>
      <c r="E42" s="10"/>
      <c r="F42" s="36">
        <v>410.0</v>
      </c>
      <c r="G42" s="22"/>
      <c r="H42" s="21">
        <v>1850.0</v>
      </c>
      <c r="I42" s="21"/>
      <c r="J42" s="29">
        <v>100.0</v>
      </c>
      <c r="K42" s="25">
        <f t="shared" si="8"/>
        <v>2780</v>
      </c>
    </row>
    <row r="43" ht="13.5" customHeight="1">
      <c r="A43" s="18" t="s">
        <v>35</v>
      </c>
      <c r="B43" s="30">
        <v>2.0</v>
      </c>
      <c r="C43" s="31" t="s">
        <v>36</v>
      </c>
      <c r="D43" s="21"/>
      <c r="E43" s="10"/>
      <c r="F43" s="36"/>
      <c r="G43" s="32"/>
      <c r="H43" s="21"/>
      <c r="I43" s="21"/>
      <c r="J43" s="24"/>
      <c r="K43" s="25">
        <f t="shared" si="8"/>
        <v>0</v>
      </c>
    </row>
    <row r="44" ht="13.5" customHeight="1">
      <c r="A44" s="26" t="s">
        <v>37</v>
      </c>
      <c r="B44" s="33"/>
      <c r="C44" s="34">
        <v>106.0</v>
      </c>
      <c r="D44" s="21"/>
      <c r="E44" s="10"/>
      <c r="F44" s="36"/>
      <c r="G44" s="38"/>
      <c r="H44" s="21"/>
      <c r="I44" s="21"/>
      <c r="J44" s="29"/>
      <c r="K44" s="25">
        <f t="shared" si="8"/>
        <v>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460.0</v>
      </c>
      <c r="E45" s="10"/>
      <c r="F45" s="41">
        <v>740.0</v>
      </c>
      <c r="G45" s="32"/>
      <c r="H45" s="21">
        <v>4910.0</v>
      </c>
      <c r="I45" s="21"/>
      <c r="J45" s="24">
        <v>310.0</v>
      </c>
      <c r="K45" s="25">
        <f t="shared" si="8"/>
        <v>6420</v>
      </c>
    </row>
    <row r="46" ht="13.5" customHeight="1">
      <c r="A46" s="35" t="s">
        <v>41</v>
      </c>
      <c r="B46" s="27"/>
      <c r="C46" s="27"/>
      <c r="D46" s="21">
        <v>450.0</v>
      </c>
      <c r="E46" s="36"/>
      <c r="F46" s="37">
        <v>760.0</v>
      </c>
      <c r="G46" s="38"/>
      <c r="H46" s="21">
        <v>4900.0</v>
      </c>
      <c r="I46" s="21"/>
      <c r="J46" s="39">
        <v>300.0</v>
      </c>
      <c r="K46" s="25">
        <f t="shared" si="8"/>
        <v>6410</v>
      </c>
    </row>
    <row r="47" ht="13.5" customHeight="1">
      <c r="A47" s="40" t="s">
        <v>7</v>
      </c>
      <c r="B47" s="40"/>
      <c r="C47" s="40">
        <v>547.0</v>
      </c>
      <c r="D47" s="10">
        <f t="shared" ref="D47:J47" si="9">SUM(D41:D46)</f>
        <v>1740</v>
      </c>
      <c r="E47" s="10">
        <f t="shared" si="9"/>
        <v>0</v>
      </c>
      <c r="F47" s="10">
        <f t="shared" si="9"/>
        <v>2330</v>
      </c>
      <c r="G47" s="10">
        <f t="shared" si="9"/>
        <v>0</v>
      </c>
      <c r="H47" s="10">
        <f t="shared" si="9"/>
        <v>13550</v>
      </c>
      <c r="I47" s="10">
        <f t="shared" si="9"/>
        <v>0</v>
      </c>
      <c r="J47" s="10">
        <f t="shared" si="9"/>
        <v>810</v>
      </c>
      <c r="K47" s="25">
        <f t="shared" si="8"/>
        <v>18430</v>
      </c>
    </row>
    <row r="48" ht="13.5" customHeight="1">
      <c r="A48" s="13" t="s">
        <v>445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 t="s">
        <v>443</v>
      </c>
      <c r="C50" s="20" t="s">
        <v>33</v>
      </c>
      <c r="D50" s="21">
        <v>470.0</v>
      </c>
      <c r="E50" s="10"/>
      <c r="F50" s="36">
        <v>420.0</v>
      </c>
      <c r="G50" s="32"/>
      <c r="H50" s="21">
        <v>1770.0</v>
      </c>
      <c r="I50" s="21"/>
      <c r="J50" s="24">
        <v>100.0</v>
      </c>
      <c r="K50" s="25">
        <f t="shared" ref="K50:K56" si="10">SUM(D50:J50)</f>
        <v>2760</v>
      </c>
    </row>
    <row r="51" ht="13.5" customHeight="1">
      <c r="A51" s="26" t="s">
        <v>34</v>
      </c>
      <c r="B51" s="27"/>
      <c r="C51" s="28">
        <v>206.0</v>
      </c>
      <c r="D51" s="21">
        <v>500.0</v>
      </c>
      <c r="E51" s="10"/>
      <c r="F51" s="36">
        <v>600.0</v>
      </c>
      <c r="G51" s="22"/>
      <c r="H51" s="21">
        <v>1640.0</v>
      </c>
      <c r="I51" s="21"/>
      <c r="J51" s="29">
        <v>90.0</v>
      </c>
      <c r="K51" s="25">
        <f t="shared" si="10"/>
        <v>2830</v>
      </c>
    </row>
    <row r="52" ht="13.5" customHeight="1">
      <c r="A52" s="18" t="s">
        <v>35</v>
      </c>
      <c r="B52" s="30">
        <v>2.0</v>
      </c>
      <c r="C52" s="31" t="s">
        <v>36</v>
      </c>
      <c r="D52" s="21"/>
      <c r="E52" s="10"/>
      <c r="F52" s="36"/>
      <c r="G52" s="38"/>
      <c r="H52" s="21"/>
      <c r="I52" s="21"/>
      <c r="J52" s="29"/>
      <c r="K52" s="25">
        <f t="shared" si="10"/>
        <v>0</v>
      </c>
    </row>
    <row r="53" ht="13.5" customHeight="1">
      <c r="A53" s="26" t="s">
        <v>37</v>
      </c>
      <c r="B53" s="33"/>
      <c r="C53" s="34">
        <v>106.0</v>
      </c>
      <c r="D53" s="21"/>
      <c r="E53" s="10"/>
      <c r="F53" s="36"/>
      <c r="G53" s="38"/>
      <c r="H53" s="21"/>
      <c r="I53" s="21"/>
      <c r="J53" s="29"/>
      <c r="K53" s="25">
        <f t="shared" si="10"/>
        <v>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460.0</v>
      </c>
      <c r="E54" s="10"/>
      <c r="F54" s="41">
        <v>750.0</v>
      </c>
      <c r="G54" s="32"/>
      <c r="H54" s="21">
        <v>5030.0</v>
      </c>
      <c r="I54" s="21"/>
      <c r="J54" s="24">
        <v>340.0</v>
      </c>
      <c r="K54" s="25">
        <f t="shared" si="10"/>
        <v>6580</v>
      </c>
    </row>
    <row r="55" ht="13.5" customHeight="1">
      <c r="A55" s="35" t="s">
        <v>41</v>
      </c>
      <c r="B55" s="27"/>
      <c r="C55" s="27"/>
      <c r="D55" s="21">
        <v>450.0</v>
      </c>
      <c r="E55" s="36"/>
      <c r="F55" s="37">
        <v>450.0</v>
      </c>
      <c r="G55" s="38"/>
      <c r="H55" s="21">
        <v>5340.0</v>
      </c>
      <c r="I55" s="21"/>
      <c r="J55" s="39">
        <v>300.0</v>
      </c>
      <c r="K55" s="25">
        <f t="shared" si="10"/>
        <v>6540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1">SUM(D50:D55)</f>
        <v>1880</v>
      </c>
      <c r="E56" s="10">
        <f t="shared" si="11"/>
        <v>0</v>
      </c>
      <c r="F56" s="10">
        <f t="shared" si="11"/>
        <v>2220</v>
      </c>
      <c r="G56" s="10">
        <f t="shared" si="11"/>
        <v>0</v>
      </c>
      <c r="H56" s="10">
        <f t="shared" si="11"/>
        <v>13780</v>
      </c>
      <c r="I56" s="10">
        <f t="shared" si="11"/>
        <v>0</v>
      </c>
      <c r="J56" s="10">
        <f t="shared" si="11"/>
        <v>830</v>
      </c>
      <c r="K56" s="25">
        <f t="shared" si="10"/>
        <v>18710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446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 t="s">
        <v>443</v>
      </c>
      <c r="C60" s="20" t="s">
        <v>33</v>
      </c>
      <c r="D60" s="21">
        <v>450.0</v>
      </c>
      <c r="E60" s="10"/>
      <c r="F60" s="36"/>
      <c r="G60" s="21"/>
      <c r="H60" s="10">
        <v>1950.0</v>
      </c>
      <c r="I60" s="10"/>
      <c r="J60" s="24">
        <v>100.0</v>
      </c>
      <c r="K60" s="25">
        <f t="shared" ref="K60:K66" si="12">SUM(D60:J60)</f>
        <v>2500</v>
      </c>
    </row>
    <row r="61" ht="13.5" customHeight="1">
      <c r="A61" s="26" t="s">
        <v>34</v>
      </c>
      <c r="B61" s="27"/>
      <c r="C61" s="28"/>
      <c r="D61" s="21">
        <v>500.0</v>
      </c>
      <c r="E61" s="10"/>
      <c r="F61" s="36"/>
      <c r="G61" s="21"/>
      <c r="H61" s="10">
        <v>4860.0</v>
      </c>
      <c r="I61" s="10"/>
      <c r="J61" s="29">
        <v>340.0</v>
      </c>
      <c r="K61" s="25">
        <f t="shared" si="12"/>
        <v>5700</v>
      </c>
    </row>
    <row r="62" ht="13.5" customHeight="1">
      <c r="A62" s="18" t="s">
        <v>35</v>
      </c>
      <c r="B62" s="30">
        <v>2.0</v>
      </c>
      <c r="C62" s="31" t="s">
        <v>36</v>
      </c>
      <c r="D62" s="21"/>
      <c r="E62" s="10"/>
      <c r="F62" s="36"/>
      <c r="G62" s="21"/>
      <c r="H62" s="10"/>
      <c r="I62" s="10"/>
      <c r="J62" s="24"/>
      <c r="K62" s="25">
        <f t="shared" si="12"/>
        <v>0</v>
      </c>
    </row>
    <row r="63" ht="13.5" customHeight="1">
      <c r="A63" s="26" t="s">
        <v>37</v>
      </c>
      <c r="B63" s="33"/>
      <c r="C63" s="34">
        <v>106.0</v>
      </c>
      <c r="D63" s="21"/>
      <c r="E63" s="10"/>
      <c r="F63" s="36"/>
      <c r="G63" s="21"/>
      <c r="H63" s="10"/>
      <c r="I63" s="10"/>
      <c r="J63" s="29"/>
      <c r="K63" s="25">
        <f t="shared" si="12"/>
        <v>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450.0</v>
      </c>
      <c r="E64" s="10"/>
      <c r="G64" s="21"/>
      <c r="H64" s="10">
        <v>5000.0</v>
      </c>
      <c r="I64" s="10"/>
      <c r="J64" s="24">
        <v>320.0</v>
      </c>
      <c r="K64" s="25">
        <f t="shared" si="12"/>
        <v>5770</v>
      </c>
      <c r="L64" s="10"/>
    </row>
    <row r="65" ht="13.5" customHeight="1">
      <c r="A65" s="35" t="s">
        <v>41</v>
      </c>
      <c r="B65" s="27"/>
      <c r="C65" s="27"/>
      <c r="D65" s="21">
        <v>500.0</v>
      </c>
      <c r="E65" s="36"/>
      <c r="F65" s="36"/>
      <c r="G65" s="21"/>
      <c r="H65" s="10">
        <v>4860.0</v>
      </c>
      <c r="I65" s="10"/>
      <c r="J65" s="39">
        <v>310.0</v>
      </c>
      <c r="K65" s="25">
        <f t="shared" si="12"/>
        <v>5670</v>
      </c>
      <c r="L65" s="36"/>
    </row>
    <row r="66" ht="13.5" customHeight="1">
      <c r="A66" s="40" t="s">
        <v>7</v>
      </c>
      <c r="B66" s="40"/>
      <c r="C66" s="40">
        <v>547.0</v>
      </c>
      <c r="D66" s="10">
        <f t="shared" ref="D66:J66" si="13">SUM(D60:D65)</f>
        <v>1900</v>
      </c>
      <c r="E66" s="10">
        <f t="shared" si="13"/>
        <v>0</v>
      </c>
      <c r="F66" s="10">
        <f t="shared" si="13"/>
        <v>0</v>
      </c>
      <c r="G66" s="10">
        <f t="shared" si="13"/>
        <v>0</v>
      </c>
      <c r="H66" s="10">
        <f t="shared" si="13"/>
        <v>16670</v>
      </c>
      <c r="I66" s="10">
        <f t="shared" si="13"/>
        <v>0</v>
      </c>
      <c r="J66" s="10">
        <f t="shared" si="13"/>
        <v>1070</v>
      </c>
      <c r="K66" s="25">
        <f t="shared" si="12"/>
        <v>19640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447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 t="s">
        <v>443</v>
      </c>
      <c r="C70" s="20" t="s">
        <v>33</v>
      </c>
      <c r="D70" s="21">
        <v>440.0</v>
      </c>
      <c r="E70" s="10"/>
      <c r="F70" s="36"/>
      <c r="G70" s="21"/>
      <c r="H70" s="10">
        <v>2070.0</v>
      </c>
      <c r="I70" s="10"/>
      <c r="J70" s="24">
        <v>90.0</v>
      </c>
      <c r="K70" s="25">
        <f t="shared" ref="K70:K76" si="14">SUM(D70:J70)</f>
        <v>2600</v>
      </c>
    </row>
    <row r="71" ht="13.5" customHeight="1">
      <c r="A71" s="26" t="s">
        <v>34</v>
      </c>
      <c r="B71" s="27"/>
      <c r="C71" s="28"/>
      <c r="D71" s="21">
        <v>440.0</v>
      </c>
      <c r="E71" s="10"/>
      <c r="F71" s="36"/>
      <c r="G71" s="21"/>
      <c r="H71" s="10">
        <v>1920.0</v>
      </c>
      <c r="I71" s="10"/>
      <c r="J71" s="29">
        <v>100.0</v>
      </c>
      <c r="K71" s="25">
        <f t="shared" si="14"/>
        <v>2460</v>
      </c>
    </row>
    <row r="72" ht="13.5" customHeight="1">
      <c r="A72" s="18" t="s">
        <v>35</v>
      </c>
      <c r="B72" s="30">
        <v>2.0</v>
      </c>
      <c r="C72" s="31" t="s">
        <v>36</v>
      </c>
      <c r="D72" s="21"/>
      <c r="E72" s="10"/>
      <c r="F72" s="36"/>
      <c r="G72" s="21"/>
      <c r="H72" s="10"/>
      <c r="I72" s="10"/>
      <c r="J72" s="24"/>
      <c r="K72" s="25">
        <f t="shared" si="14"/>
        <v>0</v>
      </c>
    </row>
    <row r="73" ht="13.5" customHeight="1">
      <c r="A73" s="26" t="s">
        <v>37</v>
      </c>
      <c r="B73" s="33"/>
      <c r="C73" s="34">
        <v>106.0</v>
      </c>
      <c r="D73" s="21"/>
      <c r="E73" s="10"/>
      <c r="F73" s="36"/>
      <c r="G73" s="21"/>
      <c r="H73" s="10"/>
      <c r="I73" s="10"/>
      <c r="J73" s="29"/>
      <c r="K73" s="25">
        <f t="shared" si="14"/>
        <v>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450.0</v>
      </c>
      <c r="E74" s="10"/>
      <c r="F74" s="10"/>
      <c r="G74" s="21"/>
      <c r="H74" s="10">
        <v>5100.0</v>
      </c>
      <c r="I74" s="10"/>
      <c r="J74" s="24">
        <v>330.0</v>
      </c>
      <c r="K74" s="25">
        <f t="shared" si="14"/>
        <v>5880</v>
      </c>
      <c r="L74" s="10"/>
    </row>
    <row r="75" ht="13.5" customHeight="1">
      <c r="A75" s="35" t="s">
        <v>41</v>
      </c>
      <c r="B75" s="27"/>
      <c r="C75" s="27"/>
      <c r="D75" s="21">
        <v>460.0</v>
      </c>
      <c r="E75" s="36"/>
      <c r="F75" s="36"/>
      <c r="G75" s="21"/>
      <c r="H75" s="10">
        <v>5700.0</v>
      </c>
      <c r="I75" s="10"/>
      <c r="J75" s="39">
        <v>320.0</v>
      </c>
      <c r="K75" s="25">
        <f t="shared" si="14"/>
        <v>6480</v>
      </c>
      <c r="L75" s="36"/>
    </row>
    <row r="76" ht="13.5" customHeight="1">
      <c r="A76" s="40" t="s">
        <v>7</v>
      </c>
      <c r="B76" s="40"/>
      <c r="C76" s="40">
        <v>547.0</v>
      </c>
      <c r="D76" s="40">
        <f t="shared" ref="D76:J76" si="15">SUM(D70:D75)</f>
        <v>1790</v>
      </c>
      <c r="E76" s="40">
        <f t="shared" si="15"/>
        <v>0</v>
      </c>
      <c r="F76" s="40">
        <f t="shared" si="15"/>
        <v>0</v>
      </c>
      <c r="G76" s="40">
        <f t="shared" si="15"/>
        <v>0</v>
      </c>
      <c r="H76" s="40">
        <f t="shared" si="15"/>
        <v>14790</v>
      </c>
      <c r="I76" s="40">
        <f t="shared" si="15"/>
        <v>0</v>
      </c>
      <c r="J76" s="40">
        <f t="shared" si="15"/>
        <v>840</v>
      </c>
      <c r="K76" s="25">
        <f t="shared" si="14"/>
        <v>17420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448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>
        <v>1.0</v>
      </c>
      <c r="C80" s="20" t="s">
        <v>33</v>
      </c>
      <c r="D80" s="21">
        <v>450.0</v>
      </c>
      <c r="E80" s="36"/>
      <c r="F80" s="36"/>
      <c r="G80" s="22"/>
      <c r="H80" s="21">
        <v>1990.0</v>
      </c>
      <c r="I80" s="21"/>
      <c r="J80" s="29">
        <v>100.0</v>
      </c>
      <c r="K80" s="25">
        <f t="shared" ref="K80:K86" si="16">SUM(D80:J80)</f>
        <v>2540</v>
      </c>
    </row>
    <row r="81" ht="13.5" customHeight="1">
      <c r="A81" s="26" t="s">
        <v>34</v>
      </c>
      <c r="B81" s="27"/>
      <c r="C81" s="28">
        <v>86.0</v>
      </c>
      <c r="D81" s="21">
        <v>440.0</v>
      </c>
      <c r="E81" s="36"/>
      <c r="F81" s="36"/>
      <c r="G81" s="22"/>
      <c r="H81" s="21">
        <v>2030.0</v>
      </c>
      <c r="I81" s="21"/>
      <c r="J81" s="29">
        <v>100.0</v>
      </c>
      <c r="K81" s="25">
        <f t="shared" si="16"/>
        <v>2570</v>
      </c>
    </row>
    <row r="82" ht="13.5" customHeight="1">
      <c r="A82" s="18" t="s">
        <v>35</v>
      </c>
      <c r="B82" s="30">
        <v>2.0</v>
      </c>
      <c r="C82" s="31" t="s">
        <v>36</v>
      </c>
      <c r="D82" s="21"/>
      <c r="E82" s="36"/>
      <c r="F82" s="36"/>
      <c r="G82" s="32"/>
      <c r="H82" s="21"/>
      <c r="I82" s="21"/>
      <c r="J82" s="24"/>
      <c r="K82" s="25">
        <f t="shared" si="16"/>
        <v>0</v>
      </c>
    </row>
    <row r="83" ht="13.5" customHeight="1">
      <c r="A83" s="26" t="s">
        <v>37</v>
      </c>
      <c r="B83" s="33"/>
      <c r="C83" s="34">
        <v>127.0</v>
      </c>
      <c r="D83" s="21"/>
      <c r="E83" s="36"/>
      <c r="F83" s="36"/>
      <c r="G83" s="22"/>
      <c r="H83" s="21"/>
      <c r="I83" s="21"/>
      <c r="J83" s="29"/>
      <c r="K83" s="25">
        <f t="shared" si="16"/>
        <v>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460.0</v>
      </c>
      <c r="E84" s="41"/>
      <c r="F84" s="41"/>
      <c r="G84" s="32"/>
      <c r="H84" s="44">
        <v>5720.0</v>
      </c>
      <c r="I84" s="21"/>
      <c r="J84" s="24">
        <v>320.0</v>
      </c>
      <c r="K84" s="25">
        <f t="shared" si="16"/>
        <v>6500</v>
      </c>
      <c r="L84" s="10"/>
    </row>
    <row r="85" ht="13.5" customHeight="1">
      <c r="A85" s="35" t="s">
        <v>41</v>
      </c>
      <c r="B85" s="27"/>
      <c r="C85" s="27"/>
      <c r="D85" s="21">
        <v>470.0</v>
      </c>
      <c r="E85" s="36"/>
      <c r="F85" s="37"/>
      <c r="G85" s="38"/>
      <c r="H85" s="21">
        <v>5540.0</v>
      </c>
      <c r="I85" s="29"/>
      <c r="J85" s="39">
        <v>290.0</v>
      </c>
      <c r="K85" s="25">
        <f t="shared" si="16"/>
        <v>6300</v>
      </c>
      <c r="L85" s="36"/>
    </row>
    <row r="86" ht="13.5" customHeight="1">
      <c r="A86" s="40" t="s">
        <v>7</v>
      </c>
      <c r="B86" s="40"/>
      <c r="C86" s="40">
        <v>547.0</v>
      </c>
      <c r="D86" s="10">
        <f t="shared" ref="D86:J86" si="17">SUM(D80:D85)</f>
        <v>1820</v>
      </c>
      <c r="E86" s="10">
        <f t="shared" si="17"/>
        <v>0</v>
      </c>
      <c r="F86" s="10">
        <f t="shared" si="17"/>
        <v>0</v>
      </c>
      <c r="G86" s="10">
        <f t="shared" si="17"/>
        <v>0</v>
      </c>
      <c r="H86" s="10">
        <f t="shared" si="17"/>
        <v>15280</v>
      </c>
      <c r="I86" s="10">
        <f t="shared" si="17"/>
        <v>0</v>
      </c>
      <c r="J86" s="10">
        <f t="shared" si="17"/>
        <v>810</v>
      </c>
      <c r="K86" s="25">
        <f t="shared" si="16"/>
        <v>17910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3" t="s">
        <v>449</v>
      </c>
    </row>
    <row r="89" ht="13.5" customHeight="1">
      <c r="A89" s="14" t="s">
        <v>25</v>
      </c>
      <c r="B89" s="14" t="s">
        <v>1</v>
      </c>
      <c r="C89" s="14" t="s">
        <v>27</v>
      </c>
      <c r="D89" s="15" t="s">
        <v>2</v>
      </c>
      <c r="E89" s="10" t="s">
        <v>28</v>
      </c>
      <c r="F89" s="16" t="s">
        <v>3</v>
      </c>
      <c r="G89" s="15" t="s">
        <v>4</v>
      </c>
      <c r="H89" s="15" t="s">
        <v>5</v>
      </c>
      <c r="I89" s="15" t="s">
        <v>29</v>
      </c>
      <c r="J89" s="14" t="s">
        <v>30</v>
      </c>
      <c r="K89" s="17" t="s">
        <v>7</v>
      </c>
    </row>
    <row r="90" ht="14.25" customHeight="1">
      <c r="A90" s="18" t="s">
        <v>31</v>
      </c>
      <c r="B90" s="19">
        <v>1.0</v>
      </c>
      <c r="C90" s="20" t="s">
        <v>33</v>
      </c>
      <c r="D90" s="21">
        <v>460.0</v>
      </c>
      <c r="E90" s="10"/>
      <c r="F90" s="36"/>
      <c r="G90" s="32"/>
      <c r="H90" s="21">
        <v>2080.0</v>
      </c>
      <c r="I90" s="21"/>
      <c r="J90" s="24">
        <v>100.0</v>
      </c>
      <c r="K90" s="25">
        <f t="shared" ref="K90:K96" si="18">SUM(D90:J90)</f>
        <v>2640</v>
      </c>
    </row>
    <row r="91" ht="13.5" customHeight="1">
      <c r="A91" s="26" t="s">
        <v>34</v>
      </c>
      <c r="B91" s="27"/>
      <c r="C91" s="28">
        <v>86.0</v>
      </c>
      <c r="D91" s="21">
        <v>460.0</v>
      </c>
      <c r="E91" s="10"/>
      <c r="F91" s="36"/>
      <c r="G91" s="32"/>
      <c r="H91" s="21">
        <v>1690.0</v>
      </c>
      <c r="I91" s="21"/>
      <c r="J91" s="29">
        <v>110.0</v>
      </c>
      <c r="K91" s="25">
        <f t="shared" si="18"/>
        <v>2260</v>
      </c>
    </row>
    <row r="92" ht="13.5" customHeight="1">
      <c r="A92" s="18" t="s">
        <v>35</v>
      </c>
      <c r="B92" s="30">
        <v>2.0</v>
      </c>
      <c r="C92" s="31" t="s">
        <v>36</v>
      </c>
      <c r="D92" s="21"/>
      <c r="E92" s="10"/>
      <c r="F92" s="36"/>
      <c r="G92" s="32"/>
      <c r="H92" s="21"/>
      <c r="I92" s="21"/>
      <c r="J92" s="24"/>
      <c r="K92" s="25">
        <f t="shared" si="18"/>
        <v>0</v>
      </c>
    </row>
    <row r="93" ht="13.5" customHeight="1">
      <c r="A93" s="26" t="s">
        <v>37</v>
      </c>
      <c r="B93" s="33"/>
      <c r="C93" s="34">
        <v>127.0</v>
      </c>
      <c r="D93" s="21"/>
      <c r="E93" s="10"/>
      <c r="F93" s="36"/>
      <c r="G93" s="32"/>
      <c r="H93" s="21"/>
      <c r="I93" s="21"/>
      <c r="J93" s="29"/>
      <c r="K93" s="25">
        <f t="shared" si="18"/>
        <v>0</v>
      </c>
    </row>
    <row r="94" ht="15.0" customHeight="1">
      <c r="A94" s="18" t="s">
        <v>38</v>
      </c>
      <c r="B94" s="19" t="s">
        <v>39</v>
      </c>
      <c r="C94" s="19" t="s">
        <v>40</v>
      </c>
      <c r="D94" s="21">
        <v>460.0</v>
      </c>
      <c r="E94" s="36"/>
      <c r="F94" s="41"/>
      <c r="G94" s="32"/>
      <c r="H94" s="21">
        <v>5690.0</v>
      </c>
      <c r="I94" s="21"/>
      <c r="J94" s="24">
        <v>300.0</v>
      </c>
      <c r="K94" s="25">
        <f t="shared" si="18"/>
        <v>6450</v>
      </c>
      <c r="L94" s="10"/>
    </row>
    <row r="95" ht="13.5" customHeight="1">
      <c r="A95" s="35" t="s">
        <v>41</v>
      </c>
      <c r="B95" s="27"/>
      <c r="C95" s="27"/>
      <c r="D95" s="21">
        <v>470.0</v>
      </c>
      <c r="E95" s="36"/>
      <c r="F95" s="37"/>
      <c r="G95" s="38"/>
      <c r="H95" s="21">
        <v>5680.0</v>
      </c>
      <c r="I95" s="21"/>
      <c r="J95" s="39">
        <v>310.0</v>
      </c>
      <c r="K95" s="25">
        <f t="shared" si="18"/>
        <v>6460</v>
      </c>
      <c r="L95" s="36"/>
    </row>
    <row r="96" ht="13.5" customHeight="1">
      <c r="A96" s="40" t="s">
        <v>7</v>
      </c>
      <c r="B96" s="40"/>
      <c r="C96" s="40">
        <v>563.0</v>
      </c>
      <c r="D96" s="10">
        <f t="shared" ref="D96:J96" si="19">SUM(D90:D95)</f>
        <v>1850</v>
      </c>
      <c r="E96" s="10">
        <f t="shared" si="19"/>
        <v>0</v>
      </c>
      <c r="F96" s="10">
        <f t="shared" si="19"/>
        <v>0</v>
      </c>
      <c r="G96" s="10">
        <f t="shared" si="19"/>
        <v>0</v>
      </c>
      <c r="H96" s="10">
        <f t="shared" si="19"/>
        <v>15140</v>
      </c>
      <c r="I96" s="10">
        <f t="shared" si="19"/>
        <v>0</v>
      </c>
      <c r="J96" s="10">
        <f t="shared" si="19"/>
        <v>820</v>
      </c>
      <c r="K96" s="25">
        <f t="shared" si="18"/>
        <v>17810</v>
      </c>
    </row>
    <row r="97" ht="13.5" customHeight="1">
      <c r="A97" s="13" t="s">
        <v>450</v>
      </c>
    </row>
    <row r="98" ht="13.5" customHeight="1">
      <c r="A98" s="14" t="s">
        <v>25</v>
      </c>
      <c r="B98" s="14" t="s">
        <v>1</v>
      </c>
      <c r="C98" s="14" t="s">
        <v>27</v>
      </c>
      <c r="D98" s="15" t="s">
        <v>2</v>
      </c>
      <c r="E98" s="10" t="s">
        <v>28</v>
      </c>
      <c r="F98" s="16" t="s">
        <v>3</v>
      </c>
      <c r="G98" s="15" t="s">
        <v>4</v>
      </c>
      <c r="H98" s="15" t="s">
        <v>5</v>
      </c>
      <c r="I98" s="15" t="s">
        <v>29</v>
      </c>
      <c r="J98" s="14" t="s">
        <v>30</v>
      </c>
      <c r="K98" s="10" t="s">
        <v>7</v>
      </c>
    </row>
    <row r="99" ht="14.25" customHeight="1">
      <c r="A99" s="18" t="s">
        <v>31</v>
      </c>
      <c r="B99" s="19">
        <v>1.0</v>
      </c>
      <c r="C99" s="20" t="s">
        <v>33</v>
      </c>
      <c r="D99" s="21">
        <v>460.0</v>
      </c>
      <c r="E99" s="10"/>
      <c r="F99" s="36"/>
      <c r="G99" s="32"/>
      <c r="H99" s="21">
        <v>1990.0</v>
      </c>
      <c r="I99" s="21"/>
      <c r="J99" s="21">
        <v>100.0</v>
      </c>
      <c r="K99" s="10">
        <f t="shared" ref="K99:K105" si="20">SUM(D99:J99)</f>
        <v>2550</v>
      </c>
    </row>
    <row r="100" ht="13.5" customHeight="1">
      <c r="A100" s="26" t="s">
        <v>34</v>
      </c>
      <c r="B100" s="27"/>
      <c r="C100" s="28">
        <v>86.0</v>
      </c>
      <c r="D100" s="21">
        <v>440.0</v>
      </c>
      <c r="E100" s="10"/>
      <c r="F100" s="36"/>
      <c r="G100" s="32"/>
      <c r="H100" s="21">
        <v>2040.0</v>
      </c>
      <c r="I100" s="21"/>
      <c r="J100" s="21">
        <v>100.0</v>
      </c>
      <c r="K100" s="10">
        <f t="shared" si="20"/>
        <v>2580</v>
      </c>
    </row>
    <row r="101" ht="13.5" customHeight="1">
      <c r="A101" s="18" t="s">
        <v>35</v>
      </c>
      <c r="B101" s="30">
        <v>2.1</v>
      </c>
      <c r="C101" s="31" t="s">
        <v>36</v>
      </c>
      <c r="D101" s="21"/>
      <c r="E101" s="10"/>
      <c r="F101" s="36"/>
      <c r="G101" s="32"/>
      <c r="H101" s="21"/>
      <c r="I101" s="21"/>
      <c r="J101" s="21"/>
      <c r="K101" s="10">
        <f t="shared" si="20"/>
        <v>0</v>
      </c>
    </row>
    <row r="102" ht="13.5" customHeight="1">
      <c r="A102" s="26" t="s">
        <v>37</v>
      </c>
      <c r="B102" s="33"/>
      <c r="C102" s="34">
        <v>87.0</v>
      </c>
      <c r="D102" s="21"/>
      <c r="E102" s="10"/>
      <c r="F102" s="36"/>
      <c r="G102" s="32"/>
      <c r="H102" s="21"/>
      <c r="I102" s="21"/>
      <c r="J102" s="21"/>
      <c r="K102" s="10">
        <f t="shared" si="20"/>
        <v>0</v>
      </c>
    </row>
    <row r="103" ht="14.25" customHeight="1">
      <c r="A103" s="18" t="s">
        <v>38</v>
      </c>
      <c r="B103" s="19" t="s">
        <v>39</v>
      </c>
      <c r="C103" s="19" t="s">
        <v>40</v>
      </c>
      <c r="D103" s="21">
        <v>450.0</v>
      </c>
      <c r="E103" s="36"/>
      <c r="F103" s="41"/>
      <c r="G103" s="32"/>
      <c r="H103" s="21">
        <v>5600.0</v>
      </c>
      <c r="I103" s="21"/>
      <c r="J103" s="21">
        <v>330.0</v>
      </c>
      <c r="K103" s="10">
        <f t="shared" si="20"/>
        <v>6380</v>
      </c>
    </row>
    <row r="104" ht="13.5" customHeight="1">
      <c r="A104" s="35" t="s">
        <v>41</v>
      </c>
      <c r="B104" s="27"/>
      <c r="C104" s="27"/>
      <c r="D104" s="21">
        <v>450.0</v>
      </c>
      <c r="E104" s="36"/>
      <c r="F104" s="37"/>
      <c r="G104" s="38"/>
      <c r="H104" s="21">
        <v>5930.0</v>
      </c>
      <c r="I104" s="21"/>
      <c r="J104" s="21">
        <v>300.0</v>
      </c>
      <c r="K104" s="10">
        <f t="shared" si="20"/>
        <v>6680</v>
      </c>
    </row>
    <row r="105" ht="13.5" customHeight="1">
      <c r="A105" s="40" t="s">
        <v>7</v>
      </c>
      <c r="B105" s="40"/>
      <c r="C105" s="40">
        <v>563.0</v>
      </c>
      <c r="D105" s="10">
        <f t="shared" ref="D105:J105" si="21">SUM(D99:D104)</f>
        <v>1800</v>
      </c>
      <c r="E105" s="10">
        <f t="shared" si="21"/>
        <v>0</v>
      </c>
      <c r="F105" s="10">
        <f t="shared" si="21"/>
        <v>0</v>
      </c>
      <c r="G105" s="10">
        <f t="shared" si="21"/>
        <v>0</v>
      </c>
      <c r="H105" s="10">
        <f t="shared" si="21"/>
        <v>15560</v>
      </c>
      <c r="I105" s="10">
        <f t="shared" si="21"/>
        <v>0</v>
      </c>
      <c r="J105" s="10">
        <f t="shared" si="21"/>
        <v>830</v>
      </c>
      <c r="K105" s="10">
        <f t="shared" si="20"/>
        <v>18190</v>
      </c>
    </row>
    <row r="106" ht="13.5" customHeight="1">
      <c r="A106" s="14"/>
      <c r="B106" s="14"/>
      <c r="C106" s="14"/>
      <c r="D106" s="14"/>
      <c r="E106" s="14"/>
      <c r="F106" s="14"/>
      <c r="G106" s="15"/>
      <c r="H106" s="15"/>
      <c r="I106" s="15"/>
      <c r="J106" s="10"/>
      <c r="K106" s="10"/>
    </row>
    <row r="107" ht="13.5" customHeight="1">
      <c r="A107" s="45" t="s">
        <v>451</v>
      </c>
    </row>
    <row r="108" ht="13.5" customHeight="1">
      <c r="A108" s="14" t="s">
        <v>25</v>
      </c>
      <c r="B108" s="14" t="s">
        <v>1</v>
      </c>
      <c r="C108" s="14" t="s">
        <v>27</v>
      </c>
      <c r="D108" s="15" t="s">
        <v>2</v>
      </c>
      <c r="E108" s="10" t="s">
        <v>28</v>
      </c>
      <c r="F108" s="16" t="s">
        <v>3</v>
      </c>
      <c r="G108" s="15" t="s">
        <v>4</v>
      </c>
      <c r="H108" s="15" t="s">
        <v>5</v>
      </c>
      <c r="I108" s="15" t="s">
        <v>29</v>
      </c>
      <c r="J108" s="14" t="s">
        <v>30</v>
      </c>
      <c r="K108" s="17" t="s">
        <v>7</v>
      </c>
    </row>
    <row r="109" ht="14.25" customHeight="1">
      <c r="A109" s="18" t="s">
        <v>31</v>
      </c>
      <c r="B109" s="19">
        <v>1.0</v>
      </c>
      <c r="C109" s="20" t="s">
        <v>33</v>
      </c>
      <c r="D109" s="21">
        <v>460.0</v>
      </c>
      <c r="E109" s="10"/>
      <c r="F109" s="10"/>
      <c r="G109" s="32"/>
      <c r="H109" s="21">
        <v>2050.0</v>
      </c>
      <c r="I109" s="21"/>
      <c r="J109" s="21">
        <v>100.0</v>
      </c>
      <c r="K109" s="25">
        <f t="shared" ref="K109:K115" si="22">SUM(D109:J109)</f>
        <v>2610</v>
      </c>
    </row>
    <row r="110" ht="13.5" customHeight="1">
      <c r="A110" s="26" t="s">
        <v>34</v>
      </c>
      <c r="B110" s="27"/>
      <c r="C110" s="28">
        <v>86.0</v>
      </c>
      <c r="D110" s="21">
        <v>450.0</v>
      </c>
      <c r="E110" s="10"/>
      <c r="F110" s="10"/>
      <c r="G110" s="32"/>
      <c r="H110" s="21">
        <v>1570.0</v>
      </c>
      <c r="I110" s="21"/>
      <c r="J110" s="21">
        <v>100.0</v>
      </c>
      <c r="K110" s="25">
        <f t="shared" si="22"/>
        <v>2120</v>
      </c>
    </row>
    <row r="111" ht="13.5" customHeight="1">
      <c r="A111" s="18" t="s">
        <v>35</v>
      </c>
      <c r="B111" s="30">
        <v>2.1</v>
      </c>
      <c r="C111" s="31" t="s">
        <v>36</v>
      </c>
      <c r="D111" s="21"/>
      <c r="E111" s="10"/>
      <c r="F111" s="10"/>
      <c r="G111" s="32"/>
      <c r="H111" s="21"/>
      <c r="I111" s="21"/>
      <c r="J111" s="21"/>
      <c r="K111" s="25">
        <f t="shared" si="22"/>
        <v>0</v>
      </c>
    </row>
    <row r="112" ht="13.5" customHeight="1">
      <c r="A112" s="26" t="s">
        <v>37</v>
      </c>
      <c r="B112" s="33"/>
      <c r="C112" s="34">
        <v>87.0</v>
      </c>
      <c r="D112" s="21"/>
      <c r="E112" s="10"/>
      <c r="F112" s="36"/>
      <c r="G112" s="32"/>
      <c r="H112" s="21"/>
      <c r="I112" s="21"/>
      <c r="J112" s="21"/>
      <c r="K112" s="25">
        <f t="shared" si="22"/>
        <v>0</v>
      </c>
    </row>
    <row r="113" ht="15.0" customHeight="1">
      <c r="A113" s="18" t="s">
        <v>38</v>
      </c>
      <c r="B113" s="19" t="s">
        <v>39</v>
      </c>
      <c r="C113" s="19" t="s">
        <v>40</v>
      </c>
      <c r="D113" s="21">
        <v>460.0</v>
      </c>
      <c r="E113" s="36"/>
      <c r="F113" s="41"/>
      <c r="G113" s="32"/>
      <c r="H113" s="21">
        <v>5310.0</v>
      </c>
      <c r="I113" s="21"/>
      <c r="J113" s="21">
        <v>300.0</v>
      </c>
      <c r="K113" s="25">
        <f t="shared" si="22"/>
        <v>6070</v>
      </c>
    </row>
    <row r="114" ht="13.5" customHeight="1">
      <c r="A114" s="35" t="s">
        <v>41</v>
      </c>
      <c r="B114" s="27"/>
      <c r="C114" s="27"/>
      <c r="D114" s="21">
        <v>460.0</v>
      </c>
      <c r="E114" s="36"/>
      <c r="F114" s="41"/>
      <c r="G114" s="32"/>
      <c r="H114" s="21">
        <v>5270.0</v>
      </c>
      <c r="I114" s="21"/>
      <c r="J114" s="21">
        <v>310.0</v>
      </c>
      <c r="K114" s="25">
        <f t="shared" si="22"/>
        <v>6040</v>
      </c>
    </row>
    <row r="115" ht="13.5" customHeight="1">
      <c r="A115" s="40" t="s">
        <v>7</v>
      </c>
      <c r="B115" s="40"/>
      <c r="C115" s="40">
        <v>563.0</v>
      </c>
      <c r="D115" s="10">
        <f t="shared" ref="D115:J115" si="23">SUM(D109:D114)</f>
        <v>1830</v>
      </c>
      <c r="E115" s="10">
        <f t="shared" si="23"/>
        <v>0</v>
      </c>
      <c r="F115" s="10">
        <f t="shared" si="23"/>
        <v>0</v>
      </c>
      <c r="G115" s="10">
        <f t="shared" si="23"/>
        <v>0</v>
      </c>
      <c r="H115" s="10">
        <f t="shared" si="23"/>
        <v>14200</v>
      </c>
      <c r="I115" s="10">
        <f t="shared" si="23"/>
        <v>0</v>
      </c>
      <c r="J115" s="10">
        <f t="shared" si="23"/>
        <v>810</v>
      </c>
      <c r="K115" s="25">
        <f t="shared" si="22"/>
        <v>16840</v>
      </c>
    </row>
    <row r="116" ht="13.5" customHeight="1">
      <c r="A116" s="13" t="s">
        <v>452</v>
      </c>
    </row>
    <row r="117" ht="13.5" customHeight="1">
      <c r="A117" s="14" t="s">
        <v>25</v>
      </c>
      <c r="B117" s="14" t="s">
        <v>1</v>
      </c>
      <c r="C117" s="14" t="s">
        <v>27</v>
      </c>
      <c r="D117" s="15" t="s">
        <v>2</v>
      </c>
      <c r="E117" s="10" t="s">
        <v>28</v>
      </c>
      <c r="F117" s="16" t="s">
        <v>3</v>
      </c>
      <c r="G117" s="15" t="s">
        <v>4</v>
      </c>
      <c r="H117" s="15" t="s">
        <v>5</v>
      </c>
      <c r="I117" s="15" t="s">
        <v>29</v>
      </c>
      <c r="J117" s="14" t="s">
        <v>30</v>
      </c>
      <c r="K117" s="17" t="s">
        <v>7</v>
      </c>
    </row>
    <row r="118" ht="14.25" customHeight="1">
      <c r="A118" s="18" t="s">
        <v>31</v>
      </c>
      <c r="B118" s="19">
        <v>1.0</v>
      </c>
      <c r="C118" s="20" t="s">
        <v>33</v>
      </c>
      <c r="D118" s="21">
        <v>470.0</v>
      </c>
      <c r="E118" s="10"/>
      <c r="F118" s="36"/>
      <c r="G118" s="32"/>
      <c r="H118" s="21">
        <v>1950.0</v>
      </c>
      <c r="I118" s="21"/>
      <c r="J118" s="21">
        <v>110.0</v>
      </c>
      <c r="K118" s="25">
        <f t="shared" ref="K118:K124" si="24">SUM(D118:J118)</f>
        <v>2530</v>
      </c>
    </row>
    <row r="119" ht="13.5" customHeight="1">
      <c r="A119" s="26" t="s">
        <v>34</v>
      </c>
      <c r="B119" s="27"/>
      <c r="C119" s="28">
        <v>86.0</v>
      </c>
      <c r="D119" s="21">
        <v>450.0</v>
      </c>
      <c r="E119" s="10"/>
      <c r="F119" s="36"/>
      <c r="G119" s="32"/>
      <c r="H119" s="21">
        <v>1790.0</v>
      </c>
      <c r="I119" s="21"/>
      <c r="J119" s="21">
        <v>110.0</v>
      </c>
      <c r="K119" s="25">
        <f t="shared" si="24"/>
        <v>2350</v>
      </c>
    </row>
    <row r="120" ht="13.5" customHeight="1">
      <c r="A120" s="18" t="s">
        <v>35</v>
      </c>
      <c r="B120" s="30">
        <v>2.1</v>
      </c>
      <c r="C120" s="31" t="s">
        <v>36</v>
      </c>
      <c r="D120" s="21"/>
      <c r="E120" s="10"/>
      <c r="F120" s="36"/>
      <c r="G120" s="32"/>
      <c r="H120" s="21"/>
      <c r="I120" s="21"/>
      <c r="J120" s="21"/>
      <c r="K120" s="25">
        <f t="shared" si="24"/>
        <v>0</v>
      </c>
    </row>
    <row r="121" ht="13.5" customHeight="1">
      <c r="A121" s="26" t="s">
        <v>37</v>
      </c>
      <c r="B121" s="33"/>
      <c r="C121" s="34">
        <v>87.0</v>
      </c>
      <c r="D121" s="21"/>
      <c r="E121" s="10"/>
      <c r="F121" s="36"/>
      <c r="G121" s="32"/>
      <c r="H121" s="21"/>
      <c r="I121" s="21"/>
      <c r="J121" s="21"/>
      <c r="K121" s="25">
        <f t="shared" si="24"/>
        <v>0</v>
      </c>
    </row>
    <row r="122" ht="15.0" customHeight="1">
      <c r="A122" s="18" t="s">
        <v>38</v>
      </c>
      <c r="B122" s="19" t="s">
        <v>39</v>
      </c>
      <c r="C122" s="19" t="s">
        <v>40</v>
      </c>
      <c r="D122" s="21">
        <v>470.0</v>
      </c>
      <c r="E122" s="36"/>
      <c r="F122" s="41"/>
      <c r="G122" s="44"/>
      <c r="H122" s="44">
        <v>5280.0</v>
      </c>
      <c r="I122" s="23"/>
      <c r="J122" s="23">
        <v>330.0</v>
      </c>
      <c r="K122" s="25">
        <f t="shared" si="24"/>
        <v>6080</v>
      </c>
    </row>
    <row r="123" ht="13.5" customHeight="1">
      <c r="A123" s="35" t="s">
        <v>41</v>
      </c>
      <c r="B123" s="27"/>
      <c r="C123" s="27"/>
      <c r="D123" s="21">
        <v>460.0</v>
      </c>
      <c r="E123" s="36"/>
      <c r="F123" s="37"/>
      <c r="G123" s="38"/>
      <c r="H123" s="21">
        <v>5580.0</v>
      </c>
      <c r="I123" s="29"/>
      <c r="J123" s="39">
        <v>320.0</v>
      </c>
      <c r="K123" s="25">
        <f t="shared" si="24"/>
        <v>6360</v>
      </c>
    </row>
    <row r="124" ht="13.5" customHeight="1">
      <c r="A124" s="40" t="s">
        <v>7</v>
      </c>
      <c r="B124" s="40"/>
      <c r="C124" s="40">
        <v>563.0</v>
      </c>
      <c r="D124" s="10">
        <f t="shared" ref="D124:I124" si="25">SUM(D118:D123)</f>
        <v>1850</v>
      </c>
      <c r="E124" s="10">
        <f t="shared" si="25"/>
        <v>0</v>
      </c>
      <c r="F124" s="10">
        <f t="shared" si="25"/>
        <v>0</v>
      </c>
      <c r="G124" s="10">
        <f t="shared" si="25"/>
        <v>0</v>
      </c>
      <c r="H124" s="10">
        <f t="shared" si="25"/>
        <v>14600</v>
      </c>
      <c r="I124" s="10">
        <f t="shared" si="25"/>
        <v>0</v>
      </c>
      <c r="J124" s="10">
        <v>310.0</v>
      </c>
      <c r="K124" s="25">
        <f t="shared" si="24"/>
        <v>16760</v>
      </c>
    </row>
    <row r="125" ht="13.5" customHeight="1">
      <c r="A125" s="13" t="s">
        <v>453</v>
      </c>
    </row>
    <row r="126" ht="13.5" customHeight="1">
      <c r="A126" s="14" t="s">
        <v>25</v>
      </c>
      <c r="B126" s="14" t="s">
        <v>1</v>
      </c>
      <c r="C126" s="14" t="s">
        <v>27</v>
      </c>
      <c r="D126" s="15" t="s">
        <v>2</v>
      </c>
      <c r="E126" s="10" t="s">
        <v>28</v>
      </c>
      <c r="F126" s="16" t="s">
        <v>3</v>
      </c>
      <c r="G126" s="15" t="s">
        <v>4</v>
      </c>
      <c r="H126" s="15" t="s">
        <v>5</v>
      </c>
      <c r="I126" s="15" t="s">
        <v>29</v>
      </c>
      <c r="J126" s="14" t="s">
        <v>30</v>
      </c>
      <c r="K126" s="17" t="s">
        <v>7</v>
      </c>
    </row>
    <row r="127" ht="13.5" customHeight="1">
      <c r="A127" s="18" t="s">
        <v>31</v>
      </c>
      <c r="B127" s="19">
        <v>1.0</v>
      </c>
      <c r="C127" s="20" t="s">
        <v>33</v>
      </c>
      <c r="D127" s="21">
        <v>460.0</v>
      </c>
      <c r="E127" s="10"/>
      <c r="F127" s="36"/>
      <c r="G127" s="32"/>
      <c r="H127" s="21">
        <v>1880.0</v>
      </c>
      <c r="I127" s="21"/>
      <c r="J127" s="21">
        <v>110.0</v>
      </c>
      <c r="K127" s="25">
        <f t="shared" ref="K127:K133" si="26">SUM(D127:J127)</f>
        <v>2450</v>
      </c>
    </row>
    <row r="128" ht="13.5" customHeight="1">
      <c r="A128" s="26" t="s">
        <v>34</v>
      </c>
      <c r="B128" s="27"/>
      <c r="C128" s="28">
        <v>86.0</v>
      </c>
      <c r="D128" s="21">
        <v>450.0</v>
      </c>
      <c r="E128" s="10"/>
      <c r="F128" s="36"/>
      <c r="G128" s="32"/>
      <c r="H128" s="21">
        <v>1770.0</v>
      </c>
      <c r="I128" s="21"/>
      <c r="J128" s="21">
        <v>80.0</v>
      </c>
      <c r="K128" s="25">
        <f t="shared" si="26"/>
        <v>2300</v>
      </c>
    </row>
    <row r="129" ht="13.5" customHeight="1">
      <c r="A129" s="18" t="s">
        <v>35</v>
      </c>
      <c r="B129" s="30">
        <v>2.1</v>
      </c>
      <c r="C129" s="31" t="s">
        <v>36</v>
      </c>
      <c r="D129" s="21"/>
      <c r="E129" s="10"/>
      <c r="F129" s="36"/>
      <c r="G129" s="32"/>
      <c r="H129" s="21"/>
      <c r="I129" s="21"/>
      <c r="J129" s="21"/>
      <c r="K129" s="25">
        <f t="shared" si="26"/>
        <v>0</v>
      </c>
    </row>
    <row r="130" ht="13.5" customHeight="1">
      <c r="A130" s="26" t="s">
        <v>37</v>
      </c>
      <c r="B130" s="33"/>
      <c r="C130" s="34">
        <v>87.0</v>
      </c>
      <c r="D130" s="21"/>
      <c r="E130" s="10"/>
      <c r="F130" s="36"/>
      <c r="G130" s="32"/>
      <c r="H130" s="21"/>
      <c r="I130" s="21"/>
      <c r="J130" s="21"/>
      <c r="K130" s="25">
        <f t="shared" si="26"/>
        <v>0</v>
      </c>
    </row>
    <row r="131" ht="15.0" customHeight="1">
      <c r="A131" s="18" t="s">
        <v>38</v>
      </c>
      <c r="B131" s="19" t="s">
        <v>39</v>
      </c>
      <c r="C131" s="19" t="s">
        <v>40</v>
      </c>
      <c r="D131" s="21">
        <v>450.0</v>
      </c>
      <c r="E131" s="36"/>
      <c r="F131" s="41"/>
      <c r="G131" s="44"/>
      <c r="H131" s="44">
        <v>5700.0</v>
      </c>
      <c r="I131" s="23"/>
      <c r="J131" s="23">
        <v>330.0</v>
      </c>
      <c r="K131" s="25">
        <f t="shared" si="26"/>
        <v>6480</v>
      </c>
    </row>
    <row r="132" ht="13.5" customHeight="1">
      <c r="A132" s="35" t="s">
        <v>41</v>
      </c>
      <c r="B132" s="27"/>
      <c r="C132" s="27"/>
      <c r="D132" s="21">
        <v>450.0</v>
      </c>
      <c r="E132" s="36"/>
      <c r="F132" s="37"/>
      <c r="G132" s="38"/>
      <c r="H132" s="21">
        <v>4720.0</v>
      </c>
      <c r="I132" s="29"/>
      <c r="J132" s="39">
        <v>300.0</v>
      </c>
      <c r="K132" s="25">
        <f t="shared" si="26"/>
        <v>5470</v>
      </c>
    </row>
    <row r="133" ht="13.5" customHeight="1">
      <c r="A133" s="40" t="s">
        <v>7</v>
      </c>
      <c r="B133" s="40"/>
      <c r="C133" s="40">
        <v>563.0</v>
      </c>
      <c r="D133" s="10">
        <f t="shared" ref="D133:J133" si="27">SUM(D127:D132)</f>
        <v>1810</v>
      </c>
      <c r="E133" s="10">
        <f t="shared" si="27"/>
        <v>0</v>
      </c>
      <c r="F133" s="10">
        <f t="shared" si="27"/>
        <v>0</v>
      </c>
      <c r="G133" s="10">
        <f t="shared" si="27"/>
        <v>0</v>
      </c>
      <c r="H133" s="10">
        <f t="shared" si="27"/>
        <v>14070</v>
      </c>
      <c r="I133" s="10">
        <f t="shared" si="27"/>
        <v>0</v>
      </c>
      <c r="J133" s="10">
        <f t="shared" si="27"/>
        <v>820</v>
      </c>
      <c r="K133" s="25">
        <f t="shared" si="26"/>
        <v>16700</v>
      </c>
    </row>
    <row r="134" ht="13.5" customHeight="1">
      <c r="A134" s="46" t="s">
        <v>454</v>
      </c>
    </row>
    <row r="135" ht="13.5" customHeight="1">
      <c r="A135" s="14" t="s">
        <v>25</v>
      </c>
      <c r="B135" s="14" t="s">
        <v>1</v>
      </c>
      <c r="C135" s="14" t="s">
        <v>422</v>
      </c>
      <c r="D135" s="15" t="s">
        <v>2</v>
      </c>
      <c r="E135" s="10" t="s">
        <v>28</v>
      </c>
      <c r="F135" s="16" t="s">
        <v>3</v>
      </c>
      <c r="G135" s="15" t="s">
        <v>4</v>
      </c>
      <c r="H135" s="15" t="s">
        <v>5</v>
      </c>
      <c r="I135" s="15" t="s">
        <v>29</v>
      </c>
      <c r="J135" s="14" t="s">
        <v>30</v>
      </c>
      <c r="K135" s="17" t="s">
        <v>7</v>
      </c>
    </row>
    <row r="136" ht="13.5" customHeight="1">
      <c r="A136" s="18" t="s">
        <v>31</v>
      </c>
      <c r="B136" s="19">
        <v>1.0</v>
      </c>
      <c r="C136" s="20" t="s">
        <v>33</v>
      </c>
      <c r="D136" s="21">
        <v>460.0</v>
      </c>
      <c r="E136" s="36"/>
      <c r="F136" s="36"/>
      <c r="G136" s="32"/>
      <c r="H136" s="21">
        <v>1980.0</v>
      </c>
      <c r="I136" s="21"/>
      <c r="J136" s="21">
        <v>120.0</v>
      </c>
      <c r="K136" s="25">
        <f>SUM(D136:J136)</f>
        <v>2560</v>
      </c>
    </row>
    <row r="137" ht="13.5" customHeight="1">
      <c r="A137" s="26" t="s">
        <v>34</v>
      </c>
      <c r="B137" s="27"/>
      <c r="C137" s="28">
        <v>86.0</v>
      </c>
      <c r="D137" s="21">
        <v>440.0</v>
      </c>
      <c r="E137" s="36"/>
      <c r="F137" s="36"/>
      <c r="G137" s="32"/>
      <c r="H137" s="21">
        <v>1850.0</v>
      </c>
      <c r="I137" s="21"/>
      <c r="J137" s="21">
        <v>110.0</v>
      </c>
      <c r="K137" s="25">
        <v>1200.0</v>
      </c>
    </row>
    <row r="138" ht="13.5" customHeight="1">
      <c r="A138" s="18" t="s">
        <v>35</v>
      </c>
      <c r="B138" s="30">
        <v>2.1</v>
      </c>
      <c r="C138" s="31" t="s">
        <v>36</v>
      </c>
      <c r="D138" s="21"/>
      <c r="E138" s="36"/>
      <c r="F138" s="36"/>
      <c r="G138" s="32"/>
      <c r="H138" s="21"/>
      <c r="I138" s="21"/>
      <c r="J138" s="21"/>
      <c r="K138" s="25">
        <f t="shared" ref="K138:K141" si="28">SUM(D138:J138)</f>
        <v>0</v>
      </c>
    </row>
    <row r="139" ht="13.5" customHeight="1">
      <c r="A139" s="26" t="s">
        <v>37</v>
      </c>
      <c r="B139" s="33"/>
      <c r="C139" s="34">
        <v>87.0</v>
      </c>
      <c r="D139" s="21"/>
      <c r="E139" s="36"/>
      <c r="F139" s="36"/>
      <c r="G139" s="32"/>
      <c r="H139" s="21"/>
      <c r="I139" s="21"/>
      <c r="J139" s="21"/>
      <c r="K139" s="25">
        <f t="shared" si="28"/>
        <v>0</v>
      </c>
    </row>
    <row r="140" ht="15.0" customHeight="1">
      <c r="A140" s="18" t="s">
        <v>38</v>
      </c>
      <c r="B140" s="19" t="s">
        <v>39</v>
      </c>
      <c r="C140" s="19" t="s">
        <v>40</v>
      </c>
      <c r="D140" s="44">
        <v>440.0</v>
      </c>
      <c r="E140" s="41"/>
      <c r="F140" s="41"/>
      <c r="G140" s="44"/>
      <c r="H140" s="44">
        <v>5450.0</v>
      </c>
      <c r="I140" s="23"/>
      <c r="J140" s="24">
        <v>290.0</v>
      </c>
      <c r="K140" s="25">
        <f t="shared" si="28"/>
        <v>6180</v>
      </c>
      <c r="L140" s="47"/>
      <c r="M140" s="12"/>
    </row>
    <row r="141" ht="13.5" customHeight="1">
      <c r="A141" s="35" t="s">
        <v>41</v>
      </c>
      <c r="B141" s="27"/>
      <c r="C141" s="27"/>
      <c r="D141" s="21">
        <v>450.0</v>
      </c>
      <c r="E141" s="36"/>
      <c r="F141" s="36"/>
      <c r="G141" s="21"/>
      <c r="H141" s="21">
        <v>5220.0</v>
      </c>
      <c r="I141" s="29"/>
      <c r="J141" s="39">
        <v>330.0</v>
      </c>
      <c r="K141" s="25">
        <f t="shared" si="28"/>
        <v>6000</v>
      </c>
    </row>
    <row r="142" ht="13.5" customHeight="1">
      <c r="A142" s="40" t="s">
        <v>7</v>
      </c>
      <c r="B142" s="40"/>
      <c r="C142" s="40">
        <v>563.0</v>
      </c>
      <c r="D142" s="10">
        <f t="shared" ref="D142:K142" si="29">SUM(D136:D141)</f>
        <v>1790</v>
      </c>
      <c r="E142" s="10">
        <f t="shared" si="29"/>
        <v>0</v>
      </c>
      <c r="F142" s="10">
        <f t="shared" si="29"/>
        <v>0</v>
      </c>
      <c r="G142" s="10">
        <f t="shared" si="29"/>
        <v>0</v>
      </c>
      <c r="H142" s="10">
        <f t="shared" si="29"/>
        <v>14500</v>
      </c>
      <c r="I142" s="10">
        <f t="shared" si="29"/>
        <v>0</v>
      </c>
      <c r="J142" s="10">
        <f t="shared" si="29"/>
        <v>850</v>
      </c>
      <c r="K142" s="25">
        <f t="shared" si="29"/>
        <v>15940</v>
      </c>
    </row>
    <row r="143" ht="13.5" customHeight="1">
      <c r="A143" s="48" t="s">
        <v>455</v>
      </c>
    </row>
    <row r="144" ht="13.5" customHeight="1">
      <c r="A144" s="14" t="s">
        <v>25</v>
      </c>
      <c r="B144" s="14" t="s">
        <v>1</v>
      </c>
      <c r="C144" s="14" t="s">
        <v>27</v>
      </c>
      <c r="D144" s="15" t="s">
        <v>2</v>
      </c>
      <c r="E144" s="10" t="s">
        <v>28</v>
      </c>
      <c r="F144" s="16" t="s">
        <v>3</v>
      </c>
      <c r="G144" s="15" t="s">
        <v>4</v>
      </c>
      <c r="H144" s="15" t="s">
        <v>5</v>
      </c>
      <c r="I144" s="15" t="s">
        <v>29</v>
      </c>
      <c r="J144" s="14" t="s">
        <v>30</v>
      </c>
      <c r="K144" s="17" t="s">
        <v>7</v>
      </c>
    </row>
    <row r="145" ht="15.0" customHeight="1">
      <c r="A145" s="18" t="s">
        <v>31</v>
      </c>
      <c r="B145" s="19">
        <v>1.0</v>
      </c>
      <c r="C145" s="20" t="s">
        <v>33</v>
      </c>
      <c r="D145" s="21">
        <v>450.0</v>
      </c>
      <c r="E145" s="36"/>
      <c r="F145" s="36"/>
      <c r="G145" s="32"/>
      <c r="H145" s="21">
        <v>1780.0</v>
      </c>
      <c r="I145" s="23"/>
      <c r="J145" s="24">
        <v>130.0</v>
      </c>
      <c r="K145" s="25">
        <f t="shared" ref="K145:K151" si="30">SUM(D145:J145)</f>
        <v>2360</v>
      </c>
    </row>
    <row r="146" ht="13.5" customHeight="1">
      <c r="A146" s="26" t="s">
        <v>34</v>
      </c>
      <c r="B146" s="27"/>
      <c r="C146" s="28">
        <v>86.0</v>
      </c>
      <c r="D146" s="21">
        <v>450.0</v>
      </c>
      <c r="E146" s="36"/>
      <c r="F146" s="36"/>
      <c r="G146" s="32"/>
      <c r="H146" s="21">
        <v>1890.0</v>
      </c>
      <c r="I146" s="21"/>
      <c r="J146" s="29">
        <v>110.0</v>
      </c>
      <c r="K146" s="25">
        <f t="shared" si="30"/>
        <v>2450</v>
      </c>
    </row>
    <row r="147" ht="13.5" customHeight="1">
      <c r="A147" s="18" t="s">
        <v>35</v>
      </c>
      <c r="B147" s="30">
        <v>2.1</v>
      </c>
      <c r="C147" s="31" t="s">
        <v>36</v>
      </c>
      <c r="D147" s="21"/>
      <c r="E147" s="36"/>
      <c r="F147" s="41"/>
      <c r="G147" s="32"/>
      <c r="H147" s="21"/>
      <c r="I147" s="21"/>
      <c r="J147" s="24"/>
      <c r="K147" s="25">
        <f t="shared" si="30"/>
        <v>0</v>
      </c>
    </row>
    <row r="148" ht="13.5" customHeight="1">
      <c r="A148" s="26" t="s">
        <v>37</v>
      </c>
      <c r="B148" s="33"/>
      <c r="C148" s="34">
        <v>87.0</v>
      </c>
      <c r="D148" s="21"/>
      <c r="E148" s="21"/>
      <c r="F148" s="21"/>
      <c r="G148" s="21"/>
      <c r="H148" s="21"/>
      <c r="I148" s="21"/>
      <c r="J148" s="21"/>
      <c r="K148" s="25">
        <f t="shared" si="30"/>
        <v>0</v>
      </c>
    </row>
    <row r="149" ht="14.25" customHeight="1">
      <c r="A149" s="18" t="s">
        <v>38</v>
      </c>
      <c r="B149" s="19" t="s">
        <v>39</v>
      </c>
      <c r="C149" s="19" t="s">
        <v>40</v>
      </c>
      <c r="D149" s="21">
        <v>450.0</v>
      </c>
      <c r="E149" s="36"/>
      <c r="F149" s="41"/>
      <c r="G149" s="32"/>
      <c r="H149" s="21">
        <v>5640.0</v>
      </c>
      <c r="I149" s="21"/>
      <c r="J149" s="24">
        <v>290.0</v>
      </c>
      <c r="K149" s="25">
        <f t="shared" si="30"/>
        <v>6380</v>
      </c>
      <c r="L149" s="47"/>
      <c r="M149" s="12"/>
    </row>
    <row r="150" ht="13.5" customHeight="1">
      <c r="A150" s="35" t="s">
        <v>41</v>
      </c>
      <c r="B150" s="27"/>
      <c r="C150" s="27"/>
      <c r="D150" s="21">
        <v>440.0</v>
      </c>
      <c r="E150" s="21"/>
      <c r="F150" s="21"/>
      <c r="G150" s="21"/>
      <c r="H150" s="21">
        <v>5010.0</v>
      </c>
      <c r="I150" s="21"/>
      <c r="J150" s="21">
        <v>300.0</v>
      </c>
      <c r="K150" s="25">
        <f t="shared" si="30"/>
        <v>5750</v>
      </c>
    </row>
    <row r="151" ht="13.5" customHeight="1">
      <c r="A151" s="40" t="s">
        <v>7</v>
      </c>
      <c r="B151" s="40"/>
      <c r="C151" s="40">
        <v>563.0</v>
      </c>
      <c r="D151" s="10">
        <f t="shared" ref="D151:J151" si="31">SUM(D145:D150)</f>
        <v>1790</v>
      </c>
      <c r="E151" s="10">
        <f t="shared" si="31"/>
        <v>0</v>
      </c>
      <c r="F151" s="10">
        <f t="shared" si="31"/>
        <v>0</v>
      </c>
      <c r="G151" s="10">
        <f t="shared" si="31"/>
        <v>0</v>
      </c>
      <c r="H151" s="10">
        <f t="shared" si="31"/>
        <v>14320</v>
      </c>
      <c r="I151" s="10">
        <f t="shared" si="31"/>
        <v>0</v>
      </c>
      <c r="J151" s="10">
        <f t="shared" si="31"/>
        <v>830</v>
      </c>
      <c r="K151" s="25">
        <f t="shared" si="30"/>
        <v>16940</v>
      </c>
    </row>
    <row r="152" ht="13.5" customHeight="1">
      <c r="A152" s="48"/>
    </row>
    <row r="153" ht="13.5" customHeight="1">
      <c r="A153" s="14" t="s">
        <v>25</v>
      </c>
      <c r="B153" s="14" t="s">
        <v>1</v>
      </c>
      <c r="C153" s="14" t="s">
        <v>27</v>
      </c>
      <c r="D153" s="15" t="s">
        <v>2</v>
      </c>
      <c r="E153" s="10" t="s">
        <v>28</v>
      </c>
      <c r="F153" s="16" t="s">
        <v>3</v>
      </c>
      <c r="G153" s="15" t="s">
        <v>4</v>
      </c>
      <c r="H153" s="15" t="s">
        <v>5</v>
      </c>
      <c r="I153" s="15" t="s">
        <v>29</v>
      </c>
      <c r="J153" s="14" t="s">
        <v>30</v>
      </c>
      <c r="K153" s="17" t="s">
        <v>7</v>
      </c>
      <c r="L153" s="49"/>
      <c r="M153" s="70"/>
    </row>
    <row r="154" ht="13.5" customHeight="1">
      <c r="A154" s="18" t="s">
        <v>31</v>
      </c>
      <c r="B154" s="19" t="s">
        <v>456</v>
      </c>
      <c r="C154" s="20" t="s">
        <v>33</v>
      </c>
      <c r="D154" s="21">
        <v>470.0</v>
      </c>
      <c r="E154" s="36"/>
      <c r="F154" s="36"/>
      <c r="G154" s="32"/>
      <c r="H154" s="21">
        <v>1690.0</v>
      </c>
      <c r="I154" s="21"/>
      <c r="J154" s="21">
        <v>110.0</v>
      </c>
      <c r="K154" s="25">
        <f t="shared" ref="K154:K160" si="32">SUM(D154:J154)</f>
        <v>2270</v>
      </c>
    </row>
    <row r="155" ht="13.5" customHeight="1">
      <c r="A155" s="26" t="s">
        <v>34</v>
      </c>
      <c r="B155" s="27"/>
      <c r="C155" s="28">
        <v>273.0</v>
      </c>
      <c r="D155" s="21">
        <v>470.0</v>
      </c>
      <c r="E155" s="36"/>
      <c r="F155" s="36"/>
      <c r="G155" s="32"/>
      <c r="H155" s="21">
        <v>1900.0</v>
      </c>
      <c r="I155" s="21"/>
      <c r="J155" s="21">
        <v>110.0</v>
      </c>
      <c r="K155" s="25">
        <f t="shared" si="32"/>
        <v>2480</v>
      </c>
    </row>
    <row r="156" ht="13.5" customHeight="1">
      <c r="A156" s="18" t="s">
        <v>35</v>
      </c>
      <c r="B156" s="30">
        <v>2.1</v>
      </c>
      <c r="C156" s="31" t="s">
        <v>36</v>
      </c>
      <c r="D156" s="21"/>
      <c r="E156" s="36"/>
      <c r="F156" s="36"/>
      <c r="G156" s="32"/>
      <c r="H156" s="21"/>
      <c r="I156" s="21"/>
      <c r="J156" s="21"/>
      <c r="K156" s="25">
        <f t="shared" si="32"/>
        <v>0</v>
      </c>
    </row>
    <row r="157" ht="13.5" customHeight="1">
      <c r="A157" s="26" t="s">
        <v>37</v>
      </c>
      <c r="B157" s="33"/>
      <c r="C157" s="34">
        <v>87.0</v>
      </c>
      <c r="D157" s="21"/>
      <c r="E157" s="36"/>
      <c r="F157" s="36"/>
      <c r="G157" s="32"/>
      <c r="H157" s="21"/>
      <c r="I157" s="21"/>
      <c r="J157" s="21"/>
      <c r="K157" s="25">
        <f t="shared" si="32"/>
        <v>0</v>
      </c>
    </row>
    <row r="158" ht="14.25" customHeight="1">
      <c r="A158" s="18" t="s">
        <v>38</v>
      </c>
      <c r="B158" s="19" t="s">
        <v>39</v>
      </c>
      <c r="C158" s="19" t="s">
        <v>40</v>
      </c>
      <c r="D158" s="21">
        <v>450.0</v>
      </c>
      <c r="E158" s="36"/>
      <c r="F158" s="36"/>
      <c r="G158" s="21"/>
      <c r="H158" s="21">
        <v>5420.0</v>
      </c>
      <c r="I158" s="21"/>
      <c r="J158" s="21">
        <v>300.0</v>
      </c>
      <c r="K158" s="25">
        <f t="shared" si="32"/>
        <v>6170</v>
      </c>
      <c r="L158" s="47"/>
      <c r="M158" s="12"/>
    </row>
    <row r="159" ht="13.5" customHeight="1">
      <c r="A159" s="35" t="s">
        <v>41</v>
      </c>
      <c r="B159" s="27"/>
      <c r="C159" s="27"/>
      <c r="D159" s="21">
        <v>460.0</v>
      </c>
      <c r="E159" s="21"/>
      <c r="F159" s="21"/>
      <c r="G159" s="21"/>
      <c r="H159" s="21">
        <v>5390.0</v>
      </c>
      <c r="I159" s="21"/>
      <c r="J159" s="21">
        <v>310.0</v>
      </c>
      <c r="K159" s="25">
        <f t="shared" si="32"/>
        <v>6160</v>
      </c>
    </row>
    <row r="160" ht="13.5" customHeight="1">
      <c r="A160" s="40" t="s">
        <v>7</v>
      </c>
      <c r="B160" s="40"/>
      <c r="C160" s="40"/>
      <c r="D160" s="10">
        <f t="shared" ref="D160:J160" si="33">SUM(D154:D159)</f>
        <v>1850</v>
      </c>
      <c r="E160" s="10">
        <f t="shared" si="33"/>
        <v>0</v>
      </c>
      <c r="F160" s="10">
        <f t="shared" si="33"/>
        <v>0</v>
      </c>
      <c r="G160" s="10">
        <f t="shared" si="33"/>
        <v>0</v>
      </c>
      <c r="H160" s="10">
        <f t="shared" si="33"/>
        <v>14400</v>
      </c>
      <c r="I160" s="10">
        <f t="shared" si="33"/>
        <v>0</v>
      </c>
      <c r="J160" s="10">
        <f t="shared" si="33"/>
        <v>830</v>
      </c>
      <c r="K160" s="25">
        <f t="shared" si="32"/>
        <v>17080</v>
      </c>
    </row>
    <row r="161" ht="13.5" customHeight="1">
      <c r="A161" s="48" t="s">
        <v>457</v>
      </c>
    </row>
    <row r="162" ht="13.5" customHeight="1">
      <c r="A162" s="14" t="s">
        <v>25</v>
      </c>
      <c r="B162" s="14" t="s">
        <v>1</v>
      </c>
      <c r="C162" s="14" t="s">
        <v>27</v>
      </c>
      <c r="D162" s="15" t="s">
        <v>2</v>
      </c>
      <c r="E162" s="10" t="s">
        <v>28</v>
      </c>
      <c r="F162" s="16" t="s">
        <v>3</v>
      </c>
      <c r="G162" s="15" t="s">
        <v>4</v>
      </c>
      <c r="H162" s="15" t="s">
        <v>5</v>
      </c>
      <c r="I162" s="15" t="s">
        <v>29</v>
      </c>
      <c r="J162" s="14" t="s">
        <v>30</v>
      </c>
      <c r="K162" s="17" t="s">
        <v>7</v>
      </c>
    </row>
    <row r="163" ht="13.5" customHeight="1">
      <c r="A163" s="18" t="s">
        <v>31</v>
      </c>
      <c r="B163" s="19" t="s">
        <v>456</v>
      </c>
      <c r="C163" s="20" t="s">
        <v>33</v>
      </c>
      <c r="D163" s="21">
        <v>450.0</v>
      </c>
      <c r="E163" s="36"/>
      <c r="F163" s="36"/>
      <c r="G163" s="32"/>
      <c r="H163" s="21">
        <v>1820.0</v>
      </c>
      <c r="I163" s="21"/>
      <c r="J163" s="24">
        <v>110.0</v>
      </c>
      <c r="K163" s="25">
        <f t="shared" ref="K163:K169" si="34">SUM(D163:J163)</f>
        <v>2380</v>
      </c>
    </row>
    <row r="164" ht="13.5" customHeight="1">
      <c r="A164" s="26" t="s">
        <v>34</v>
      </c>
      <c r="B164" s="27"/>
      <c r="C164" s="28"/>
      <c r="D164" s="21">
        <v>440.0</v>
      </c>
      <c r="E164" s="36"/>
      <c r="F164" s="36"/>
      <c r="G164" s="32"/>
      <c r="H164" s="21">
        <v>1650.0</v>
      </c>
      <c r="I164" s="21"/>
      <c r="J164" s="29">
        <v>110.0</v>
      </c>
      <c r="K164" s="25">
        <f t="shared" si="34"/>
        <v>2200</v>
      </c>
    </row>
    <row r="165" ht="13.5" customHeight="1">
      <c r="A165" s="18" t="s">
        <v>35</v>
      </c>
      <c r="B165" s="30">
        <v>2.1</v>
      </c>
      <c r="C165" s="31" t="s">
        <v>36</v>
      </c>
      <c r="D165" s="21"/>
      <c r="E165" s="36"/>
      <c r="F165" s="36"/>
      <c r="G165" s="32"/>
      <c r="H165" s="21"/>
      <c r="I165" s="21"/>
      <c r="J165" s="24"/>
      <c r="K165" s="25">
        <f t="shared" si="34"/>
        <v>0</v>
      </c>
    </row>
    <row r="166" ht="13.5" customHeight="1">
      <c r="A166" s="26" t="s">
        <v>37</v>
      </c>
      <c r="B166" s="33"/>
      <c r="C166" s="34">
        <v>87.0</v>
      </c>
      <c r="D166" s="21"/>
      <c r="E166" s="36"/>
      <c r="F166" s="36"/>
      <c r="G166" s="21"/>
      <c r="H166" s="21"/>
      <c r="I166" s="21"/>
      <c r="J166" s="29"/>
      <c r="K166" s="25">
        <f t="shared" si="34"/>
        <v>0</v>
      </c>
    </row>
    <row r="167" ht="14.25" customHeight="1">
      <c r="A167" s="18" t="s">
        <v>38</v>
      </c>
      <c r="B167" s="19" t="s">
        <v>39</v>
      </c>
      <c r="C167" s="19" t="s">
        <v>40</v>
      </c>
      <c r="D167" s="21">
        <v>450.0</v>
      </c>
      <c r="E167" s="36"/>
      <c r="F167" s="36"/>
      <c r="G167" s="21"/>
      <c r="H167" s="21">
        <v>5450.0</v>
      </c>
      <c r="I167" s="21"/>
      <c r="J167" s="21">
        <v>330.0</v>
      </c>
      <c r="K167" s="25">
        <f t="shared" si="34"/>
        <v>6230</v>
      </c>
      <c r="L167" s="47"/>
      <c r="M167" s="12"/>
    </row>
    <row r="168" ht="13.5" customHeight="1">
      <c r="A168" s="35" t="s">
        <v>41</v>
      </c>
      <c r="B168" s="27"/>
      <c r="C168" s="27"/>
      <c r="D168" s="21">
        <v>440.0</v>
      </c>
      <c r="E168" s="21"/>
      <c r="F168" s="21"/>
      <c r="G168" s="21"/>
      <c r="H168" s="21">
        <v>5290.0</v>
      </c>
      <c r="I168" s="21"/>
      <c r="J168" s="21">
        <v>300.0</v>
      </c>
      <c r="K168" s="25">
        <f t="shared" si="34"/>
        <v>6030</v>
      </c>
    </row>
    <row r="169" ht="13.5" customHeight="1">
      <c r="A169" s="40" t="s">
        <v>7</v>
      </c>
      <c r="B169" s="40"/>
      <c r="C169" s="40"/>
      <c r="D169" s="10">
        <f t="shared" ref="D169:J169" si="35">SUM(D163:D168)</f>
        <v>1780</v>
      </c>
      <c r="E169" s="10">
        <f t="shared" si="35"/>
        <v>0</v>
      </c>
      <c r="F169" s="10">
        <f t="shared" si="35"/>
        <v>0</v>
      </c>
      <c r="G169" s="10">
        <f t="shared" si="35"/>
        <v>0</v>
      </c>
      <c r="H169" s="10">
        <f t="shared" si="35"/>
        <v>14210</v>
      </c>
      <c r="I169" s="10">
        <f t="shared" si="35"/>
        <v>0</v>
      </c>
      <c r="J169" s="10">
        <f t="shared" si="35"/>
        <v>850</v>
      </c>
      <c r="K169" s="25">
        <f t="shared" si="34"/>
        <v>16840</v>
      </c>
    </row>
    <row r="170" ht="13.5" customHeight="1">
      <c r="A170" s="48" t="s">
        <v>458</v>
      </c>
    </row>
    <row r="171" ht="13.5" customHeight="1">
      <c r="A171" s="14"/>
      <c r="B171" s="14" t="s">
        <v>1</v>
      </c>
      <c r="C171" s="14" t="s">
        <v>27</v>
      </c>
      <c r="D171" s="15" t="s">
        <v>2</v>
      </c>
      <c r="E171" s="10" t="s">
        <v>28</v>
      </c>
      <c r="F171" s="16" t="s">
        <v>3</v>
      </c>
      <c r="G171" s="15" t="s">
        <v>4</v>
      </c>
      <c r="H171" s="15" t="s">
        <v>5</v>
      </c>
      <c r="I171" s="15" t="s">
        <v>77</v>
      </c>
      <c r="J171" s="14" t="s">
        <v>30</v>
      </c>
      <c r="K171" s="17" t="s">
        <v>7</v>
      </c>
    </row>
    <row r="172" ht="13.5" customHeight="1">
      <c r="A172" s="18" t="s">
        <v>31</v>
      </c>
      <c r="B172" s="19" t="s">
        <v>456</v>
      </c>
      <c r="C172" s="20" t="s">
        <v>33</v>
      </c>
      <c r="D172" s="21">
        <v>460.0</v>
      </c>
      <c r="E172" s="36"/>
      <c r="F172" s="36"/>
      <c r="G172" s="32"/>
      <c r="H172" s="21">
        <v>1780.0</v>
      </c>
      <c r="I172" s="21"/>
      <c r="J172" s="24">
        <v>110.0</v>
      </c>
      <c r="K172" s="25">
        <f t="shared" ref="K172:K178" si="36">SUM(D172:J172)</f>
        <v>2350</v>
      </c>
    </row>
    <row r="173" ht="13.5" customHeight="1">
      <c r="A173" s="26" t="s">
        <v>34</v>
      </c>
      <c r="B173" s="27"/>
      <c r="C173" s="28"/>
      <c r="D173" s="21">
        <v>450.0</v>
      </c>
      <c r="E173" s="36"/>
      <c r="F173" s="36"/>
      <c r="G173" s="32"/>
      <c r="H173" s="21">
        <v>470.0</v>
      </c>
      <c r="I173" s="21"/>
      <c r="J173" s="24">
        <v>30.0</v>
      </c>
      <c r="K173" s="25">
        <f t="shared" si="36"/>
        <v>950</v>
      </c>
    </row>
    <row r="174" ht="13.5" customHeight="1">
      <c r="A174" s="18" t="s">
        <v>35</v>
      </c>
      <c r="B174" s="30">
        <v>2.1</v>
      </c>
      <c r="C174" s="31" t="s">
        <v>36</v>
      </c>
      <c r="D174" s="21"/>
      <c r="E174" s="36"/>
      <c r="F174" s="41"/>
      <c r="G174" s="32"/>
      <c r="H174" s="21"/>
      <c r="I174" s="21"/>
      <c r="J174" s="24"/>
      <c r="K174" s="25">
        <f t="shared" si="36"/>
        <v>0</v>
      </c>
    </row>
    <row r="175" ht="13.5" customHeight="1">
      <c r="A175" s="26" t="s">
        <v>37</v>
      </c>
      <c r="B175" s="33"/>
      <c r="C175" s="34">
        <v>87.0</v>
      </c>
      <c r="D175" s="21"/>
      <c r="E175" s="36"/>
      <c r="F175" s="41"/>
      <c r="G175" s="32"/>
      <c r="H175" s="21"/>
      <c r="I175" s="21"/>
      <c r="J175" s="29"/>
      <c r="K175" s="25">
        <f t="shared" si="36"/>
        <v>0</v>
      </c>
    </row>
    <row r="176" ht="14.25" customHeight="1">
      <c r="A176" s="18" t="s">
        <v>38</v>
      </c>
      <c r="B176" s="19" t="s">
        <v>39</v>
      </c>
      <c r="C176" s="19" t="s">
        <v>40</v>
      </c>
      <c r="D176" s="21">
        <v>460.0</v>
      </c>
      <c r="E176" s="36"/>
      <c r="F176" s="36"/>
      <c r="G176" s="21"/>
      <c r="H176" s="21">
        <v>5420.0</v>
      </c>
      <c r="I176" s="21"/>
      <c r="J176" s="21">
        <v>310.0</v>
      </c>
      <c r="K176" s="25">
        <f t="shared" si="36"/>
        <v>6190</v>
      </c>
      <c r="L176" s="47"/>
      <c r="M176" s="12"/>
    </row>
    <row r="177" ht="13.5" customHeight="1">
      <c r="A177" s="35" t="s">
        <v>41</v>
      </c>
      <c r="B177" s="27"/>
      <c r="C177" s="27"/>
      <c r="D177" s="21">
        <v>460.0</v>
      </c>
      <c r="E177" s="36"/>
      <c r="F177" s="36"/>
      <c r="G177" s="21"/>
      <c r="H177" s="21">
        <v>5400.0</v>
      </c>
      <c r="I177" s="21"/>
      <c r="J177" s="21">
        <v>300.0</v>
      </c>
      <c r="K177" s="25">
        <f t="shared" si="36"/>
        <v>6160</v>
      </c>
    </row>
    <row r="178" ht="13.5" customHeight="1">
      <c r="A178" s="40" t="s">
        <v>7</v>
      </c>
      <c r="B178" s="40"/>
      <c r="C178" s="40"/>
      <c r="D178" s="10">
        <f t="shared" ref="D178:J178" si="37">SUM(D172:D177)</f>
        <v>1830</v>
      </c>
      <c r="E178" s="10">
        <f t="shared" si="37"/>
        <v>0</v>
      </c>
      <c r="F178" s="10">
        <f t="shared" si="37"/>
        <v>0</v>
      </c>
      <c r="G178" s="10">
        <f t="shared" si="37"/>
        <v>0</v>
      </c>
      <c r="H178" s="10">
        <f t="shared" si="37"/>
        <v>13070</v>
      </c>
      <c r="I178" s="10">
        <f t="shared" si="37"/>
        <v>0</v>
      </c>
      <c r="J178" s="10">
        <f t="shared" si="37"/>
        <v>750</v>
      </c>
      <c r="K178" s="25">
        <f t="shared" si="36"/>
        <v>15650</v>
      </c>
    </row>
    <row r="179" ht="13.5" customHeight="1">
      <c r="A179" s="48" t="s">
        <v>459</v>
      </c>
    </row>
    <row r="180" ht="13.5" customHeight="1">
      <c r="A180" s="14" t="s">
        <v>25</v>
      </c>
      <c r="B180" s="14" t="s">
        <v>1</v>
      </c>
      <c r="C180" s="14" t="s">
        <v>27</v>
      </c>
      <c r="D180" s="15" t="s">
        <v>2</v>
      </c>
      <c r="E180" s="10" t="s">
        <v>28</v>
      </c>
      <c r="F180" s="16" t="s">
        <v>3</v>
      </c>
      <c r="G180" s="15" t="s">
        <v>4</v>
      </c>
      <c r="H180" s="15" t="s">
        <v>5</v>
      </c>
      <c r="I180" s="15" t="s">
        <v>77</v>
      </c>
      <c r="J180" s="14" t="s">
        <v>30</v>
      </c>
      <c r="K180" s="17" t="s">
        <v>7</v>
      </c>
    </row>
    <row r="181" ht="13.5" customHeight="1">
      <c r="A181" s="18" t="s">
        <v>31</v>
      </c>
      <c r="B181" s="19" t="s">
        <v>456</v>
      </c>
      <c r="C181" s="20" t="s">
        <v>33</v>
      </c>
      <c r="D181" s="21">
        <v>450.0</v>
      </c>
      <c r="E181" s="36"/>
      <c r="F181" s="41"/>
      <c r="G181" s="32"/>
      <c r="H181" s="21">
        <v>1750.0</v>
      </c>
      <c r="I181" s="21"/>
      <c r="J181" s="24">
        <v>100.0</v>
      </c>
      <c r="K181" s="25">
        <f t="shared" ref="K181:K187" si="38">SUM(D181:J181)</f>
        <v>2300</v>
      </c>
    </row>
    <row r="182" ht="13.5" customHeight="1">
      <c r="A182" s="26" t="s">
        <v>34</v>
      </c>
      <c r="B182" s="27"/>
      <c r="C182" s="28"/>
      <c r="D182" s="21">
        <v>500.0</v>
      </c>
      <c r="E182" s="36"/>
      <c r="F182" s="41">
        <v>600.0</v>
      </c>
      <c r="G182" s="32"/>
      <c r="H182" s="21">
        <v>1680.0</v>
      </c>
      <c r="I182" s="21"/>
      <c r="J182" s="29">
        <v>80.0</v>
      </c>
      <c r="K182" s="25">
        <f t="shared" si="38"/>
        <v>2860</v>
      </c>
    </row>
    <row r="183" ht="13.5" customHeight="1">
      <c r="A183" s="18" t="s">
        <v>35</v>
      </c>
      <c r="D183" s="21"/>
      <c r="E183" s="36"/>
      <c r="F183" s="41"/>
      <c r="G183" s="32"/>
      <c r="H183" s="21"/>
      <c r="I183" s="21"/>
      <c r="J183" s="24"/>
      <c r="K183" s="25">
        <f t="shared" si="38"/>
        <v>0</v>
      </c>
    </row>
    <row r="184" ht="13.5" customHeight="1">
      <c r="A184" s="26" t="s">
        <v>37</v>
      </c>
      <c r="D184" s="21"/>
      <c r="E184" s="36"/>
      <c r="F184" s="41"/>
      <c r="G184" s="32"/>
      <c r="H184" s="21"/>
      <c r="I184" s="21"/>
      <c r="J184" s="29"/>
      <c r="K184" s="25">
        <f t="shared" si="38"/>
        <v>0</v>
      </c>
    </row>
    <row r="185" ht="14.25" customHeight="1">
      <c r="A185" s="18" t="s">
        <v>38</v>
      </c>
      <c r="B185" s="19" t="s">
        <v>39</v>
      </c>
      <c r="C185" s="19" t="s">
        <v>40</v>
      </c>
      <c r="D185" s="21">
        <v>440.0</v>
      </c>
      <c r="E185" s="36"/>
      <c r="F185" s="36"/>
      <c r="G185" s="21"/>
      <c r="H185" s="21">
        <v>5390.0</v>
      </c>
      <c r="I185" s="21"/>
      <c r="J185" s="21">
        <v>300.0</v>
      </c>
      <c r="K185" s="25">
        <f t="shared" si="38"/>
        <v>6130</v>
      </c>
      <c r="L185" s="47"/>
      <c r="M185" s="12"/>
    </row>
    <row r="186" ht="13.5" customHeight="1">
      <c r="A186" s="35" t="s">
        <v>41</v>
      </c>
      <c r="B186" s="27"/>
      <c r="C186" s="27"/>
      <c r="D186" s="21">
        <v>440.0</v>
      </c>
      <c r="E186" s="21"/>
      <c r="F186" s="21"/>
      <c r="G186" s="21"/>
      <c r="H186" s="21">
        <v>5260.0</v>
      </c>
      <c r="I186" s="21"/>
      <c r="J186" s="21">
        <v>300.0</v>
      </c>
      <c r="K186" s="25">
        <f t="shared" si="38"/>
        <v>6000</v>
      </c>
    </row>
    <row r="187" ht="13.5" customHeight="1">
      <c r="A187" s="40" t="s">
        <v>7</v>
      </c>
      <c r="B187" s="40"/>
      <c r="C187" s="40"/>
      <c r="D187" s="10">
        <f t="shared" ref="D187:J187" si="39">SUM(D181:D186)</f>
        <v>1830</v>
      </c>
      <c r="E187" s="10">
        <f t="shared" si="39"/>
        <v>0</v>
      </c>
      <c r="F187" s="10">
        <f t="shared" si="39"/>
        <v>600</v>
      </c>
      <c r="G187" s="10">
        <f t="shared" si="39"/>
        <v>0</v>
      </c>
      <c r="H187" s="10">
        <f t="shared" si="39"/>
        <v>14080</v>
      </c>
      <c r="I187" s="10">
        <f t="shared" si="39"/>
        <v>0</v>
      </c>
      <c r="J187" s="10">
        <f t="shared" si="39"/>
        <v>780</v>
      </c>
      <c r="K187" s="25">
        <f t="shared" si="38"/>
        <v>17290</v>
      </c>
    </row>
    <row r="188" ht="13.5" customHeight="1">
      <c r="A188" s="48" t="s">
        <v>460</v>
      </c>
    </row>
    <row r="189" ht="13.5" customHeight="1">
      <c r="A189" s="14" t="s">
        <v>25</v>
      </c>
      <c r="B189" s="14" t="s">
        <v>1</v>
      </c>
      <c r="C189" s="14" t="s">
        <v>27</v>
      </c>
      <c r="D189" s="15" t="s">
        <v>2</v>
      </c>
      <c r="E189" s="10" t="s">
        <v>28</v>
      </c>
      <c r="F189" s="16" t="s">
        <v>3</v>
      </c>
      <c r="G189" s="15" t="s">
        <v>4</v>
      </c>
      <c r="H189" s="15" t="s">
        <v>5</v>
      </c>
      <c r="I189" s="15" t="s">
        <v>82</v>
      </c>
      <c r="J189" s="14" t="s">
        <v>30</v>
      </c>
      <c r="K189" s="17" t="s">
        <v>7</v>
      </c>
    </row>
    <row r="190" ht="13.5" customHeight="1">
      <c r="A190" s="18" t="s">
        <v>31</v>
      </c>
      <c r="B190" s="19">
        <v>1.0</v>
      </c>
      <c r="C190" s="20" t="s">
        <v>33</v>
      </c>
      <c r="D190" s="21">
        <v>600.0</v>
      </c>
      <c r="E190" s="36"/>
      <c r="F190" s="36">
        <v>600.0</v>
      </c>
      <c r="G190" s="32"/>
      <c r="H190" s="21">
        <v>1860.0</v>
      </c>
      <c r="I190" s="21"/>
      <c r="J190" s="50">
        <v>100.0</v>
      </c>
      <c r="K190" s="25">
        <f t="shared" ref="K190:K196" si="40">SUM(D190:J190)</f>
        <v>3160</v>
      </c>
    </row>
    <row r="191" ht="13.5" customHeight="1">
      <c r="A191" s="26" t="s">
        <v>34</v>
      </c>
      <c r="B191" s="27"/>
      <c r="C191" s="28"/>
      <c r="D191" s="21">
        <v>500.0</v>
      </c>
      <c r="E191" s="36"/>
      <c r="F191" s="36">
        <v>550.0</v>
      </c>
      <c r="G191" s="32"/>
      <c r="H191" s="21">
        <v>1650.0</v>
      </c>
      <c r="I191" s="21"/>
      <c r="J191" s="51">
        <v>100.0</v>
      </c>
      <c r="K191" s="25">
        <f t="shared" si="40"/>
        <v>2800</v>
      </c>
    </row>
    <row r="192" ht="13.5" customHeight="1">
      <c r="A192" s="18" t="s">
        <v>35</v>
      </c>
      <c r="B192" s="30">
        <v>2.3</v>
      </c>
      <c r="C192" s="31" t="s">
        <v>36</v>
      </c>
      <c r="D192" s="21"/>
      <c r="E192" s="36"/>
      <c r="F192" s="36"/>
      <c r="G192" s="32"/>
      <c r="H192" s="21"/>
      <c r="I192" s="21"/>
      <c r="J192" s="50"/>
      <c r="K192" s="25">
        <f t="shared" si="40"/>
        <v>0</v>
      </c>
    </row>
    <row r="193" ht="13.5" customHeight="1">
      <c r="A193" s="26" t="s">
        <v>37</v>
      </c>
      <c r="B193" s="33"/>
      <c r="C193" s="34"/>
      <c r="D193" s="10"/>
      <c r="E193" s="10"/>
      <c r="F193" s="10"/>
      <c r="G193" s="32"/>
      <c r="H193" s="10"/>
      <c r="I193" s="10"/>
      <c r="J193" s="52"/>
      <c r="K193" s="25">
        <f t="shared" si="40"/>
        <v>0</v>
      </c>
    </row>
    <row r="194" ht="14.25" customHeight="1">
      <c r="A194" s="18" t="s">
        <v>38</v>
      </c>
      <c r="B194" s="19" t="s">
        <v>39</v>
      </c>
      <c r="C194" s="19" t="s">
        <v>40</v>
      </c>
      <c r="D194" s="21">
        <v>450.0</v>
      </c>
      <c r="E194" s="36"/>
      <c r="F194" s="36">
        <v>800.0</v>
      </c>
      <c r="G194" s="21"/>
      <c r="H194" s="21">
        <v>8290.0</v>
      </c>
      <c r="I194" s="21"/>
      <c r="J194" s="21">
        <v>320.0</v>
      </c>
      <c r="K194" s="25">
        <f t="shared" si="40"/>
        <v>9860</v>
      </c>
      <c r="L194" s="47"/>
      <c r="M194" s="12"/>
    </row>
    <row r="195" ht="13.5" customHeight="1">
      <c r="A195" s="35" t="s">
        <v>41</v>
      </c>
      <c r="B195" s="27"/>
      <c r="C195" s="27"/>
      <c r="D195" s="21">
        <v>460.0</v>
      </c>
      <c r="E195" s="21"/>
      <c r="F195" s="21">
        <v>800.0</v>
      </c>
      <c r="G195" s="21"/>
      <c r="H195" s="21">
        <v>5030.0</v>
      </c>
      <c r="I195" s="21"/>
      <c r="J195" s="21">
        <v>310.0</v>
      </c>
      <c r="K195" s="25">
        <f t="shared" si="40"/>
        <v>6600</v>
      </c>
    </row>
    <row r="196" ht="13.5" customHeight="1">
      <c r="A196" s="40" t="s">
        <v>7</v>
      </c>
      <c r="B196" s="40"/>
      <c r="C196" s="40"/>
      <c r="D196" s="10">
        <f t="shared" ref="D196:J196" si="41">SUM(D190:D195)</f>
        <v>2010</v>
      </c>
      <c r="E196" s="10">
        <f t="shared" si="41"/>
        <v>0</v>
      </c>
      <c r="F196" s="10">
        <f t="shared" si="41"/>
        <v>2750</v>
      </c>
      <c r="G196" s="10">
        <f t="shared" si="41"/>
        <v>0</v>
      </c>
      <c r="H196" s="10">
        <f t="shared" si="41"/>
        <v>16830</v>
      </c>
      <c r="I196" s="10">
        <f t="shared" si="41"/>
        <v>0</v>
      </c>
      <c r="J196" s="10">
        <f t="shared" si="41"/>
        <v>830</v>
      </c>
      <c r="K196" s="25">
        <f t="shared" si="40"/>
        <v>22420</v>
      </c>
    </row>
    <row r="197" ht="13.5" customHeight="1"/>
    <row r="198" ht="13.5" customHeight="1">
      <c r="A198" s="48" t="s">
        <v>461</v>
      </c>
    </row>
    <row r="199" ht="13.5" customHeight="1">
      <c r="A199" s="14" t="s">
        <v>25</v>
      </c>
      <c r="B199" s="14" t="s">
        <v>1</v>
      </c>
      <c r="C199" s="14" t="s">
        <v>27</v>
      </c>
      <c r="D199" s="15" t="s">
        <v>2</v>
      </c>
      <c r="E199" s="10" t="s">
        <v>28</v>
      </c>
      <c r="F199" s="16" t="s">
        <v>3</v>
      </c>
      <c r="G199" s="15" t="s">
        <v>4</v>
      </c>
      <c r="H199" s="15" t="s">
        <v>5</v>
      </c>
      <c r="I199" s="15" t="s">
        <v>29</v>
      </c>
      <c r="J199" s="14" t="s">
        <v>30</v>
      </c>
      <c r="K199" s="17" t="s">
        <v>7</v>
      </c>
    </row>
    <row r="200" ht="13.5" customHeight="1">
      <c r="A200" s="18" t="s">
        <v>31</v>
      </c>
      <c r="B200" s="19">
        <v>1.0</v>
      </c>
      <c r="C200" s="20" t="s">
        <v>33</v>
      </c>
      <c r="D200" s="21">
        <v>290.0</v>
      </c>
      <c r="E200" s="36"/>
      <c r="F200" s="36">
        <v>320.0</v>
      </c>
      <c r="G200" s="32"/>
      <c r="H200" s="21">
        <v>400.0</v>
      </c>
      <c r="I200" s="21"/>
      <c r="J200" s="50">
        <v>70.0</v>
      </c>
      <c r="K200" s="25">
        <f t="shared" ref="K200:K206" si="42">SUM(D200:J200)</f>
        <v>1080</v>
      </c>
    </row>
    <row r="201" ht="13.5" customHeight="1">
      <c r="A201" s="26" t="s">
        <v>34</v>
      </c>
      <c r="B201" s="27"/>
      <c r="C201" s="28"/>
      <c r="D201" s="21">
        <v>280.0</v>
      </c>
      <c r="E201" s="36"/>
      <c r="F201" s="36">
        <v>320.0</v>
      </c>
      <c r="G201" s="32"/>
      <c r="H201" s="21">
        <v>490.0</v>
      </c>
      <c r="I201" s="21"/>
      <c r="J201" s="51">
        <v>80.0</v>
      </c>
      <c r="K201" s="25">
        <f t="shared" si="42"/>
        <v>1170</v>
      </c>
    </row>
    <row r="202" ht="13.5" customHeight="1">
      <c r="A202" s="18" t="s">
        <v>35</v>
      </c>
      <c r="B202" s="30">
        <v>2.3</v>
      </c>
      <c r="C202" s="31" t="s">
        <v>36</v>
      </c>
      <c r="D202" s="21">
        <v>300.0</v>
      </c>
      <c r="E202" s="36"/>
      <c r="F202" s="36">
        <v>350.0</v>
      </c>
      <c r="G202" s="32"/>
      <c r="H202" s="21">
        <v>850.0</v>
      </c>
      <c r="I202" s="21"/>
      <c r="J202" s="50">
        <v>80.0</v>
      </c>
      <c r="K202" s="25">
        <f t="shared" si="42"/>
        <v>1580</v>
      </c>
    </row>
    <row r="203" ht="13.5" customHeight="1">
      <c r="A203" s="26" t="s">
        <v>37</v>
      </c>
      <c r="B203" s="33"/>
      <c r="C203" s="34"/>
      <c r="D203" s="10">
        <v>290.0</v>
      </c>
      <c r="E203" s="10"/>
      <c r="F203" s="10">
        <v>350.0</v>
      </c>
      <c r="G203" s="32"/>
      <c r="H203" s="10">
        <v>980.0</v>
      </c>
      <c r="I203" s="10"/>
      <c r="J203" s="52">
        <v>80.0</v>
      </c>
      <c r="K203" s="25">
        <f t="shared" si="42"/>
        <v>1700</v>
      </c>
    </row>
    <row r="204" ht="14.25" customHeight="1">
      <c r="A204" s="18" t="s">
        <v>38</v>
      </c>
      <c r="B204" s="19" t="s">
        <v>39</v>
      </c>
      <c r="C204" s="19" t="s">
        <v>40</v>
      </c>
      <c r="D204" s="21">
        <v>450.0</v>
      </c>
      <c r="E204" s="36"/>
      <c r="F204" s="36">
        <v>760.0</v>
      </c>
      <c r="G204" s="21"/>
      <c r="H204" s="21">
        <v>4480.0</v>
      </c>
      <c r="I204" s="21"/>
      <c r="J204" s="21">
        <v>310.0</v>
      </c>
      <c r="K204" s="25">
        <f t="shared" si="42"/>
        <v>6000</v>
      </c>
      <c r="L204" s="47"/>
      <c r="M204" s="12"/>
    </row>
    <row r="205" ht="13.5" customHeight="1">
      <c r="A205" s="35" t="s">
        <v>41</v>
      </c>
      <c r="B205" s="27"/>
      <c r="C205" s="27"/>
      <c r="D205" s="21">
        <v>440.0</v>
      </c>
      <c r="E205" s="21"/>
      <c r="F205" s="21">
        <v>750.0</v>
      </c>
      <c r="G205" s="21"/>
      <c r="H205" s="21">
        <v>4680.0</v>
      </c>
      <c r="I205" s="21"/>
      <c r="J205" s="21">
        <v>330.0</v>
      </c>
      <c r="K205" s="25">
        <f t="shared" si="42"/>
        <v>6200</v>
      </c>
    </row>
    <row r="206" ht="13.5" customHeight="1">
      <c r="A206" s="40" t="s">
        <v>7</v>
      </c>
      <c r="B206" s="40"/>
      <c r="C206" s="40"/>
      <c r="D206" s="10">
        <f t="shared" ref="D206:J206" si="43">SUM(D200:D205)</f>
        <v>2050</v>
      </c>
      <c r="E206" s="10">
        <f t="shared" si="43"/>
        <v>0</v>
      </c>
      <c r="F206" s="10">
        <f t="shared" si="43"/>
        <v>2850</v>
      </c>
      <c r="G206" s="10">
        <f t="shared" si="43"/>
        <v>0</v>
      </c>
      <c r="H206" s="10">
        <f t="shared" si="43"/>
        <v>11880</v>
      </c>
      <c r="I206" s="10">
        <f t="shared" si="43"/>
        <v>0</v>
      </c>
      <c r="J206" s="10">
        <f t="shared" si="43"/>
        <v>950</v>
      </c>
      <c r="K206" s="25">
        <f t="shared" si="42"/>
        <v>17730</v>
      </c>
    </row>
    <row r="207" ht="13.5" customHeight="1"/>
    <row r="208" ht="13.5" customHeight="1">
      <c r="A208" s="48" t="s">
        <v>462</v>
      </c>
    </row>
    <row r="209" ht="13.5" customHeight="1">
      <c r="A209" s="14"/>
      <c r="B209" s="14" t="s">
        <v>1</v>
      </c>
      <c r="C209" s="14" t="s">
        <v>27</v>
      </c>
      <c r="D209" s="15" t="s">
        <v>2</v>
      </c>
      <c r="E209" s="10" t="s">
        <v>28</v>
      </c>
      <c r="F209" s="16" t="s">
        <v>3</v>
      </c>
      <c r="G209" s="15" t="s">
        <v>4</v>
      </c>
      <c r="H209" s="15" t="s">
        <v>5</v>
      </c>
      <c r="I209" s="15" t="s">
        <v>29</v>
      </c>
      <c r="J209" s="14" t="s">
        <v>30</v>
      </c>
      <c r="K209" s="17" t="s">
        <v>7</v>
      </c>
    </row>
    <row r="210" ht="13.5" customHeight="1">
      <c r="A210" s="18" t="s">
        <v>31</v>
      </c>
      <c r="B210" s="19">
        <v>1.0</v>
      </c>
      <c r="C210" s="20" t="s">
        <v>33</v>
      </c>
      <c r="D210" s="21">
        <v>300.0</v>
      </c>
      <c r="E210" s="36"/>
      <c r="F210" s="36">
        <v>320.0</v>
      </c>
      <c r="G210" s="32"/>
      <c r="H210" s="21">
        <v>320.0</v>
      </c>
      <c r="I210" s="23"/>
      <c r="J210" s="24">
        <v>70.0</v>
      </c>
      <c r="K210" s="25">
        <f t="shared" ref="K210:K216" si="44">SUM(D210:J210)</f>
        <v>1010</v>
      </c>
    </row>
    <row r="211" ht="13.5" customHeight="1">
      <c r="A211" s="26" t="s">
        <v>34</v>
      </c>
      <c r="B211" s="27"/>
      <c r="C211" s="28"/>
      <c r="D211" s="21">
        <v>290.0</v>
      </c>
      <c r="E211" s="36"/>
      <c r="F211" s="37">
        <v>320.0</v>
      </c>
      <c r="G211" s="53"/>
      <c r="H211" s="22">
        <v>320.0</v>
      </c>
      <c r="I211" s="29"/>
      <c r="J211" s="29">
        <v>70.0</v>
      </c>
      <c r="K211" s="25">
        <f t="shared" si="44"/>
        <v>1000</v>
      </c>
    </row>
    <row r="212" ht="13.5" customHeight="1">
      <c r="A212" s="18" t="s">
        <v>35</v>
      </c>
      <c r="B212" s="30">
        <v>2.3</v>
      </c>
      <c r="C212" s="31" t="s">
        <v>36</v>
      </c>
      <c r="D212" s="21">
        <v>310.0</v>
      </c>
      <c r="E212" s="36"/>
      <c r="F212" s="36">
        <v>350.0</v>
      </c>
      <c r="G212" s="21"/>
      <c r="H212" s="21">
        <v>820.0</v>
      </c>
      <c r="I212" s="21"/>
      <c r="J212" s="24">
        <v>80.0</v>
      </c>
      <c r="K212" s="25">
        <f t="shared" si="44"/>
        <v>1560</v>
      </c>
    </row>
    <row r="213" ht="13.5" customHeight="1">
      <c r="A213" s="26" t="s">
        <v>37</v>
      </c>
      <c r="B213" s="33"/>
      <c r="C213" s="34"/>
      <c r="D213" s="21">
        <v>300.0</v>
      </c>
      <c r="E213" s="36"/>
      <c r="F213" s="36">
        <v>350.0</v>
      </c>
      <c r="G213" s="21"/>
      <c r="H213" s="21">
        <v>790.0</v>
      </c>
      <c r="I213" s="21"/>
      <c r="J213" s="29">
        <v>70.0</v>
      </c>
      <c r="K213" s="25">
        <f t="shared" si="44"/>
        <v>1510</v>
      </c>
    </row>
    <row r="214" ht="14.25" customHeight="1">
      <c r="A214" s="18" t="s">
        <v>38</v>
      </c>
      <c r="B214" s="19" t="s">
        <v>39</v>
      </c>
      <c r="C214" s="19" t="s">
        <v>40</v>
      </c>
      <c r="D214" s="21">
        <v>460.0</v>
      </c>
      <c r="E214" s="36"/>
      <c r="F214" s="36">
        <v>750.0</v>
      </c>
      <c r="G214" s="21"/>
      <c r="H214" s="21">
        <v>4400.0</v>
      </c>
      <c r="I214" s="21"/>
      <c r="J214" s="24">
        <v>150.0</v>
      </c>
      <c r="K214" s="25">
        <f t="shared" si="44"/>
        <v>5760</v>
      </c>
      <c r="L214" s="47"/>
      <c r="M214" s="12"/>
    </row>
    <row r="215" ht="13.5" customHeight="1">
      <c r="A215" s="35" t="s">
        <v>41</v>
      </c>
      <c r="B215" s="27"/>
      <c r="C215" s="27"/>
      <c r="D215" s="21">
        <v>460.0</v>
      </c>
      <c r="E215" s="21"/>
      <c r="F215" s="21">
        <v>760.0</v>
      </c>
      <c r="G215" s="21"/>
      <c r="H215" s="21">
        <v>4300.0</v>
      </c>
      <c r="I215" s="21"/>
      <c r="J215" s="21">
        <v>160.0</v>
      </c>
      <c r="K215" s="25">
        <f t="shared" si="44"/>
        <v>5680</v>
      </c>
    </row>
    <row r="216" ht="13.5" customHeight="1">
      <c r="A216" s="40" t="s">
        <v>7</v>
      </c>
      <c r="B216" s="40"/>
      <c r="C216" s="40"/>
      <c r="D216" s="10">
        <f t="shared" ref="D216:J216" si="45">SUM(D210:D215)</f>
        <v>2120</v>
      </c>
      <c r="E216" s="10">
        <f t="shared" si="45"/>
        <v>0</v>
      </c>
      <c r="F216" s="10">
        <f t="shared" si="45"/>
        <v>2850</v>
      </c>
      <c r="G216" s="10">
        <f t="shared" si="45"/>
        <v>0</v>
      </c>
      <c r="H216" s="10">
        <f t="shared" si="45"/>
        <v>10950</v>
      </c>
      <c r="I216" s="10">
        <f t="shared" si="45"/>
        <v>0</v>
      </c>
      <c r="J216" s="10">
        <f t="shared" si="45"/>
        <v>600</v>
      </c>
      <c r="K216" s="25">
        <f t="shared" si="44"/>
        <v>16520</v>
      </c>
    </row>
    <row r="217" ht="13.5" customHeight="1"/>
    <row r="218" ht="13.5" customHeight="1">
      <c r="A218" s="48">
        <v>11.13</v>
      </c>
    </row>
    <row r="219" ht="13.5" customHeight="1">
      <c r="A219" s="14" t="s">
        <v>25</v>
      </c>
      <c r="B219" s="14" t="s">
        <v>1</v>
      </c>
      <c r="C219" s="14" t="s">
        <v>27</v>
      </c>
      <c r="D219" s="15" t="s">
        <v>2</v>
      </c>
      <c r="E219" s="10" t="s">
        <v>325</v>
      </c>
      <c r="F219" s="16" t="s">
        <v>3</v>
      </c>
      <c r="G219" s="15" t="s">
        <v>4</v>
      </c>
      <c r="H219" s="15" t="s">
        <v>5</v>
      </c>
      <c r="I219" s="15" t="s">
        <v>29</v>
      </c>
      <c r="J219" s="14" t="s">
        <v>30</v>
      </c>
      <c r="K219" s="17" t="s">
        <v>7</v>
      </c>
    </row>
    <row r="220" ht="13.5" customHeight="1">
      <c r="A220" s="18" t="s">
        <v>31</v>
      </c>
      <c r="B220" s="19">
        <v>1.0</v>
      </c>
      <c r="C220" s="20" t="s">
        <v>33</v>
      </c>
      <c r="D220" s="21">
        <v>300.0</v>
      </c>
      <c r="E220" s="36"/>
      <c r="F220" s="36">
        <v>320.0</v>
      </c>
      <c r="G220" s="32"/>
      <c r="H220" s="21">
        <v>310.0</v>
      </c>
      <c r="I220" s="23"/>
      <c r="J220" s="24">
        <v>70.0</v>
      </c>
      <c r="K220" s="25">
        <f t="shared" ref="K220:K226" si="46">D220+F220+G220+H220+I220+J220</f>
        <v>1000</v>
      </c>
    </row>
    <row r="221" ht="13.5" customHeight="1">
      <c r="A221" s="26" t="s">
        <v>34</v>
      </c>
      <c r="B221" s="27"/>
      <c r="C221" s="28"/>
      <c r="D221" s="21">
        <v>300.0</v>
      </c>
      <c r="E221" s="36"/>
      <c r="F221" s="37">
        <v>330.0</v>
      </c>
      <c r="G221" s="53"/>
      <c r="H221" s="22">
        <v>310.0</v>
      </c>
      <c r="I221" s="29"/>
      <c r="J221" s="29">
        <v>70.0</v>
      </c>
      <c r="K221" s="25">
        <f t="shared" si="46"/>
        <v>1010</v>
      </c>
    </row>
    <row r="222" ht="13.5" customHeight="1">
      <c r="A222" s="18" t="s">
        <v>35</v>
      </c>
      <c r="B222" s="30">
        <v>2.3</v>
      </c>
      <c r="C222" s="31" t="s">
        <v>36</v>
      </c>
      <c r="D222" s="21">
        <v>310.0</v>
      </c>
      <c r="E222" s="36"/>
      <c r="F222" s="36">
        <v>340.0</v>
      </c>
      <c r="G222" s="21"/>
      <c r="H222" s="21">
        <v>870.0</v>
      </c>
      <c r="I222" s="21"/>
      <c r="J222" s="24">
        <v>80.0</v>
      </c>
      <c r="K222" s="25">
        <f t="shared" si="46"/>
        <v>1600</v>
      </c>
    </row>
    <row r="223" ht="13.5" customHeight="1">
      <c r="A223" s="26" t="s">
        <v>37</v>
      </c>
      <c r="B223" s="33"/>
      <c r="C223" s="34"/>
      <c r="D223" s="21">
        <v>320.0</v>
      </c>
      <c r="E223" s="36"/>
      <c r="F223" s="36">
        <v>360.0</v>
      </c>
      <c r="G223" s="21"/>
      <c r="H223" s="21">
        <v>800.0</v>
      </c>
      <c r="I223" s="21"/>
      <c r="J223" s="29">
        <v>70.0</v>
      </c>
      <c r="K223" s="25">
        <f t="shared" si="46"/>
        <v>1550</v>
      </c>
    </row>
    <row r="224" ht="14.25" customHeight="1">
      <c r="A224" s="18" t="s">
        <v>38</v>
      </c>
      <c r="B224" s="19" t="s">
        <v>39</v>
      </c>
      <c r="C224" s="19" t="s">
        <v>40</v>
      </c>
      <c r="D224" s="21">
        <v>460.0</v>
      </c>
      <c r="E224" s="36"/>
      <c r="F224" s="36">
        <v>740.0</v>
      </c>
      <c r="G224" s="21"/>
      <c r="H224" s="21">
        <v>4520.0</v>
      </c>
      <c r="I224" s="21"/>
      <c r="J224" s="24">
        <v>160.0</v>
      </c>
      <c r="K224" s="25">
        <f t="shared" si="46"/>
        <v>5880</v>
      </c>
      <c r="L224" s="47"/>
      <c r="M224" s="12"/>
    </row>
    <row r="225" ht="13.5" customHeight="1">
      <c r="A225" s="35" t="s">
        <v>41</v>
      </c>
      <c r="B225" s="27"/>
      <c r="C225" s="27"/>
      <c r="D225" s="21">
        <v>470.0</v>
      </c>
      <c r="E225" s="36"/>
      <c r="F225" s="21">
        <v>750.0</v>
      </c>
      <c r="G225" s="21"/>
      <c r="H225" s="21">
        <v>7280.0</v>
      </c>
      <c r="I225" s="21"/>
      <c r="J225" s="21">
        <v>160.0</v>
      </c>
      <c r="K225" s="25">
        <f t="shared" si="46"/>
        <v>8660</v>
      </c>
    </row>
    <row r="226" ht="13.5" customHeight="1">
      <c r="A226" s="40" t="s">
        <v>7</v>
      </c>
      <c r="B226" s="40"/>
      <c r="C226" s="40"/>
      <c r="D226" s="10">
        <f t="shared" ref="D226:J226" si="47">SUM(D220:D225)</f>
        <v>2160</v>
      </c>
      <c r="E226" s="10">
        <f t="shared" si="47"/>
        <v>0</v>
      </c>
      <c r="F226" s="10">
        <f t="shared" si="47"/>
        <v>2840</v>
      </c>
      <c r="G226" s="10">
        <f t="shared" si="47"/>
        <v>0</v>
      </c>
      <c r="H226" s="10">
        <f t="shared" si="47"/>
        <v>14090</v>
      </c>
      <c r="I226" s="10">
        <f t="shared" si="47"/>
        <v>0</v>
      </c>
      <c r="J226" s="10">
        <f t="shared" si="47"/>
        <v>610</v>
      </c>
      <c r="K226" s="25">
        <f t="shared" si="46"/>
        <v>19700</v>
      </c>
    </row>
    <row r="227" ht="13.5" customHeight="1"/>
    <row r="228" ht="13.5" customHeight="1">
      <c r="A228" s="48" t="s">
        <v>463</v>
      </c>
    </row>
    <row r="229" ht="13.5" customHeight="1">
      <c r="A229" s="14" t="s">
        <v>25</v>
      </c>
      <c r="B229" s="14" t="s">
        <v>1</v>
      </c>
      <c r="C229" s="14" t="s">
        <v>27</v>
      </c>
      <c r="D229" s="15" t="s">
        <v>2</v>
      </c>
      <c r="E229" s="10" t="s">
        <v>325</v>
      </c>
      <c r="F229" s="16" t="s">
        <v>3</v>
      </c>
      <c r="G229" s="15" t="s">
        <v>4</v>
      </c>
      <c r="H229" s="14" t="s">
        <v>5</v>
      </c>
      <c r="I229" s="15" t="s">
        <v>29</v>
      </c>
      <c r="J229" s="14" t="s">
        <v>30</v>
      </c>
      <c r="K229" s="17" t="s">
        <v>7</v>
      </c>
    </row>
    <row r="230" ht="13.5" customHeight="1">
      <c r="A230" s="18" t="s">
        <v>31</v>
      </c>
      <c r="B230" s="19">
        <v>1.0</v>
      </c>
      <c r="C230" s="20" t="s">
        <v>33</v>
      </c>
      <c r="D230" s="21">
        <v>310.0</v>
      </c>
      <c r="E230" s="36"/>
      <c r="F230" s="36"/>
      <c r="G230" s="32"/>
      <c r="H230" s="21">
        <v>400.0</v>
      </c>
      <c r="I230" s="21"/>
      <c r="J230" s="21">
        <v>50.0</v>
      </c>
      <c r="K230" s="25">
        <f t="shared" ref="K230:K236" si="48">D230+F230+G230+H230+I230+J230</f>
        <v>760</v>
      </c>
    </row>
    <row r="231" ht="13.5" customHeight="1">
      <c r="A231" s="26" t="s">
        <v>34</v>
      </c>
      <c r="B231" s="27"/>
      <c r="C231" s="28"/>
      <c r="D231" s="21">
        <v>310.0</v>
      </c>
      <c r="E231" s="36"/>
      <c r="F231" s="36"/>
      <c r="G231" s="32"/>
      <c r="H231" s="21">
        <v>400.0</v>
      </c>
      <c r="I231" s="21"/>
      <c r="J231" s="21">
        <v>50.0</v>
      </c>
      <c r="K231" s="25">
        <f t="shared" si="48"/>
        <v>760</v>
      </c>
    </row>
    <row r="232" ht="13.5" customHeight="1">
      <c r="A232" s="18" t="s">
        <v>35</v>
      </c>
      <c r="B232" s="30">
        <v>2.3</v>
      </c>
      <c r="C232" s="31" t="s">
        <v>36</v>
      </c>
      <c r="D232" s="21">
        <v>320.0</v>
      </c>
      <c r="E232" s="36"/>
      <c r="F232" s="36"/>
      <c r="G232" s="32"/>
      <c r="H232" s="21">
        <v>900.0</v>
      </c>
      <c r="I232" s="21"/>
      <c r="J232" s="21">
        <v>60.0</v>
      </c>
      <c r="K232" s="25">
        <f t="shared" si="48"/>
        <v>1280</v>
      </c>
    </row>
    <row r="233" ht="13.5" customHeight="1">
      <c r="A233" s="26" t="s">
        <v>37</v>
      </c>
      <c r="B233" s="33"/>
      <c r="C233" s="34"/>
      <c r="D233" s="21">
        <v>320.0</v>
      </c>
      <c r="E233" s="36"/>
      <c r="F233" s="36"/>
      <c r="G233" s="32"/>
      <c r="H233" s="21">
        <v>930.0</v>
      </c>
      <c r="I233" s="21"/>
      <c r="J233" s="21">
        <v>80.0</v>
      </c>
      <c r="K233" s="25">
        <f t="shared" si="48"/>
        <v>1330</v>
      </c>
    </row>
    <row r="234" ht="14.25" customHeight="1">
      <c r="A234" s="18" t="s">
        <v>38</v>
      </c>
      <c r="B234" s="19" t="s">
        <v>39</v>
      </c>
      <c r="C234" s="19" t="s">
        <v>40</v>
      </c>
      <c r="D234" s="21">
        <v>460.0</v>
      </c>
      <c r="E234" s="36"/>
      <c r="F234" s="36"/>
      <c r="G234" s="32"/>
      <c r="H234" s="21">
        <v>4530.0</v>
      </c>
      <c r="I234" s="21"/>
      <c r="J234" s="21">
        <v>160.0</v>
      </c>
      <c r="K234" s="25">
        <f t="shared" si="48"/>
        <v>5150</v>
      </c>
      <c r="L234" s="47"/>
      <c r="M234" s="12"/>
    </row>
    <row r="235" ht="13.5" customHeight="1">
      <c r="A235" s="35" t="s">
        <v>41</v>
      </c>
      <c r="B235" s="27"/>
      <c r="C235" s="27"/>
      <c r="D235" s="21">
        <v>460.0</v>
      </c>
      <c r="E235" s="36"/>
      <c r="F235" s="36"/>
      <c r="G235" s="38"/>
      <c r="H235" s="21">
        <v>4540.0</v>
      </c>
      <c r="I235" s="29"/>
      <c r="J235" s="39">
        <v>160.0</v>
      </c>
      <c r="K235" s="25">
        <f t="shared" si="48"/>
        <v>5160</v>
      </c>
    </row>
    <row r="236" ht="13.5" customHeight="1">
      <c r="A236" s="40" t="s">
        <v>7</v>
      </c>
      <c r="B236" s="40"/>
      <c r="C236" s="40"/>
      <c r="D236" s="10">
        <f t="shared" ref="D236:J236" si="49">SUM(D230:D235)</f>
        <v>2180</v>
      </c>
      <c r="E236" s="10">
        <f t="shared" si="49"/>
        <v>0</v>
      </c>
      <c r="F236" s="10">
        <f t="shared" si="49"/>
        <v>0</v>
      </c>
      <c r="G236" s="10">
        <f t="shared" si="49"/>
        <v>0</v>
      </c>
      <c r="H236" s="10">
        <f t="shared" si="49"/>
        <v>11700</v>
      </c>
      <c r="I236" s="10">
        <f t="shared" si="49"/>
        <v>0</v>
      </c>
      <c r="J236" s="10">
        <f t="shared" si="49"/>
        <v>560</v>
      </c>
      <c r="K236" s="25">
        <f t="shared" si="48"/>
        <v>14440</v>
      </c>
    </row>
    <row r="237" ht="13.5" customHeight="1"/>
    <row r="238" ht="13.5" customHeight="1">
      <c r="A238" s="48" t="s">
        <v>464</v>
      </c>
    </row>
    <row r="239" ht="13.5" customHeight="1">
      <c r="A239" s="14" t="s">
        <v>25</v>
      </c>
      <c r="B239" s="14" t="s">
        <v>1</v>
      </c>
      <c r="C239" s="14" t="s">
        <v>27</v>
      </c>
      <c r="D239" s="15" t="s">
        <v>2</v>
      </c>
      <c r="E239" s="10" t="s">
        <v>325</v>
      </c>
      <c r="F239" s="16" t="s">
        <v>3</v>
      </c>
      <c r="G239" s="15" t="s">
        <v>4</v>
      </c>
      <c r="H239" s="15" t="s">
        <v>5</v>
      </c>
      <c r="I239" s="15" t="s">
        <v>29</v>
      </c>
      <c r="J239" s="14" t="s">
        <v>30</v>
      </c>
      <c r="K239" s="17" t="s">
        <v>7</v>
      </c>
    </row>
    <row r="240" ht="13.5" customHeight="1">
      <c r="A240" s="18" t="s">
        <v>31</v>
      </c>
      <c r="B240" s="19">
        <v>1.0</v>
      </c>
      <c r="C240" s="20" t="s">
        <v>33</v>
      </c>
      <c r="D240" s="21">
        <v>300.0</v>
      </c>
      <c r="E240" s="36"/>
      <c r="F240" s="36"/>
      <c r="G240" s="32"/>
      <c r="H240" s="21">
        <v>410.0</v>
      </c>
      <c r="I240" s="21"/>
      <c r="J240" s="21">
        <v>50.0</v>
      </c>
      <c r="K240" s="25">
        <f t="shared" ref="K240:K246" si="50">D240+F240+G240+H240+I240+J240</f>
        <v>760</v>
      </c>
    </row>
    <row r="241" ht="13.5" customHeight="1">
      <c r="A241" s="26" t="s">
        <v>34</v>
      </c>
      <c r="B241" s="27"/>
      <c r="C241" s="28"/>
      <c r="D241" s="21"/>
      <c r="E241" s="36"/>
      <c r="F241" s="36"/>
      <c r="G241" s="32"/>
      <c r="H241" s="21"/>
      <c r="I241" s="21"/>
      <c r="J241" s="21"/>
      <c r="K241" s="25">
        <f t="shared" si="50"/>
        <v>0</v>
      </c>
    </row>
    <row r="242" ht="13.5" customHeight="1">
      <c r="A242" s="18" t="s">
        <v>35</v>
      </c>
      <c r="B242" s="30">
        <v>2.3</v>
      </c>
      <c r="C242" s="31" t="s">
        <v>36</v>
      </c>
      <c r="D242" s="21">
        <v>310.0</v>
      </c>
      <c r="E242" s="36"/>
      <c r="F242" s="36"/>
      <c r="G242" s="32"/>
      <c r="H242" s="21">
        <v>880.0</v>
      </c>
      <c r="I242" s="21"/>
      <c r="J242" s="21">
        <v>60.0</v>
      </c>
      <c r="K242" s="25">
        <f t="shared" si="50"/>
        <v>1250</v>
      </c>
    </row>
    <row r="243" ht="13.5" customHeight="1">
      <c r="A243" s="26" t="s">
        <v>37</v>
      </c>
      <c r="B243" s="33"/>
      <c r="C243" s="34"/>
      <c r="D243" s="21"/>
      <c r="E243" s="36"/>
      <c r="F243" s="36"/>
      <c r="G243" s="32"/>
      <c r="H243" s="21"/>
      <c r="I243" s="21"/>
      <c r="J243" s="21"/>
      <c r="K243" s="25">
        <f t="shared" si="50"/>
        <v>0</v>
      </c>
    </row>
    <row r="244" ht="14.25" customHeight="1">
      <c r="A244" s="18" t="s">
        <v>38</v>
      </c>
      <c r="B244" s="19" t="s">
        <v>39</v>
      </c>
      <c r="C244" s="19" t="s">
        <v>40</v>
      </c>
      <c r="D244" s="21">
        <v>450.0</v>
      </c>
      <c r="E244" s="36"/>
      <c r="F244" s="36"/>
      <c r="G244" s="32"/>
      <c r="H244" s="21">
        <v>4570.0</v>
      </c>
      <c r="I244" s="21"/>
      <c r="J244" s="21">
        <v>140.0</v>
      </c>
      <c r="K244" s="25">
        <f t="shared" si="50"/>
        <v>5160</v>
      </c>
      <c r="L244" s="12"/>
    </row>
    <row r="245" ht="13.5" customHeight="1">
      <c r="A245" s="35" t="s">
        <v>41</v>
      </c>
      <c r="B245" s="27"/>
      <c r="C245" s="27"/>
      <c r="D245" s="21"/>
      <c r="E245" s="36"/>
      <c r="F245" s="36"/>
      <c r="G245" s="38"/>
      <c r="H245" s="21">
        <v>6.5</v>
      </c>
      <c r="I245" s="29"/>
      <c r="J245" s="39"/>
      <c r="K245" s="25">
        <f t="shared" si="50"/>
        <v>6.5</v>
      </c>
    </row>
    <row r="246" ht="13.5" customHeight="1">
      <c r="A246" s="40" t="s">
        <v>7</v>
      </c>
      <c r="B246" s="40"/>
      <c r="C246" s="40"/>
      <c r="D246" s="10">
        <f t="shared" ref="D246:J246" si="51">SUM(D240:D245)</f>
        <v>1060</v>
      </c>
      <c r="E246" s="10">
        <f t="shared" si="51"/>
        <v>0</v>
      </c>
      <c r="F246" s="10">
        <f t="shared" si="51"/>
        <v>0</v>
      </c>
      <c r="G246" s="10">
        <f t="shared" si="51"/>
        <v>0</v>
      </c>
      <c r="H246" s="10">
        <f t="shared" si="51"/>
        <v>5866.5</v>
      </c>
      <c r="I246" s="10">
        <f t="shared" si="51"/>
        <v>0</v>
      </c>
      <c r="J246" s="10">
        <f t="shared" si="51"/>
        <v>250</v>
      </c>
      <c r="K246" s="25">
        <f t="shared" si="50"/>
        <v>7176.5</v>
      </c>
    </row>
    <row r="247" ht="13.5" customHeight="1"/>
    <row r="248" ht="13.5" customHeight="1">
      <c r="A248" s="48" t="s">
        <v>465</v>
      </c>
    </row>
    <row r="249" ht="13.5" customHeight="1">
      <c r="A249" s="14" t="s">
        <v>25</v>
      </c>
      <c r="B249" s="14" t="s">
        <v>1</v>
      </c>
      <c r="C249" s="14" t="s">
        <v>27</v>
      </c>
      <c r="D249" s="15" t="s">
        <v>2</v>
      </c>
      <c r="E249" s="10" t="s">
        <v>325</v>
      </c>
      <c r="F249" s="16" t="s">
        <v>3</v>
      </c>
      <c r="G249" s="15" t="s">
        <v>4</v>
      </c>
      <c r="H249" s="15" t="s">
        <v>5</v>
      </c>
      <c r="I249" s="15" t="s">
        <v>29</v>
      </c>
      <c r="J249" s="14" t="s">
        <v>30</v>
      </c>
      <c r="K249" s="17" t="s">
        <v>7</v>
      </c>
    </row>
    <row r="250" ht="14.25" customHeight="1">
      <c r="A250" s="18" t="s">
        <v>31</v>
      </c>
      <c r="B250" s="19">
        <v>1.0</v>
      </c>
      <c r="C250" s="20" t="s">
        <v>33</v>
      </c>
      <c r="D250" s="21">
        <v>310.0</v>
      </c>
      <c r="E250" s="36"/>
      <c r="F250" s="36"/>
      <c r="G250" s="36"/>
      <c r="H250" s="32">
        <v>430.0</v>
      </c>
      <c r="I250" s="23"/>
      <c r="J250" s="24">
        <v>50.0</v>
      </c>
      <c r="K250" s="25">
        <f t="shared" ref="K250:K256" si="52">D250+F250+G250+H250+I250+J250</f>
        <v>790</v>
      </c>
    </row>
    <row r="251" ht="13.5" customHeight="1">
      <c r="A251" s="26" t="s">
        <v>34</v>
      </c>
      <c r="B251" s="27"/>
      <c r="C251" s="28"/>
      <c r="D251" s="21">
        <v>300.0</v>
      </c>
      <c r="E251" s="36"/>
      <c r="F251" s="36"/>
      <c r="G251" s="32"/>
      <c r="H251" s="36">
        <v>420.0</v>
      </c>
      <c r="I251" s="32"/>
      <c r="J251" s="21">
        <v>50.0</v>
      </c>
      <c r="K251" s="25">
        <f t="shared" si="52"/>
        <v>770</v>
      </c>
    </row>
    <row r="252" ht="13.5" customHeight="1">
      <c r="A252" s="18" t="s">
        <v>35</v>
      </c>
      <c r="B252" s="30">
        <v>2.3</v>
      </c>
      <c r="C252" s="31" t="s">
        <v>36</v>
      </c>
      <c r="D252" s="21">
        <v>310.0</v>
      </c>
      <c r="E252" s="36"/>
      <c r="F252" s="36"/>
      <c r="G252" s="36"/>
      <c r="H252" s="32">
        <v>890.0</v>
      </c>
      <c r="I252" s="23"/>
      <c r="J252" s="24">
        <v>70.0</v>
      </c>
      <c r="K252" s="25">
        <f t="shared" si="52"/>
        <v>1270</v>
      </c>
    </row>
    <row r="253" ht="13.5" customHeight="1">
      <c r="A253" s="26" t="s">
        <v>37</v>
      </c>
      <c r="B253" s="33"/>
      <c r="C253" s="34"/>
      <c r="D253" s="21">
        <v>320.0</v>
      </c>
      <c r="E253" s="36"/>
      <c r="F253" s="36"/>
      <c r="G253" s="21"/>
      <c r="H253" s="21">
        <v>880.0</v>
      </c>
      <c r="I253" s="21"/>
      <c r="J253" s="21">
        <v>60.0</v>
      </c>
      <c r="K253" s="25">
        <f t="shared" si="52"/>
        <v>1260</v>
      </c>
    </row>
    <row r="254" ht="14.25" customHeight="1">
      <c r="A254" s="18" t="s">
        <v>38</v>
      </c>
      <c r="B254" s="19" t="s">
        <v>39</v>
      </c>
      <c r="C254" s="19" t="s">
        <v>40</v>
      </c>
      <c r="D254" s="10">
        <v>460.0</v>
      </c>
      <c r="E254" s="36"/>
      <c r="F254" s="10"/>
      <c r="G254" s="10"/>
      <c r="H254" s="10">
        <v>5010.0</v>
      </c>
      <c r="I254" s="10"/>
      <c r="J254" s="10">
        <v>170.0</v>
      </c>
      <c r="K254" s="25">
        <f t="shared" si="52"/>
        <v>5640</v>
      </c>
      <c r="L254" s="47"/>
      <c r="M254" s="12"/>
    </row>
    <row r="255" ht="13.5" customHeight="1">
      <c r="A255" s="35" t="s">
        <v>41</v>
      </c>
      <c r="B255" s="27"/>
      <c r="C255" s="27"/>
      <c r="D255" s="21">
        <v>460.0</v>
      </c>
      <c r="E255" s="36"/>
      <c r="F255" s="21"/>
      <c r="G255" s="21"/>
      <c r="H255" s="21">
        <v>5060.0</v>
      </c>
      <c r="I255" s="21"/>
      <c r="J255" s="21">
        <v>150.0</v>
      </c>
      <c r="K255" s="25">
        <f t="shared" si="52"/>
        <v>5670</v>
      </c>
    </row>
    <row r="256" ht="13.5" customHeight="1">
      <c r="A256" s="40" t="s">
        <v>7</v>
      </c>
      <c r="B256" s="40"/>
      <c r="C256" s="40"/>
      <c r="D256" s="10">
        <f t="shared" ref="D256:J256" si="53">SUM(D250:D255)</f>
        <v>2160</v>
      </c>
      <c r="E256" s="10">
        <f t="shared" si="53"/>
        <v>0</v>
      </c>
      <c r="F256" s="10">
        <f t="shared" si="53"/>
        <v>0</v>
      </c>
      <c r="G256" s="10">
        <f t="shared" si="53"/>
        <v>0</v>
      </c>
      <c r="H256" s="10">
        <f t="shared" si="53"/>
        <v>12690</v>
      </c>
      <c r="I256" s="10">
        <f t="shared" si="53"/>
        <v>0</v>
      </c>
      <c r="J256" s="10">
        <f t="shared" si="53"/>
        <v>550</v>
      </c>
      <c r="K256" s="25">
        <f t="shared" si="52"/>
        <v>15400</v>
      </c>
    </row>
    <row r="257" ht="13.5" customHeight="1"/>
    <row r="258" ht="13.5" customHeight="1">
      <c r="A258" s="48" t="s">
        <v>466</v>
      </c>
    </row>
    <row r="259" ht="13.5" customHeight="1">
      <c r="A259" s="14" t="s">
        <v>25</v>
      </c>
      <c r="B259" s="14" t="s">
        <v>1</v>
      </c>
      <c r="C259" s="14" t="s">
        <v>27</v>
      </c>
      <c r="D259" s="15" t="s">
        <v>2</v>
      </c>
      <c r="E259" s="10" t="s">
        <v>325</v>
      </c>
      <c r="F259" s="16" t="s">
        <v>3</v>
      </c>
      <c r="G259" s="15" t="s">
        <v>4</v>
      </c>
      <c r="H259" s="15" t="s">
        <v>5</v>
      </c>
      <c r="I259" s="15" t="s">
        <v>29</v>
      </c>
      <c r="J259" s="14" t="s">
        <v>30</v>
      </c>
      <c r="K259" s="17" t="s">
        <v>7</v>
      </c>
    </row>
    <row r="260" ht="14.25" customHeight="1">
      <c r="A260" s="18" t="s">
        <v>31</v>
      </c>
      <c r="B260" s="19">
        <v>1.0</v>
      </c>
      <c r="C260" s="20" t="s">
        <v>33</v>
      </c>
      <c r="D260" s="21">
        <v>300.0</v>
      </c>
      <c r="E260" s="36"/>
      <c r="F260" s="36"/>
      <c r="G260" s="32"/>
      <c r="H260" s="21">
        <v>440.0</v>
      </c>
      <c r="I260" s="23"/>
      <c r="J260" s="24">
        <v>50.0</v>
      </c>
      <c r="K260" s="25">
        <f t="shared" ref="K260:K266" si="54">D260+F260+G260+H260+I260+J260</f>
        <v>790</v>
      </c>
    </row>
    <row r="261" ht="13.5" customHeight="1">
      <c r="A261" s="26" t="s">
        <v>34</v>
      </c>
      <c r="B261" s="27"/>
      <c r="C261" s="28"/>
      <c r="D261" s="21">
        <v>310.0</v>
      </c>
      <c r="E261" s="36"/>
      <c r="F261" s="36"/>
      <c r="G261" s="22"/>
      <c r="H261" s="21">
        <v>470.0</v>
      </c>
      <c r="I261" s="29"/>
      <c r="J261" s="29">
        <v>50.0</v>
      </c>
      <c r="K261" s="25">
        <f t="shared" si="54"/>
        <v>830</v>
      </c>
    </row>
    <row r="262" ht="13.5" customHeight="1">
      <c r="A262" s="18" t="s">
        <v>35</v>
      </c>
      <c r="B262" s="30">
        <v>2.3</v>
      </c>
      <c r="C262" s="31" t="s">
        <v>36</v>
      </c>
      <c r="D262" s="21">
        <v>300.0</v>
      </c>
      <c r="E262" s="36"/>
      <c r="F262" s="10"/>
      <c r="G262" s="36"/>
      <c r="H262" s="21">
        <v>900.0</v>
      </c>
      <c r="I262" s="23"/>
      <c r="J262" s="24">
        <v>60.0</v>
      </c>
      <c r="K262" s="25">
        <f t="shared" si="54"/>
        <v>1260</v>
      </c>
    </row>
    <row r="263" ht="13.5" customHeight="1">
      <c r="A263" s="26" t="s">
        <v>37</v>
      </c>
      <c r="B263" s="33"/>
      <c r="C263" s="34"/>
      <c r="D263" s="21">
        <v>310.0</v>
      </c>
      <c r="E263" s="36"/>
      <c r="F263" s="36"/>
      <c r="G263" s="22"/>
      <c r="H263" s="21">
        <v>910.0</v>
      </c>
      <c r="I263" s="29"/>
      <c r="J263" s="29">
        <v>50.0</v>
      </c>
      <c r="K263" s="25">
        <f t="shared" si="54"/>
        <v>1270</v>
      </c>
    </row>
    <row r="264" ht="14.25" customHeight="1">
      <c r="A264" s="18" t="s">
        <v>38</v>
      </c>
      <c r="B264" s="19" t="s">
        <v>39</v>
      </c>
      <c r="C264" s="19" t="s">
        <v>40</v>
      </c>
      <c r="D264" s="21">
        <v>460.0</v>
      </c>
      <c r="E264" s="36"/>
      <c r="F264" s="36"/>
      <c r="G264" s="32"/>
      <c r="H264" s="21">
        <v>5070.0</v>
      </c>
      <c r="I264" s="23"/>
      <c r="J264" s="24">
        <v>160.0</v>
      </c>
      <c r="K264" s="25">
        <f t="shared" si="54"/>
        <v>5690</v>
      </c>
      <c r="L264" s="47"/>
      <c r="M264" s="12"/>
    </row>
    <row r="265" ht="13.5" customHeight="1">
      <c r="A265" s="35" t="s">
        <v>41</v>
      </c>
      <c r="B265" s="27"/>
      <c r="C265" s="27"/>
      <c r="D265" s="21">
        <v>460.0</v>
      </c>
      <c r="E265" s="36"/>
      <c r="F265" s="21"/>
      <c r="G265" s="21"/>
      <c r="H265" s="21">
        <v>5090.0</v>
      </c>
      <c r="I265" s="21"/>
      <c r="J265" s="21">
        <v>160.0</v>
      </c>
      <c r="K265" s="25">
        <f t="shared" si="54"/>
        <v>5710</v>
      </c>
    </row>
    <row r="266" ht="13.5" customHeight="1">
      <c r="A266" s="40" t="s">
        <v>7</v>
      </c>
      <c r="B266" s="40"/>
      <c r="C266" s="40"/>
      <c r="D266" s="10">
        <f t="shared" ref="D266:J266" si="55">SUM(D260:D265)</f>
        <v>2140</v>
      </c>
      <c r="E266" s="10">
        <f t="shared" si="55"/>
        <v>0</v>
      </c>
      <c r="F266" s="10">
        <f t="shared" si="55"/>
        <v>0</v>
      </c>
      <c r="G266" s="10">
        <f t="shared" si="55"/>
        <v>0</v>
      </c>
      <c r="H266" s="10">
        <f t="shared" si="55"/>
        <v>12880</v>
      </c>
      <c r="I266" s="10">
        <f t="shared" si="55"/>
        <v>0</v>
      </c>
      <c r="J266" s="10">
        <f t="shared" si="55"/>
        <v>530</v>
      </c>
      <c r="K266" s="25">
        <f t="shared" si="54"/>
        <v>15550</v>
      </c>
    </row>
    <row r="267" ht="13.5" customHeight="1">
      <c r="A267" s="48"/>
    </row>
    <row r="268" ht="13.5" customHeight="1">
      <c r="A268" s="48" t="s">
        <v>467</v>
      </c>
    </row>
    <row r="269" ht="13.5" customHeight="1">
      <c r="A269" s="14" t="s">
        <v>25</v>
      </c>
      <c r="B269" s="14" t="s">
        <v>1</v>
      </c>
      <c r="C269" s="14" t="s">
        <v>27</v>
      </c>
      <c r="D269" s="15" t="s">
        <v>2</v>
      </c>
      <c r="E269" s="10" t="s">
        <v>325</v>
      </c>
      <c r="F269" s="16" t="s">
        <v>3</v>
      </c>
      <c r="G269" s="14" t="s">
        <v>4</v>
      </c>
      <c r="H269" s="15" t="s">
        <v>5</v>
      </c>
      <c r="I269" s="15" t="s">
        <v>29</v>
      </c>
      <c r="J269" s="14" t="s">
        <v>30</v>
      </c>
      <c r="K269" s="17" t="s">
        <v>7</v>
      </c>
    </row>
    <row r="270" ht="13.5" customHeight="1">
      <c r="A270" s="18" t="s">
        <v>31</v>
      </c>
      <c r="B270" s="19">
        <v>1.0</v>
      </c>
      <c r="C270" s="20" t="s">
        <v>33</v>
      </c>
      <c r="D270" s="21">
        <v>320.0</v>
      </c>
      <c r="E270" s="36"/>
      <c r="F270" s="36"/>
      <c r="G270" s="32"/>
      <c r="H270" s="21">
        <v>440.0</v>
      </c>
      <c r="I270" s="21"/>
      <c r="J270" s="24">
        <v>70.0</v>
      </c>
      <c r="K270" s="25">
        <f t="shared" ref="K270:K276" si="56">D270+F270+G270+H270+I270+J270</f>
        <v>830</v>
      </c>
    </row>
    <row r="271" ht="13.5" customHeight="1">
      <c r="A271" s="26" t="s">
        <v>34</v>
      </c>
      <c r="B271" s="27"/>
      <c r="C271" s="28"/>
      <c r="D271" s="21">
        <v>320.0</v>
      </c>
      <c r="E271" s="36"/>
      <c r="F271" s="36"/>
      <c r="G271" s="22"/>
      <c r="H271" s="21">
        <v>400.0</v>
      </c>
      <c r="I271" s="21"/>
      <c r="J271" s="29">
        <v>80.0</v>
      </c>
      <c r="K271" s="25">
        <f t="shared" si="56"/>
        <v>800</v>
      </c>
    </row>
    <row r="272" ht="13.5" customHeight="1">
      <c r="A272" s="18" t="s">
        <v>35</v>
      </c>
      <c r="B272" s="30">
        <v>2.3</v>
      </c>
      <c r="C272" s="31" t="s">
        <v>36</v>
      </c>
      <c r="D272" s="21">
        <v>320.0</v>
      </c>
      <c r="E272" s="36"/>
      <c r="F272" s="36"/>
      <c r="G272" s="32"/>
      <c r="H272" s="43">
        <v>930.0</v>
      </c>
      <c r="I272" s="21"/>
      <c r="J272" s="24">
        <v>80.0</v>
      </c>
      <c r="K272" s="25">
        <f t="shared" si="56"/>
        <v>1330</v>
      </c>
    </row>
    <row r="273" ht="13.5" customHeight="1">
      <c r="A273" s="26" t="s">
        <v>37</v>
      </c>
      <c r="B273" s="33"/>
      <c r="C273" s="34"/>
      <c r="D273" s="21">
        <v>300.0</v>
      </c>
      <c r="E273" s="36"/>
      <c r="F273" s="36"/>
      <c r="G273" s="22"/>
      <c r="H273" s="43">
        <v>1000.0</v>
      </c>
      <c r="I273" s="21"/>
      <c r="J273" s="29">
        <v>80.0</v>
      </c>
      <c r="K273" s="25">
        <f t="shared" si="56"/>
        <v>1380</v>
      </c>
    </row>
    <row r="274" ht="15.0" customHeight="1">
      <c r="A274" s="18" t="s">
        <v>38</v>
      </c>
      <c r="B274" s="19" t="s">
        <v>39</v>
      </c>
      <c r="C274" s="19" t="s">
        <v>40</v>
      </c>
      <c r="D274" s="21">
        <v>460.0</v>
      </c>
      <c r="E274" s="36"/>
      <c r="F274" s="41"/>
      <c r="G274" s="32"/>
      <c r="H274" s="21">
        <v>5100.0</v>
      </c>
      <c r="I274" s="21"/>
      <c r="J274" s="24">
        <v>170.0</v>
      </c>
      <c r="K274" s="25">
        <f t="shared" si="56"/>
        <v>5730</v>
      </c>
    </row>
    <row r="275" ht="13.5" customHeight="1">
      <c r="A275" s="35" t="s">
        <v>41</v>
      </c>
      <c r="B275" s="27"/>
      <c r="C275" s="27"/>
      <c r="D275" s="21">
        <v>470.0</v>
      </c>
      <c r="E275" s="36"/>
      <c r="F275" s="37"/>
      <c r="G275" s="38"/>
      <c r="H275" s="21">
        <v>5140.0</v>
      </c>
      <c r="I275" s="21"/>
      <c r="J275" s="39">
        <v>170.0</v>
      </c>
      <c r="K275" s="25">
        <f t="shared" si="56"/>
        <v>5780</v>
      </c>
    </row>
    <row r="276" ht="13.5" customHeight="1">
      <c r="A276" s="40" t="s">
        <v>7</v>
      </c>
      <c r="B276" s="40"/>
      <c r="C276" s="40"/>
      <c r="D276" s="10">
        <f t="shared" ref="D276:J276" si="57">SUM(D270:D275)</f>
        <v>2190</v>
      </c>
      <c r="E276" s="10">
        <f t="shared" si="57"/>
        <v>0</v>
      </c>
      <c r="F276" s="10">
        <f t="shared" si="57"/>
        <v>0</v>
      </c>
      <c r="G276" s="10">
        <f t="shared" si="57"/>
        <v>0</v>
      </c>
      <c r="H276" s="10">
        <f t="shared" si="57"/>
        <v>13010</v>
      </c>
      <c r="I276" s="10">
        <f t="shared" si="57"/>
        <v>0</v>
      </c>
      <c r="J276" s="10">
        <f t="shared" si="57"/>
        <v>650</v>
      </c>
      <c r="K276" s="25">
        <f t="shared" si="56"/>
        <v>15850</v>
      </c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ht="13.5" customHeight="1">
      <c r="A278" s="48" t="s">
        <v>468</v>
      </c>
    </row>
    <row r="279" ht="13.5" customHeight="1">
      <c r="A279" s="14" t="s">
        <v>25</v>
      </c>
      <c r="B279" s="14" t="s">
        <v>1</v>
      </c>
      <c r="C279" s="14" t="s">
        <v>27</v>
      </c>
      <c r="D279" s="15" t="s">
        <v>2</v>
      </c>
      <c r="E279" s="10" t="s">
        <v>325</v>
      </c>
      <c r="F279" s="16" t="s">
        <v>3</v>
      </c>
      <c r="G279" s="14" t="s">
        <v>4</v>
      </c>
      <c r="H279" s="15" t="s">
        <v>5</v>
      </c>
      <c r="I279" s="15" t="s">
        <v>29</v>
      </c>
      <c r="J279" s="14" t="s">
        <v>30</v>
      </c>
      <c r="K279" s="17" t="s">
        <v>7</v>
      </c>
    </row>
    <row r="280" ht="13.5" customHeight="1">
      <c r="A280" s="18" t="s">
        <v>31</v>
      </c>
      <c r="B280" s="19">
        <v>1.0</v>
      </c>
      <c r="C280" s="20" t="s">
        <v>33</v>
      </c>
      <c r="D280" s="21">
        <v>290.0</v>
      </c>
      <c r="E280" s="36"/>
      <c r="F280" s="36"/>
      <c r="G280" s="32"/>
      <c r="H280" s="21">
        <v>460.0</v>
      </c>
      <c r="I280" s="21"/>
      <c r="J280" s="24">
        <v>50.0</v>
      </c>
      <c r="K280" s="25">
        <f t="shared" ref="K280:K286" si="58">D280+F280+G280+H280+I280+J280</f>
        <v>800</v>
      </c>
    </row>
    <row r="281" ht="13.5" customHeight="1">
      <c r="A281" s="26" t="s">
        <v>34</v>
      </c>
      <c r="B281" s="27"/>
      <c r="C281" s="28"/>
      <c r="D281" s="21">
        <v>310.0</v>
      </c>
      <c r="E281" s="36"/>
      <c r="F281" s="36"/>
      <c r="G281" s="22"/>
      <c r="H281" s="21">
        <v>460.0</v>
      </c>
      <c r="I281" s="21"/>
      <c r="J281" s="29">
        <v>50.0</v>
      </c>
      <c r="K281" s="25">
        <f t="shared" si="58"/>
        <v>820</v>
      </c>
    </row>
    <row r="282" ht="13.5" customHeight="1">
      <c r="A282" s="18" t="s">
        <v>35</v>
      </c>
      <c r="B282" s="30">
        <v>2.3</v>
      </c>
      <c r="C282" s="31" t="s">
        <v>36</v>
      </c>
      <c r="D282" s="21">
        <v>310.0</v>
      </c>
      <c r="E282" s="36"/>
      <c r="F282" s="36"/>
      <c r="G282" s="32"/>
      <c r="H282" s="21">
        <v>1040.0</v>
      </c>
      <c r="I282" s="21"/>
      <c r="J282" s="24">
        <v>70.0</v>
      </c>
      <c r="K282" s="25">
        <f t="shared" si="58"/>
        <v>1420</v>
      </c>
    </row>
    <row r="283" ht="13.5" customHeight="1">
      <c r="A283" s="26" t="s">
        <v>37</v>
      </c>
      <c r="B283" s="33"/>
      <c r="C283" s="34"/>
      <c r="D283" s="21">
        <v>320.0</v>
      </c>
      <c r="E283" s="36"/>
      <c r="F283" s="36"/>
      <c r="G283" s="22"/>
      <c r="H283" s="21">
        <v>900.0</v>
      </c>
      <c r="I283" s="21"/>
      <c r="J283" s="29">
        <v>60.0</v>
      </c>
      <c r="K283" s="25">
        <f t="shared" si="58"/>
        <v>1280</v>
      </c>
    </row>
    <row r="284" ht="15.0" customHeight="1">
      <c r="A284" s="18" t="s">
        <v>38</v>
      </c>
      <c r="B284" s="19" t="s">
        <v>39</v>
      </c>
      <c r="C284" s="19" t="s">
        <v>40</v>
      </c>
      <c r="D284" s="21">
        <v>460.0</v>
      </c>
      <c r="E284" s="36"/>
      <c r="F284" s="41"/>
      <c r="G284" s="32"/>
      <c r="H284" s="21">
        <v>5120.0</v>
      </c>
      <c r="I284" s="21"/>
      <c r="J284" s="24">
        <v>160.0</v>
      </c>
      <c r="K284" s="25">
        <f t="shared" si="58"/>
        <v>5740</v>
      </c>
    </row>
    <row r="285" ht="13.5" customHeight="1">
      <c r="A285" s="35" t="s">
        <v>41</v>
      </c>
      <c r="B285" s="27"/>
      <c r="C285" s="27"/>
      <c r="D285" s="21">
        <v>460.0</v>
      </c>
      <c r="E285" s="36"/>
      <c r="F285" s="37"/>
      <c r="G285" s="38"/>
      <c r="H285" s="21">
        <v>5630.0</v>
      </c>
      <c r="I285" s="21"/>
      <c r="J285" s="39">
        <v>150.0</v>
      </c>
      <c r="K285" s="25">
        <f t="shared" si="58"/>
        <v>6240</v>
      </c>
    </row>
    <row r="286" ht="13.5" customHeight="1">
      <c r="A286" s="40" t="s">
        <v>7</v>
      </c>
      <c r="B286" s="40"/>
      <c r="C286" s="40"/>
      <c r="D286" s="10">
        <f t="shared" ref="D286:J286" si="59">SUM(D280:D285)</f>
        <v>2150</v>
      </c>
      <c r="E286" s="10">
        <f t="shared" si="59"/>
        <v>0</v>
      </c>
      <c r="F286" s="10">
        <f t="shared" si="59"/>
        <v>0</v>
      </c>
      <c r="G286" s="10">
        <f t="shared" si="59"/>
        <v>0</v>
      </c>
      <c r="H286" s="10">
        <f t="shared" si="59"/>
        <v>13610</v>
      </c>
      <c r="I286" s="10">
        <f t="shared" si="59"/>
        <v>0</v>
      </c>
      <c r="J286" s="10">
        <f t="shared" si="59"/>
        <v>540</v>
      </c>
      <c r="K286" s="25">
        <f t="shared" si="58"/>
        <v>16300</v>
      </c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ht="13.5" customHeight="1">
      <c r="A288" s="48" t="s">
        <v>469</v>
      </c>
    </row>
    <row r="289" ht="13.5" customHeight="1">
      <c r="A289" s="14" t="s">
        <v>25</v>
      </c>
      <c r="B289" s="14" t="s">
        <v>1</v>
      </c>
      <c r="C289" s="14" t="s">
        <v>27</v>
      </c>
      <c r="D289" s="15" t="s">
        <v>2</v>
      </c>
      <c r="E289" s="16" t="s">
        <v>28</v>
      </c>
      <c r="F289" s="16" t="s">
        <v>3</v>
      </c>
      <c r="G289" s="14" t="s">
        <v>4</v>
      </c>
      <c r="H289" s="15" t="s">
        <v>5</v>
      </c>
      <c r="I289" s="15" t="s">
        <v>29</v>
      </c>
      <c r="J289" s="14" t="s">
        <v>30</v>
      </c>
      <c r="K289" s="17" t="s">
        <v>7</v>
      </c>
    </row>
    <row r="290" ht="13.5" customHeight="1">
      <c r="A290" s="18" t="s">
        <v>31</v>
      </c>
      <c r="B290" s="19">
        <v>1.0</v>
      </c>
      <c r="C290" s="20" t="s">
        <v>33</v>
      </c>
      <c r="D290" s="21">
        <v>310.0</v>
      </c>
      <c r="E290" s="36"/>
      <c r="F290" s="36"/>
      <c r="G290" s="32"/>
      <c r="H290" s="21">
        <v>430.0</v>
      </c>
      <c r="I290" s="21"/>
      <c r="J290" s="24">
        <v>50.0</v>
      </c>
      <c r="K290" s="25">
        <f t="shared" ref="K290:K296" si="60">SUM(D290:J290)</f>
        <v>790</v>
      </c>
    </row>
    <row r="291" ht="13.5" customHeight="1">
      <c r="A291" s="26" t="s">
        <v>34</v>
      </c>
      <c r="B291" s="27"/>
      <c r="C291" s="28"/>
      <c r="D291" s="21">
        <v>310.0</v>
      </c>
      <c r="E291" s="36"/>
      <c r="F291" s="36"/>
      <c r="G291" s="22"/>
      <c r="H291" s="21">
        <v>460.0</v>
      </c>
      <c r="I291" s="21"/>
      <c r="J291" s="29">
        <v>50.0</v>
      </c>
      <c r="K291" s="25">
        <f t="shared" si="60"/>
        <v>820</v>
      </c>
      <c r="L291" s="43" t="s">
        <v>470</v>
      </c>
    </row>
    <row r="292" ht="13.5" customHeight="1">
      <c r="A292" s="18" t="s">
        <v>35</v>
      </c>
      <c r="B292" s="30" t="s">
        <v>471</v>
      </c>
      <c r="C292" s="31" t="s">
        <v>36</v>
      </c>
      <c r="D292" s="21">
        <v>320.0</v>
      </c>
      <c r="E292" s="36"/>
      <c r="F292" s="36"/>
      <c r="G292" s="32"/>
      <c r="H292" s="21">
        <v>990.0</v>
      </c>
      <c r="I292" s="21"/>
      <c r="J292" s="24">
        <v>60.0</v>
      </c>
      <c r="K292" s="25">
        <f t="shared" si="60"/>
        <v>1370</v>
      </c>
    </row>
    <row r="293" ht="13.5" customHeight="1">
      <c r="A293" s="26" t="s">
        <v>37</v>
      </c>
      <c r="B293" s="33"/>
      <c r="C293" s="34"/>
      <c r="D293" s="21">
        <v>310.0</v>
      </c>
      <c r="E293" s="36"/>
      <c r="F293" s="36"/>
      <c r="G293" s="22"/>
      <c r="H293" s="21">
        <v>920.0</v>
      </c>
      <c r="I293" s="21"/>
      <c r="J293" s="29">
        <v>70.0</v>
      </c>
      <c r="K293" s="25">
        <f t="shared" si="60"/>
        <v>1300</v>
      </c>
    </row>
    <row r="294" ht="15.0" customHeight="1">
      <c r="A294" s="18" t="s">
        <v>38</v>
      </c>
      <c r="B294" s="19" t="s">
        <v>39</v>
      </c>
      <c r="C294" s="19" t="s">
        <v>40</v>
      </c>
      <c r="D294" s="21">
        <v>460.0</v>
      </c>
      <c r="E294" s="41"/>
      <c r="F294" s="41"/>
      <c r="G294" s="32"/>
      <c r="H294" s="21">
        <v>5650.0</v>
      </c>
      <c r="I294" s="21"/>
      <c r="J294" s="24">
        <v>160.0</v>
      </c>
      <c r="K294" s="25">
        <f t="shared" si="60"/>
        <v>6270</v>
      </c>
    </row>
    <row r="295" ht="13.5" customHeight="1">
      <c r="A295" s="35" t="s">
        <v>41</v>
      </c>
      <c r="B295" s="27"/>
      <c r="C295" s="27"/>
      <c r="D295" s="21">
        <v>450.0</v>
      </c>
      <c r="E295" s="36"/>
      <c r="F295" s="37"/>
      <c r="G295" s="38"/>
      <c r="H295" s="21">
        <v>5590.0</v>
      </c>
      <c r="I295" s="21"/>
      <c r="J295" s="39">
        <v>160.0</v>
      </c>
      <c r="K295" s="25">
        <f t="shared" si="60"/>
        <v>6200</v>
      </c>
    </row>
    <row r="296" ht="13.5" customHeight="1">
      <c r="A296" s="40" t="s">
        <v>7</v>
      </c>
      <c r="B296" s="40"/>
      <c r="C296" s="40"/>
      <c r="D296" s="10">
        <f t="shared" ref="D296:J296" si="61">SUM(D290:D295)</f>
        <v>2160</v>
      </c>
      <c r="E296" s="10">
        <f t="shared" si="61"/>
        <v>0</v>
      </c>
      <c r="F296" s="10">
        <f t="shared" si="61"/>
        <v>0</v>
      </c>
      <c r="G296" s="10">
        <f t="shared" si="61"/>
        <v>0</v>
      </c>
      <c r="H296" s="10">
        <f t="shared" si="61"/>
        <v>14040</v>
      </c>
      <c r="I296" s="10">
        <f t="shared" si="61"/>
        <v>0</v>
      </c>
      <c r="J296" s="10">
        <f t="shared" si="61"/>
        <v>550</v>
      </c>
      <c r="K296" s="25">
        <f t="shared" si="60"/>
        <v>16750</v>
      </c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ht="13.5" customHeight="1">
      <c r="A299" s="64" t="s">
        <v>472</v>
      </c>
      <c r="B299" s="65"/>
      <c r="C299" s="65"/>
      <c r="D299" s="5"/>
      <c r="E299" s="10"/>
      <c r="F299" s="10"/>
      <c r="G299" s="10"/>
      <c r="H299" s="10"/>
      <c r="I299" s="10"/>
      <c r="J299" s="10"/>
      <c r="K299" s="10"/>
    </row>
    <row r="300" ht="13.5" customHeight="1">
      <c r="A300" s="15" t="s">
        <v>25</v>
      </c>
      <c r="B300" s="15" t="s">
        <v>1</v>
      </c>
      <c r="C300" s="15" t="s">
        <v>27</v>
      </c>
      <c r="D300" s="15" t="s">
        <v>2</v>
      </c>
      <c r="E300" s="10" t="s">
        <v>28</v>
      </c>
      <c r="F300" s="16" t="s">
        <v>3</v>
      </c>
      <c r="G300" s="15" t="s">
        <v>4</v>
      </c>
      <c r="H300" s="15" t="s">
        <v>5</v>
      </c>
      <c r="I300" s="15" t="s">
        <v>29</v>
      </c>
      <c r="J300" s="15" t="s">
        <v>30</v>
      </c>
      <c r="K300" s="10" t="s">
        <v>7</v>
      </c>
    </row>
    <row r="301" ht="13.5" customHeight="1">
      <c r="A301" s="10" t="s">
        <v>31</v>
      </c>
      <c r="B301" s="19">
        <v>1.0</v>
      </c>
      <c r="C301" s="10" t="s">
        <v>33</v>
      </c>
      <c r="D301" s="21">
        <f t="shared" ref="D301:J301" si="62">D4+D14+D23+D32+D41+D50+D60+D70+D80+D90+D99+D109+D118+D127+D136+D145+D154+D163+D172+D181+D190+D200+D210+D220+D230+D240+D250+D260+D270+D280+D290</f>
        <v>12530</v>
      </c>
      <c r="E301" s="21">
        <f t="shared" si="62"/>
        <v>0</v>
      </c>
      <c r="F301" s="21">
        <f t="shared" si="62"/>
        <v>3680</v>
      </c>
      <c r="G301" s="21">
        <f t="shared" si="62"/>
        <v>0</v>
      </c>
      <c r="H301" s="21">
        <f t="shared" si="62"/>
        <v>41500</v>
      </c>
      <c r="I301" s="21">
        <f t="shared" si="62"/>
        <v>0</v>
      </c>
      <c r="J301" s="21">
        <f t="shared" si="62"/>
        <v>2580</v>
      </c>
      <c r="K301" s="10">
        <f t="shared" ref="K301:K306" si="64">SUM(D301:J301)</f>
        <v>60290</v>
      </c>
    </row>
    <row r="302" ht="13.5" customHeight="1">
      <c r="A302" s="10" t="s">
        <v>34</v>
      </c>
      <c r="B302" s="27"/>
      <c r="C302" s="10"/>
      <c r="D302" s="21">
        <f t="shared" ref="D302:J302" si="63">D5+D15+D24+D33+D42+D51+D61+D71+D81+D91+D100+D110+D119+D128+D137+D146+D155+D164+D173+D182+D191+D201+D211+D221+D231+D241+D251+D261+D271+D281+D291</f>
        <v>12180</v>
      </c>
      <c r="E302" s="21">
        <f t="shared" si="63"/>
        <v>0</v>
      </c>
      <c r="F302" s="21">
        <f t="shared" si="63"/>
        <v>4830</v>
      </c>
      <c r="G302" s="21">
        <f t="shared" si="63"/>
        <v>0</v>
      </c>
      <c r="H302" s="21">
        <f t="shared" si="63"/>
        <v>40510</v>
      </c>
      <c r="I302" s="21">
        <f t="shared" si="63"/>
        <v>0</v>
      </c>
      <c r="J302" s="21">
        <f t="shared" si="63"/>
        <v>2630</v>
      </c>
      <c r="K302" s="10">
        <f t="shared" si="64"/>
        <v>60150</v>
      </c>
    </row>
    <row r="303" ht="13.5" customHeight="1">
      <c r="A303" s="10" t="s">
        <v>35</v>
      </c>
      <c r="B303" s="67">
        <v>2.3</v>
      </c>
      <c r="C303" s="15" t="s">
        <v>36</v>
      </c>
      <c r="D303" s="21">
        <f t="shared" ref="D303:J303" si="65">D6+D16+D25+D34+D43+D52+D62+D72+D82+D92+D101+D111+D120+D129+D138+D147+D156+D165+D174+D183+D192+D202+D212+D222+D232+D242+D252+D262+D272+D282+D292</f>
        <v>3110</v>
      </c>
      <c r="E303" s="21">
        <f t="shared" si="65"/>
        <v>0</v>
      </c>
      <c r="F303" s="21">
        <f t="shared" si="65"/>
        <v>1040</v>
      </c>
      <c r="G303" s="21">
        <f t="shared" si="65"/>
        <v>0</v>
      </c>
      <c r="H303" s="21">
        <f t="shared" si="65"/>
        <v>9070</v>
      </c>
      <c r="I303" s="21">
        <f t="shared" si="65"/>
        <v>0</v>
      </c>
      <c r="J303" s="21">
        <f t="shared" si="65"/>
        <v>700</v>
      </c>
      <c r="K303" s="10">
        <f t="shared" si="64"/>
        <v>13920</v>
      </c>
    </row>
    <row r="304" ht="13.5" customHeight="1">
      <c r="A304" s="10" t="s">
        <v>37</v>
      </c>
      <c r="B304" s="67"/>
      <c r="C304" s="15"/>
      <c r="D304" s="21">
        <f t="shared" ref="D304:J304" si="66">D7+D17+D26+D35+D44+D53+D63+D73+D83+D93+D102+D112+D121+D130+D139+D148+D157+D166+D175+D184+D193+D203+D213+D223+D233+D243+D253+D263+D273+D283+D293</f>
        <v>2790</v>
      </c>
      <c r="E304" s="21">
        <f t="shared" si="66"/>
        <v>0</v>
      </c>
      <c r="F304" s="21">
        <f t="shared" si="66"/>
        <v>1060</v>
      </c>
      <c r="G304" s="21">
        <f t="shared" si="66"/>
        <v>0</v>
      </c>
      <c r="H304" s="21">
        <f t="shared" si="66"/>
        <v>8110</v>
      </c>
      <c r="I304" s="21">
        <f t="shared" si="66"/>
        <v>0</v>
      </c>
      <c r="J304" s="21">
        <f t="shared" si="66"/>
        <v>620</v>
      </c>
      <c r="K304" s="10">
        <f t="shared" si="64"/>
        <v>12580</v>
      </c>
    </row>
    <row r="305" ht="15.0" customHeight="1">
      <c r="A305" s="10" t="s">
        <v>38</v>
      </c>
      <c r="B305" s="66" t="s">
        <v>39</v>
      </c>
      <c r="C305" s="66" t="s">
        <v>40</v>
      </c>
      <c r="D305" s="21">
        <f t="shared" ref="D305:J305" si="67">D8+D18+D27+D36+D45+D54+D64+D74+D84+D94+D103+D113+D122+D131+D140+D149+D158+D167+D176+D185+D194+D204+D214+D224+D234+D244+D254+D264+D274+D284+D294</f>
        <v>14070</v>
      </c>
      <c r="E305" s="21">
        <f t="shared" si="67"/>
        <v>0</v>
      </c>
      <c r="F305" s="21">
        <f t="shared" si="67"/>
        <v>6800</v>
      </c>
      <c r="G305" s="21">
        <f t="shared" si="67"/>
        <v>0</v>
      </c>
      <c r="H305" s="21">
        <f t="shared" si="67"/>
        <v>162610</v>
      </c>
      <c r="I305" s="21">
        <f t="shared" si="67"/>
        <v>0</v>
      </c>
      <c r="J305" s="21">
        <f t="shared" si="67"/>
        <v>7990</v>
      </c>
      <c r="K305" s="10">
        <f t="shared" si="64"/>
        <v>191470</v>
      </c>
    </row>
    <row r="306" ht="13.5" customHeight="1">
      <c r="A306" s="10" t="s">
        <v>41</v>
      </c>
      <c r="B306" s="7"/>
      <c r="C306" s="7"/>
      <c r="D306" s="21">
        <f t="shared" ref="D306:J306" si="68">D9+D19+D28+D37+D46+D55+D65+D75+D85+D95+D104+D114+D123+D132+D141+D150+D159+D168+D177+D186+D195+D205+D215+D225+D235+D245+D255+D265+D275+D285+D295</f>
        <v>13720</v>
      </c>
      <c r="E306" s="21">
        <f t="shared" si="68"/>
        <v>0</v>
      </c>
      <c r="F306" s="21">
        <f t="shared" si="68"/>
        <v>7280</v>
      </c>
      <c r="G306" s="21">
        <f t="shared" si="68"/>
        <v>0</v>
      </c>
      <c r="H306" s="21">
        <f t="shared" si="68"/>
        <v>157206.5</v>
      </c>
      <c r="I306" s="21">
        <f t="shared" si="68"/>
        <v>0</v>
      </c>
      <c r="J306" s="21">
        <f t="shared" si="68"/>
        <v>7790</v>
      </c>
      <c r="K306" s="10">
        <f t="shared" si="64"/>
        <v>185996.5</v>
      </c>
    </row>
    <row r="307" ht="13.5" customHeight="1">
      <c r="A307" s="10" t="s">
        <v>7</v>
      </c>
      <c r="B307" s="10"/>
      <c r="C307" s="10"/>
      <c r="D307" s="21">
        <f t="shared" ref="D307:K307" si="69">SUM(D301:D306)</f>
        <v>58400</v>
      </c>
      <c r="E307" s="21">
        <f t="shared" si="69"/>
        <v>0</v>
      </c>
      <c r="F307" s="21">
        <f t="shared" si="69"/>
        <v>24690</v>
      </c>
      <c r="G307" s="21">
        <f t="shared" si="69"/>
        <v>0</v>
      </c>
      <c r="H307" s="21">
        <f t="shared" si="69"/>
        <v>419006.5</v>
      </c>
      <c r="I307" s="21">
        <f t="shared" si="69"/>
        <v>0</v>
      </c>
      <c r="J307" s="21">
        <f t="shared" si="69"/>
        <v>22310</v>
      </c>
      <c r="K307" s="10">
        <f t="shared" si="69"/>
        <v>524406.5</v>
      </c>
    </row>
    <row r="308" ht="13.5" customHeight="1">
      <c r="A308" s="10"/>
      <c r="B308" s="10"/>
      <c r="C308" s="10"/>
      <c r="D308" s="15" t="s">
        <v>2</v>
      </c>
      <c r="E308" s="10" t="s">
        <v>28</v>
      </c>
      <c r="F308" s="16" t="s">
        <v>3</v>
      </c>
      <c r="G308" s="15" t="s">
        <v>4</v>
      </c>
      <c r="H308" s="15" t="s">
        <v>5</v>
      </c>
      <c r="I308" s="15" t="s">
        <v>29</v>
      </c>
      <c r="J308" s="15" t="s">
        <v>30</v>
      </c>
      <c r="K308" s="10" t="s">
        <v>7</v>
      </c>
    </row>
    <row r="309" ht="13.5" customHeight="1">
      <c r="A309" s="10"/>
      <c r="B309" s="66" t="s">
        <v>473</v>
      </c>
      <c r="C309" s="10" t="s">
        <v>33</v>
      </c>
      <c r="D309" s="10">
        <f t="shared" ref="D309:K309" si="70">D301+D302</f>
        <v>24710</v>
      </c>
      <c r="E309" s="10">
        <f t="shared" si="70"/>
        <v>0</v>
      </c>
      <c r="F309" s="10">
        <f t="shared" si="70"/>
        <v>8510</v>
      </c>
      <c r="G309" s="10">
        <f t="shared" si="70"/>
        <v>0</v>
      </c>
      <c r="H309" s="10">
        <f t="shared" si="70"/>
        <v>82010</v>
      </c>
      <c r="I309" s="10">
        <f t="shared" si="70"/>
        <v>0</v>
      </c>
      <c r="J309" s="10">
        <f t="shared" si="70"/>
        <v>5210</v>
      </c>
      <c r="K309" s="10">
        <f t="shared" si="70"/>
        <v>120440</v>
      </c>
      <c r="L309" s="68"/>
    </row>
    <row r="310" ht="13.5" customHeight="1">
      <c r="A310" s="10" t="s">
        <v>7</v>
      </c>
      <c r="B310" s="7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3.5" customHeight="1">
      <c r="A311" s="10"/>
      <c r="B311" s="67">
        <v>2.0</v>
      </c>
      <c r="C311" s="15" t="s">
        <v>36</v>
      </c>
      <c r="D311" s="10">
        <f t="shared" ref="D311:J311" si="71">D303+D304</f>
        <v>5900</v>
      </c>
      <c r="E311" s="10">
        <f t="shared" si="71"/>
        <v>0</v>
      </c>
      <c r="F311" s="10">
        <f t="shared" si="71"/>
        <v>2100</v>
      </c>
      <c r="G311" s="10">
        <f t="shared" si="71"/>
        <v>0</v>
      </c>
      <c r="H311" s="10">
        <f t="shared" si="71"/>
        <v>17180</v>
      </c>
      <c r="I311" s="10">
        <f t="shared" si="71"/>
        <v>0</v>
      </c>
      <c r="J311" s="10">
        <f t="shared" si="71"/>
        <v>1320</v>
      </c>
      <c r="K311" s="10">
        <f>SUM(D311:J311)</f>
        <v>26500</v>
      </c>
    </row>
    <row r="312" ht="13.5" customHeight="1">
      <c r="A312" s="10"/>
      <c r="B312" s="67"/>
      <c r="C312" s="15"/>
      <c r="D312" s="10"/>
      <c r="E312" s="10"/>
      <c r="F312" s="10"/>
      <c r="G312" s="10"/>
      <c r="H312" s="10"/>
      <c r="I312" s="10"/>
      <c r="J312" s="10"/>
      <c r="K312" s="10"/>
    </row>
    <row r="313" ht="14.25" customHeight="1">
      <c r="A313" s="10"/>
      <c r="B313" s="66" t="s">
        <v>39</v>
      </c>
      <c r="C313" s="66" t="s">
        <v>40</v>
      </c>
      <c r="D313" s="10">
        <f t="shared" ref="D313:J313" si="72">D305+D306</f>
        <v>27790</v>
      </c>
      <c r="E313" s="10">
        <f t="shared" si="72"/>
        <v>0</v>
      </c>
      <c r="F313" s="10">
        <f t="shared" si="72"/>
        <v>14080</v>
      </c>
      <c r="G313" s="10">
        <f t="shared" si="72"/>
        <v>0</v>
      </c>
      <c r="H313" s="10">
        <f t="shared" si="72"/>
        <v>319816.5</v>
      </c>
      <c r="I313" s="10">
        <f t="shared" si="72"/>
        <v>0</v>
      </c>
      <c r="J313" s="10">
        <f t="shared" si="72"/>
        <v>15780</v>
      </c>
      <c r="K313" s="10">
        <f>SUM(D313:J313)</f>
        <v>377466.5</v>
      </c>
    </row>
    <row r="314" ht="13.5" customHeight="1">
      <c r="A314" s="10"/>
      <c r="B314" s="7"/>
      <c r="C314" s="7"/>
      <c r="D314" s="10"/>
      <c r="E314" s="10"/>
      <c r="F314" s="10"/>
      <c r="G314" s="10"/>
      <c r="H314" s="10"/>
      <c r="I314" s="10"/>
      <c r="J314" s="10"/>
      <c r="K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>
        <f>SUM(K309:K314)</f>
        <v>524406.5</v>
      </c>
    </row>
    <row r="316" ht="13.5" customHeight="1"/>
    <row r="317" ht="13.5" customHeight="1">
      <c r="D317" s="69"/>
    </row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2">
    <mergeCell ref="B103:B104"/>
    <mergeCell ref="C103:C104"/>
    <mergeCell ref="A107:D107"/>
    <mergeCell ref="B109:B110"/>
    <mergeCell ref="B113:B114"/>
    <mergeCell ref="C113:C114"/>
    <mergeCell ref="A116:D116"/>
    <mergeCell ref="B118:B119"/>
    <mergeCell ref="B122:B123"/>
    <mergeCell ref="C122:C123"/>
    <mergeCell ref="A125:D125"/>
    <mergeCell ref="B127:B128"/>
    <mergeCell ref="C131:C132"/>
    <mergeCell ref="A134:D134"/>
    <mergeCell ref="B131:B132"/>
    <mergeCell ref="B136:B137"/>
    <mergeCell ref="B140:B141"/>
    <mergeCell ref="C140:C141"/>
    <mergeCell ref="A143:D143"/>
    <mergeCell ref="B145:B146"/>
    <mergeCell ref="B149:B150"/>
    <mergeCell ref="C149:C150"/>
    <mergeCell ref="A152:D152"/>
    <mergeCell ref="B154:B155"/>
    <mergeCell ref="B158:B159"/>
    <mergeCell ref="C158:C159"/>
    <mergeCell ref="A161:D161"/>
    <mergeCell ref="B163:B164"/>
    <mergeCell ref="B181:B182"/>
    <mergeCell ref="B185:B186"/>
    <mergeCell ref="C185:C186"/>
    <mergeCell ref="A188:D188"/>
    <mergeCell ref="B190:B191"/>
    <mergeCell ref="C194:C195"/>
    <mergeCell ref="A198:D198"/>
    <mergeCell ref="B194:B195"/>
    <mergeCell ref="B200:B201"/>
    <mergeCell ref="B204:B205"/>
    <mergeCell ref="C204:C205"/>
    <mergeCell ref="A208:D208"/>
    <mergeCell ref="B210:B211"/>
    <mergeCell ref="B214:B215"/>
    <mergeCell ref="C214:C215"/>
    <mergeCell ref="A218:D218"/>
    <mergeCell ref="B220:B221"/>
    <mergeCell ref="B224:B225"/>
    <mergeCell ref="C224:C225"/>
    <mergeCell ref="A228:D228"/>
    <mergeCell ref="B230:B231"/>
    <mergeCell ref="B234:B235"/>
    <mergeCell ref="C234:C235"/>
    <mergeCell ref="A238:D238"/>
    <mergeCell ref="B240:B241"/>
    <mergeCell ref="B244:B245"/>
    <mergeCell ref="C244:C245"/>
    <mergeCell ref="A248:D248"/>
    <mergeCell ref="B250:B251"/>
    <mergeCell ref="B254:B255"/>
    <mergeCell ref="C254:C255"/>
    <mergeCell ref="A258:D258"/>
    <mergeCell ref="B260:B261"/>
    <mergeCell ref="B264:B265"/>
    <mergeCell ref="C264:C265"/>
    <mergeCell ref="A267:D267"/>
    <mergeCell ref="A268:D268"/>
    <mergeCell ref="B270:B271"/>
    <mergeCell ref="B274:B275"/>
    <mergeCell ref="C274:C275"/>
    <mergeCell ref="A278:D278"/>
    <mergeCell ref="B280:B281"/>
    <mergeCell ref="B301:B302"/>
    <mergeCell ref="B305:B306"/>
    <mergeCell ref="C305:C306"/>
    <mergeCell ref="B309:B310"/>
    <mergeCell ref="B313:B314"/>
    <mergeCell ref="C313:C314"/>
    <mergeCell ref="B284:B285"/>
    <mergeCell ref="C284:C285"/>
    <mergeCell ref="A288:D288"/>
    <mergeCell ref="B290:B291"/>
    <mergeCell ref="B294:B295"/>
    <mergeCell ref="C294:C295"/>
    <mergeCell ref="A299:D299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8:D88"/>
    <mergeCell ref="B90:B91"/>
    <mergeCell ref="B94:B95"/>
    <mergeCell ref="C94:C95"/>
    <mergeCell ref="A97:D97"/>
    <mergeCell ref="B99:B100"/>
    <mergeCell ref="B167:B168"/>
    <mergeCell ref="C167:C168"/>
    <mergeCell ref="A170:D170"/>
    <mergeCell ref="B172:B173"/>
    <mergeCell ref="B176:B177"/>
    <mergeCell ref="C176:C177"/>
    <mergeCell ref="A179:D179"/>
  </mergeCells>
  <printOptions/>
  <pageMargins bottom="0.314583333333333" footer="0.0" header="0.0" left="0.748031496062992" right="0.31496062992126" top="7.59791666666667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29"/>
    <col customWidth="1" min="4" max="4" width="8.29"/>
    <col customWidth="1" min="5" max="6" width="7.71"/>
    <col customWidth="1" min="7" max="7" width="6.29"/>
    <col customWidth="1" min="8" max="9" width="8.14"/>
    <col customWidth="1" min="10" max="10" width="7.0"/>
    <col customWidth="1" min="11" max="11" width="9.0"/>
    <col customWidth="1" min="12" max="12" width="7.29"/>
    <col customWidth="1" min="13" max="13" width="5.14"/>
    <col customWidth="1" min="14" max="26" width="9.0"/>
  </cols>
  <sheetData>
    <row r="1" ht="13.5" customHeight="1"/>
    <row r="2" ht="13.5" customHeight="1">
      <c r="A2" s="13" t="s">
        <v>474</v>
      </c>
    </row>
    <row r="3" ht="13.5" customHeight="1">
      <c r="A3" s="14" t="s">
        <v>25</v>
      </c>
      <c r="B3" s="14" t="s">
        <v>26</v>
      </c>
      <c r="C3" s="14" t="s">
        <v>27</v>
      </c>
      <c r="D3" s="15" t="s">
        <v>2</v>
      </c>
      <c r="E3" s="10" t="s">
        <v>333</v>
      </c>
      <c r="F3" s="16" t="s">
        <v>3</v>
      </c>
      <c r="G3" s="14" t="s">
        <v>4</v>
      </c>
      <c r="H3" s="15" t="s">
        <v>5</v>
      </c>
      <c r="I3" s="14" t="s">
        <v>29</v>
      </c>
      <c r="J3" s="14" t="s">
        <v>30</v>
      </c>
      <c r="K3" s="17" t="s">
        <v>7</v>
      </c>
    </row>
    <row r="4" ht="13.5" customHeight="1">
      <c r="A4" s="18" t="s">
        <v>31</v>
      </c>
      <c r="B4" s="19">
        <v>1.0</v>
      </c>
      <c r="C4" s="20" t="s">
        <v>33</v>
      </c>
      <c r="D4" s="21">
        <v>310.0</v>
      </c>
      <c r="E4" s="10"/>
      <c r="F4" s="10"/>
      <c r="G4" s="22"/>
      <c r="H4" s="21">
        <v>650.0</v>
      </c>
      <c r="I4" s="23"/>
      <c r="J4" s="24">
        <v>50.0</v>
      </c>
      <c r="K4" s="25">
        <f t="shared" ref="K4:K10" si="1">SUM(D4:J4)</f>
        <v>1010</v>
      </c>
    </row>
    <row r="5" ht="15.0" customHeight="1">
      <c r="A5" s="26" t="s">
        <v>34</v>
      </c>
      <c r="B5" s="27"/>
      <c r="C5" s="28">
        <v>90.0</v>
      </c>
      <c r="D5" s="21">
        <v>300.0</v>
      </c>
      <c r="E5" s="10"/>
      <c r="F5" s="10"/>
      <c r="G5" s="22"/>
      <c r="H5" s="21">
        <v>680.0</v>
      </c>
      <c r="I5" s="29"/>
      <c r="J5" s="29">
        <v>50.0</v>
      </c>
      <c r="K5" s="25">
        <f t="shared" si="1"/>
        <v>1030</v>
      </c>
    </row>
    <row r="6" ht="13.5" customHeight="1">
      <c r="A6" s="18" t="s">
        <v>35</v>
      </c>
      <c r="B6" s="30">
        <v>2.3</v>
      </c>
      <c r="C6" s="31" t="s">
        <v>36</v>
      </c>
      <c r="D6" s="21">
        <v>310.0</v>
      </c>
      <c r="E6" s="10"/>
      <c r="F6" s="10"/>
      <c r="G6" s="32"/>
      <c r="H6" s="21">
        <v>950.0</v>
      </c>
      <c r="I6" s="22"/>
      <c r="J6" s="22">
        <v>70.0</v>
      </c>
      <c r="K6" s="25">
        <f t="shared" si="1"/>
        <v>1330</v>
      </c>
    </row>
    <row r="7" ht="13.5" customHeight="1">
      <c r="A7" s="26" t="s">
        <v>37</v>
      </c>
      <c r="B7" s="33"/>
      <c r="C7" s="34">
        <v>86.0</v>
      </c>
      <c r="D7" s="21">
        <v>320.0</v>
      </c>
      <c r="E7" s="10"/>
      <c r="F7" s="10"/>
      <c r="G7" s="32"/>
      <c r="H7" s="21">
        <v>890.0</v>
      </c>
      <c r="I7" s="22"/>
      <c r="J7" s="22">
        <v>60.0</v>
      </c>
      <c r="K7" s="25">
        <f t="shared" si="1"/>
        <v>1270</v>
      </c>
    </row>
    <row r="8" ht="15.0" customHeight="1">
      <c r="A8" s="18" t="s">
        <v>38</v>
      </c>
      <c r="B8" s="19" t="s">
        <v>39</v>
      </c>
      <c r="C8" s="19" t="s">
        <v>40</v>
      </c>
      <c r="D8" s="21">
        <v>560.0</v>
      </c>
      <c r="E8" s="10"/>
      <c r="F8" s="10"/>
      <c r="G8" s="22"/>
      <c r="H8" s="21">
        <v>5610.0</v>
      </c>
      <c r="I8" s="29"/>
      <c r="J8" s="29">
        <v>160.0</v>
      </c>
      <c r="K8" s="25">
        <f t="shared" si="1"/>
        <v>6330</v>
      </c>
    </row>
    <row r="9" ht="15.0" customHeight="1">
      <c r="A9" s="35" t="s">
        <v>41</v>
      </c>
      <c r="B9" s="27"/>
      <c r="C9" s="27"/>
      <c r="D9" s="21">
        <v>460.0</v>
      </c>
      <c r="E9" s="36"/>
      <c r="F9" s="37"/>
      <c r="G9" s="38"/>
      <c r="H9" s="21">
        <v>5620.0</v>
      </c>
      <c r="I9" s="29"/>
      <c r="J9" s="39">
        <v>160.0</v>
      </c>
      <c r="K9" s="25">
        <f t="shared" si="1"/>
        <v>6240</v>
      </c>
    </row>
    <row r="10" ht="13.5" customHeight="1">
      <c r="A10" s="40" t="s">
        <v>7</v>
      </c>
      <c r="B10" s="40"/>
      <c r="C10" s="40"/>
      <c r="D10" s="10">
        <f t="shared" ref="D10:J10" si="2">SUM(D4:D9)</f>
        <v>2260</v>
      </c>
      <c r="E10" s="10">
        <f t="shared" si="2"/>
        <v>0</v>
      </c>
      <c r="F10" s="10">
        <f t="shared" si="2"/>
        <v>0</v>
      </c>
      <c r="G10" s="10">
        <f t="shared" si="2"/>
        <v>0</v>
      </c>
      <c r="H10" s="10">
        <f t="shared" si="2"/>
        <v>14400</v>
      </c>
      <c r="I10" s="10">
        <f t="shared" si="2"/>
        <v>0</v>
      </c>
      <c r="J10" s="10">
        <f t="shared" si="2"/>
        <v>550</v>
      </c>
      <c r="K10" s="25">
        <f t="shared" si="1"/>
        <v>17210</v>
      </c>
    </row>
    <row r="11" ht="13.5" customHeight="1">
      <c r="A11" s="14"/>
      <c r="B11" s="14"/>
      <c r="C11" s="14"/>
      <c r="D11" s="14"/>
      <c r="E11" s="14"/>
      <c r="F11" s="14"/>
      <c r="G11" s="15"/>
      <c r="H11" s="10"/>
      <c r="I11" s="17"/>
      <c r="J11" s="17"/>
    </row>
    <row r="12" ht="13.5" customHeight="1">
      <c r="A12" s="13" t="s">
        <v>475</v>
      </c>
    </row>
    <row r="13" ht="13.5" customHeight="1">
      <c r="A13" s="14" t="s">
        <v>25</v>
      </c>
      <c r="B13" s="14" t="s">
        <v>1</v>
      </c>
      <c r="C13" s="14" t="s">
        <v>27</v>
      </c>
      <c r="D13" s="15" t="s">
        <v>2</v>
      </c>
      <c r="E13" s="10" t="s">
        <v>28</v>
      </c>
      <c r="F13" s="16" t="s">
        <v>3</v>
      </c>
      <c r="G13" s="14" t="s">
        <v>4</v>
      </c>
      <c r="H13" s="15" t="s">
        <v>5</v>
      </c>
      <c r="I13" s="14" t="s">
        <v>29</v>
      </c>
      <c r="J13" s="14" t="s">
        <v>30</v>
      </c>
      <c r="K13" s="17" t="s">
        <v>7</v>
      </c>
    </row>
    <row r="14" ht="13.5" customHeight="1">
      <c r="A14" s="18" t="s">
        <v>31</v>
      </c>
      <c r="B14" s="19">
        <v>1.0</v>
      </c>
      <c r="C14" s="20" t="s">
        <v>33</v>
      </c>
      <c r="D14" s="21">
        <v>310.0</v>
      </c>
      <c r="E14" s="10"/>
      <c r="F14" s="36"/>
      <c r="G14" s="32"/>
      <c r="H14" s="21">
        <v>660.0</v>
      </c>
      <c r="I14" s="23"/>
      <c r="J14" s="24">
        <v>50.0</v>
      </c>
      <c r="K14" s="25">
        <f t="shared" ref="K14:K20" si="3">SUM(D14:J14)</f>
        <v>1020</v>
      </c>
    </row>
    <row r="15" ht="13.5" customHeight="1">
      <c r="A15" s="26" t="s">
        <v>34</v>
      </c>
      <c r="B15" s="27"/>
      <c r="C15" s="28"/>
      <c r="D15" s="21">
        <v>310.0</v>
      </c>
      <c r="E15" s="10"/>
      <c r="F15" s="36"/>
      <c r="G15" s="22"/>
      <c r="H15" s="21">
        <v>700.0</v>
      </c>
      <c r="I15" s="29"/>
      <c r="J15" s="29">
        <v>50.0</v>
      </c>
      <c r="K15" s="25">
        <f t="shared" si="3"/>
        <v>1060</v>
      </c>
    </row>
    <row r="16" ht="13.5" customHeight="1">
      <c r="A16" s="18" t="s">
        <v>35</v>
      </c>
      <c r="B16" s="30">
        <v>2.3</v>
      </c>
      <c r="C16" s="31" t="s">
        <v>36</v>
      </c>
      <c r="D16" s="21">
        <v>310.0</v>
      </c>
      <c r="E16" s="10"/>
      <c r="F16" s="36"/>
      <c r="G16" s="32"/>
      <c r="H16" s="21">
        <v>920.0</v>
      </c>
      <c r="I16" s="23"/>
      <c r="J16" s="24">
        <v>60.0</v>
      </c>
      <c r="K16" s="25">
        <f t="shared" si="3"/>
        <v>1290</v>
      </c>
    </row>
    <row r="17" ht="13.5" customHeight="1">
      <c r="A17" s="26" t="s">
        <v>37</v>
      </c>
      <c r="B17" s="33"/>
      <c r="C17" s="34"/>
      <c r="D17" s="21">
        <v>320.0</v>
      </c>
      <c r="E17" s="10"/>
      <c r="F17" s="37"/>
      <c r="G17" s="22"/>
      <c r="H17" s="21">
        <v>910.0</v>
      </c>
      <c r="I17" s="29"/>
      <c r="J17" s="29">
        <v>70.0</v>
      </c>
      <c r="K17" s="25">
        <f t="shared" si="3"/>
        <v>1300</v>
      </c>
    </row>
    <row r="18" ht="14.25" customHeight="1">
      <c r="A18" s="18" t="s">
        <v>38</v>
      </c>
      <c r="B18" s="19" t="s">
        <v>39</v>
      </c>
      <c r="C18" s="19" t="s">
        <v>40</v>
      </c>
      <c r="D18" s="21">
        <v>470.0</v>
      </c>
      <c r="E18" s="10"/>
      <c r="F18" s="36"/>
      <c r="G18" s="22"/>
      <c r="H18" s="21">
        <v>5610.0</v>
      </c>
      <c r="I18" s="29"/>
      <c r="J18" s="29">
        <v>160.0</v>
      </c>
      <c r="K18" s="25">
        <f t="shared" si="3"/>
        <v>6240</v>
      </c>
    </row>
    <row r="19" ht="13.5" customHeight="1">
      <c r="A19" s="35" t="s">
        <v>41</v>
      </c>
      <c r="B19" s="27"/>
      <c r="C19" s="27"/>
      <c r="D19" s="21">
        <v>470.0</v>
      </c>
      <c r="E19" s="36"/>
      <c r="F19" s="37"/>
      <c r="G19" s="38"/>
      <c r="H19" s="21">
        <v>5640.0</v>
      </c>
      <c r="I19" s="29"/>
      <c r="J19" s="39">
        <v>150.0</v>
      </c>
      <c r="K19" s="25">
        <f t="shared" si="3"/>
        <v>6260</v>
      </c>
    </row>
    <row r="20" ht="13.5" customHeight="1">
      <c r="A20" s="40" t="s">
        <v>7</v>
      </c>
      <c r="B20" s="40"/>
      <c r="C20" s="40">
        <v>547.0</v>
      </c>
      <c r="D20" s="10">
        <f t="shared" ref="D20:J20" si="4">SUM(D14:D19)</f>
        <v>2190</v>
      </c>
      <c r="E20" s="10">
        <f t="shared" si="4"/>
        <v>0</v>
      </c>
      <c r="F20" s="10">
        <f t="shared" si="4"/>
        <v>0</v>
      </c>
      <c r="G20" s="10">
        <f t="shared" si="4"/>
        <v>0</v>
      </c>
      <c r="H20" s="10">
        <f t="shared" si="4"/>
        <v>14440</v>
      </c>
      <c r="I20" s="10">
        <f t="shared" si="4"/>
        <v>0</v>
      </c>
      <c r="J20" s="10">
        <f t="shared" si="4"/>
        <v>540</v>
      </c>
      <c r="K20" s="25">
        <f t="shared" si="3"/>
        <v>17170</v>
      </c>
    </row>
    <row r="21" ht="13.5" customHeight="1">
      <c r="A21" s="13" t="s">
        <v>476</v>
      </c>
    </row>
    <row r="22" ht="13.5" customHeight="1">
      <c r="A22" s="14" t="s">
        <v>25</v>
      </c>
      <c r="B22" s="14" t="s">
        <v>1</v>
      </c>
      <c r="C22" s="14" t="s">
        <v>27</v>
      </c>
      <c r="D22" s="15" t="s">
        <v>2</v>
      </c>
      <c r="E22" s="10" t="s">
        <v>28</v>
      </c>
      <c r="F22" s="16" t="s">
        <v>3</v>
      </c>
      <c r="G22" s="14" t="s">
        <v>4</v>
      </c>
      <c r="H22" s="15" t="s">
        <v>5</v>
      </c>
      <c r="I22" s="15" t="s">
        <v>29</v>
      </c>
      <c r="J22" s="15" t="s">
        <v>30</v>
      </c>
      <c r="K22" s="17" t="s">
        <v>7</v>
      </c>
    </row>
    <row r="23" ht="14.25" customHeight="1">
      <c r="A23" s="18" t="s">
        <v>31</v>
      </c>
      <c r="B23" s="19">
        <v>1.0</v>
      </c>
      <c r="C23" s="20" t="s">
        <v>33</v>
      </c>
      <c r="D23" s="21">
        <v>300.0</v>
      </c>
      <c r="E23" s="10"/>
      <c r="F23" s="36"/>
      <c r="G23" s="32"/>
      <c r="H23" s="21">
        <v>690.0</v>
      </c>
      <c r="I23" s="21"/>
      <c r="J23" s="21">
        <v>50.0</v>
      </c>
      <c r="K23" s="25">
        <f t="shared" ref="K23:K29" si="5">SUM(D23:J23)</f>
        <v>1040</v>
      </c>
    </row>
    <row r="24" ht="13.5" customHeight="1">
      <c r="A24" s="26" t="s">
        <v>34</v>
      </c>
      <c r="B24" s="27"/>
      <c r="C24" s="28"/>
      <c r="D24" s="21">
        <v>310.0</v>
      </c>
      <c r="E24" s="36"/>
      <c r="F24" s="36"/>
      <c r="G24" s="21"/>
      <c r="H24" s="21">
        <v>620.0</v>
      </c>
      <c r="I24" s="21"/>
      <c r="J24" s="21">
        <v>50.0</v>
      </c>
      <c r="K24" s="25">
        <f t="shared" si="5"/>
        <v>980</v>
      </c>
    </row>
    <row r="25" ht="13.5" customHeight="1">
      <c r="A25" s="18" t="s">
        <v>35</v>
      </c>
      <c r="B25" s="30">
        <v>2.3</v>
      </c>
      <c r="C25" s="31" t="s">
        <v>36</v>
      </c>
      <c r="D25" s="21">
        <v>310.0</v>
      </c>
      <c r="E25" s="10"/>
      <c r="F25" s="36"/>
      <c r="G25" s="21"/>
      <c r="H25" s="21">
        <v>930.0</v>
      </c>
      <c r="I25" s="21"/>
      <c r="J25" s="21">
        <v>60.0</v>
      </c>
      <c r="K25" s="25">
        <f t="shared" si="5"/>
        <v>1300</v>
      </c>
    </row>
    <row r="26" ht="13.5" customHeight="1">
      <c r="A26" s="26" t="s">
        <v>37</v>
      </c>
      <c r="B26" s="33"/>
      <c r="C26" s="34"/>
      <c r="D26" s="21">
        <v>310.0</v>
      </c>
      <c r="E26" s="10"/>
      <c r="F26" s="36"/>
      <c r="G26" s="21"/>
      <c r="H26" s="21">
        <v>870.0</v>
      </c>
      <c r="I26" s="21"/>
      <c r="J26" s="21">
        <v>60.0</v>
      </c>
      <c r="K26" s="25">
        <f t="shared" si="5"/>
        <v>1240</v>
      </c>
    </row>
    <row r="27" ht="14.25" customHeight="1">
      <c r="A27" s="18" t="s">
        <v>38</v>
      </c>
      <c r="B27" s="19" t="s">
        <v>39</v>
      </c>
      <c r="C27" s="19" t="s">
        <v>40</v>
      </c>
      <c r="D27" s="21">
        <v>460.0</v>
      </c>
      <c r="E27" s="10"/>
      <c r="F27" s="36"/>
      <c r="G27" s="21"/>
      <c r="H27" s="44">
        <v>5630.0</v>
      </c>
      <c r="I27" s="44"/>
      <c r="J27" s="23">
        <v>150.0</v>
      </c>
      <c r="K27" s="25">
        <f t="shared" si="5"/>
        <v>6240</v>
      </c>
    </row>
    <row r="28" ht="13.5" customHeight="1">
      <c r="A28" s="35" t="s">
        <v>41</v>
      </c>
      <c r="B28" s="27"/>
      <c r="C28" s="27"/>
      <c r="D28" s="21">
        <v>450.0</v>
      </c>
      <c r="E28" s="10"/>
      <c r="F28" s="36"/>
      <c r="G28" s="21"/>
      <c r="H28" s="21">
        <v>5020.0</v>
      </c>
      <c r="I28" s="21"/>
      <c r="J28" s="29">
        <v>150.0</v>
      </c>
      <c r="K28" s="25">
        <f t="shared" si="5"/>
        <v>5620</v>
      </c>
    </row>
    <row r="29" ht="13.5" customHeight="1">
      <c r="A29" s="40" t="s">
        <v>7</v>
      </c>
      <c r="B29" s="40"/>
      <c r="C29" s="40">
        <v>547.0</v>
      </c>
      <c r="D29" s="10"/>
      <c r="E29" s="10"/>
      <c r="F29" s="10"/>
      <c r="G29" s="10"/>
      <c r="H29" s="10"/>
      <c r="I29" s="10"/>
      <c r="J29" s="10"/>
      <c r="K29" s="25">
        <f t="shared" si="5"/>
        <v>0</v>
      </c>
    </row>
    <row r="30" ht="13.5" customHeight="1">
      <c r="A30" s="13" t="s">
        <v>477</v>
      </c>
    </row>
    <row r="31" ht="13.5" customHeight="1">
      <c r="A31" s="14" t="s">
        <v>25</v>
      </c>
      <c r="B31" s="14" t="s">
        <v>1</v>
      </c>
      <c r="C31" s="14" t="s">
        <v>27</v>
      </c>
      <c r="D31" s="15" t="s">
        <v>2</v>
      </c>
      <c r="E31" s="10" t="s">
        <v>28</v>
      </c>
      <c r="F31" s="16" t="s">
        <v>3</v>
      </c>
      <c r="G31" s="14" t="s">
        <v>4</v>
      </c>
      <c r="H31" s="15" t="s">
        <v>5</v>
      </c>
      <c r="I31" s="14" t="s">
        <v>29</v>
      </c>
      <c r="J31" s="14" t="s">
        <v>30</v>
      </c>
      <c r="K31" s="17" t="s">
        <v>7</v>
      </c>
    </row>
    <row r="32" ht="14.25" customHeight="1">
      <c r="A32" s="18" t="s">
        <v>31</v>
      </c>
      <c r="B32" s="19">
        <v>1.0</v>
      </c>
      <c r="C32" s="20" t="s">
        <v>33</v>
      </c>
      <c r="D32" s="21">
        <v>310.0</v>
      </c>
      <c r="E32" s="10"/>
      <c r="F32" s="36"/>
      <c r="G32" s="32"/>
      <c r="H32" s="21">
        <v>650.0</v>
      </c>
      <c r="I32" s="23"/>
      <c r="J32" s="24">
        <v>50.0</v>
      </c>
      <c r="K32" s="25">
        <f t="shared" ref="K32:K37" si="6">SUM(D32:J32)</f>
        <v>1010</v>
      </c>
    </row>
    <row r="33" ht="13.5" customHeight="1">
      <c r="A33" s="26" t="s">
        <v>34</v>
      </c>
      <c r="B33" s="27"/>
      <c r="C33" s="28"/>
      <c r="D33" s="21">
        <v>310.0</v>
      </c>
      <c r="E33" s="10"/>
      <c r="F33" s="36"/>
      <c r="G33" s="22"/>
      <c r="H33" s="21">
        <v>660.0</v>
      </c>
      <c r="I33" s="21"/>
      <c r="J33" s="29">
        <v>50.0</v>
      </c>
      <c r="K33" s="25">
        <f t="shared" si="6"/>
        <v>1020</v>
      </c>
    </row>
    <row r="34" ht="13.5" customHeight="1">
      <c r="A34" s="18" t="s">
        <v>35</v>
      </c>
      <c r="B34" s="30">
        <v>2.3</v>
      </c>
      <c r="C34" s="31" t="s">
        <v>36</v>
      </c>
      <c r="D34" s="21">
        <v>320.0</v>
      </c>
      <c r="E34" s="10"/>
      <c r="F34" s="36"/>
      <c r="G34" s="32"/>
      <c r="H34" s="21">
        <v>910.0</v>
      </c>
      <c r="I34" s="21"/>
      <c r="J34" s="24">
        <v>60.0</v>
      </c>
      <c r="K34" s="25">
        <f t="shared" si="6"/>
        <v>1290</v>
      </c>
    </row>
    <row r="35" ht="13.5" customHeight="1">
      <c r="A35" s="26" t="s">
        <v>37</v>
      </c>
      <c r="B35" s="33"/>
      <c r="C35" s="34"/>
      <c r="D35" s="21">
        <v>310.0</v>
      </c>
      <c r="E35" s="10"/>
      <c r="F35" s="36"/>
      <c r="G35" s="38"/>
      <c r="H35" s="21">
        <v>890.0</v>
      </c>
      <c r="I35" s="21"/>
      <c r="J35" s="29">
        <v>70.0</v>
      </c>
      <c r="K35" s="25">
        <f t="shared" si="6"/>
        <v>1270</v>
      </c>
    </row>
    <row r="36" ht="14.25" customHeight="1">
      <c r="A36" s="18" t="s">
        <v>38</v>
      </c>
      <c r="B36" s="19" t="s">
        <v>39</v>
      </c>
      <c r="C36" s="19" t="s">
        <v>40</v>
      </c>
      <c r="D36" s="10">
        <v>470.0</v>
      </c>
      <c r="E36" s="10"/>
      <c r="F36" s="41"/>
      <c r="G36" s="32"/>
      <c r="H36" s="21">
        <v>5590.0</v>
      </c>
      <c r="I36" s="21"/>
      <c r="J36" s="24">
        <v>160.0</v>
      </c>
      <c r="K36" s="25">
        <f t="shared" si="6"/>
        <v>6220</v>
      </c>
    </row>
    <row r="37" ht="13.5" customHeight="1">
      <c r="A37" s="35" t="s">
        <v>41</v>
      </c>
      <c r="B37" s="27"/>
      <c r="C37" s="27"/>
      <c r="D37" s="21">
        <v>460.0</v>
      </c>
      <c r="E37" s="36"/>
      <c r="F37" s="37"/>
      <c r="G37" s="22"/>
      <c r="H37" s="21">
        <v>5640.0</v>
      </c>
      <c r="I37" s="29"/>
      <c r="J37" s="39">
        <v>160.0</v>
      </c>
      <c r="K37" s="25">
        <f t="shared" si="6"/>
        <v>6260</v>
      </c>
    </row>
    <row r="38" ht="13.5" customHeight="1">
      <c r="A38" s="40" t="s">
        <v>7</v>
      </c>
      <c r="B38" s="40"/>
      <c r="C38" s="40">
        <v>547.0</v>
      </c>
      <c r="D38" s="10">
        <f t="shared" ref="D38:K38" si="7">SUM(D32:D37)</f>
        <v>2180</v>
      </c>
      <c r="E38" s="10">
        <f t="shared" si="7"/>
        <v>0</v>
      </c>
      <c r="F38" s="10">
        <f t="shared" si="7"/>
        <v>0</v>
      </c>
      <c r="G38" s="10">
        <f t="shared" si="7"/>
        <v>0</v>
      </c>
      <c r="H38" s="10">
        <f t="shared" si="7"/>
        <v>14340</v>
      </c>
      <c r="I38" s="10">
        <f t="shared" si="7"/>
        <v>0</v>
      </c>
      <c r="J38" s="10">
        <f t="shared" si="7"/>
        <v>550</v>
      </c>
      <c r="K38" s="10">
        <f t="shared" si="7"/>
        <v>17070</v>
      </c>
    </row>
    <row r="39" ht="13.5" customHeight="1">
      <c r="A39" s="42" t="s">
        <v>478</v>
      </c>
    </row>
    <row r="40" ht="13.5" customHeight="1">
      <c r="A40" s="14" t="s">
        <v>25</v>
      </c>
      <c r="B40" s="14" t="s">
        <v>1</v>
      </c>
      <c r="C40" s="14" t="s">
        <v>27</v>
      </c>
      <c r="D40" s="15" t="s">
        <v>2</v>
      </c>
      <c r="E40" s="10" t="s">
        <v>28</v>
      </c>
      <c r="F40" s="16" t="s">
        <v>3</v>
      </c>
      <c r="G40" s="14" t="s">
        <v>4</v>
      </c>
      <c r="H40" s="15" t="s">
        <v>5</v>
      </c>
      <c r="I40" s="15" t="s">
        <v>29</v>
      </c>
      <c r="J40" s="14" t="s">
        <v>30</v>
      </c>
      <c r="K40" s="17" t="s">
        <v>7</v>
      </c>
    </row>
    <row r="41" ht="13.5" customHeight="1">
      <c r="A41" s="18" t="s">
        <v>31</v>
      </c>
      <c r="B41" s="19">
        <v>1.0</v>
      </c>
      <c r="C41" s="20" t="s">
        <v>33</v>
      </c>
      <c r="D41" s="21">
        <v>310.0</v>
      </c>
      <c r="E41" s="10"/>
      <c r="F41" s="36"/>
      <c r="G41" s="32"/>
      <c r="H41" s="21">
        <v>580.0</v>
      </c>
      <c r="I41" s="21"/>
      <c r="J41" s="24">
        <v>80.0</v>
      </c>
      <c r="K41" s="25">
        <f t="shared" ref="K41:K47" si="8">SUM(D41:J41)</f>
        <v>970</v>
      </c>
    </row>
    <row r="42" ht="13.5" customHeight="1">
      <c r="A42" s="26" t="s">
        <v>34</v>
      </c>
      <c r="B42" s="27"/>
      <c r="C42" s="28"/>
      <c r="D42" s="21">
        <v>300.0</v>
      </c>
      <c r="E42" s="10"/>
      <c r="F42" s="36"/>
      <c r="G42" s="22"/>
      <c r="H42" s="21">
        <v>680.0</v>
      </c>
      <c r="I42" s="21"/>
      <c r="J42" s="29">
        <v>80.0</v>
      </c>
      <c r="K42" s="25">
        <f t="shared" si="8"/>
        <v>1060</v>
      </c>
    </row>
    <row r="43" ht="13.5" customHeight="1">
      <c r="A43" s="18" t="s">
        <v>35</v>
      </c>
      <c r="B43" s="30">
        <v>2.3</v>
      </c>
      <c r="C43" s="31" t="s">
        <v>36</v>
      </c>
      <c r="D43" s="21">
        <v>320.0</v>
      </c>
      <c r="E43" s="10"/>
      <c r="F43" s="36"/>
      <c r="G43" s="32"/>
      <c r="H43" s="21">
        <v>900.0</v>
      </c>
      <c r="I43" s="21"/>
      <c r="J43" s="24">
        <v>80.0</v>
      </c>
      <c r="K43" s="25">
        <f t="shared" si="8"/>
        <v>1300</v>
      </c>
    </row>
    <row r="44" ht="13.5" customHeight="1">
      <c r="A44" s="26" t="s">
        <v>37</v>
      </c>
      <c r="B44" s="33"/>
      <c r="C44" s="34"/>
      <c r="D44" s="21">
        <v>320.0</v>
      </c>
      <c r="E44" s="10"/>
      <c r="F44" s="36"/>
      <c r="G44" s="38"/>
      <c r="H44" s="21">
        <v>900.0</v>
      </c>
      <c r="I44" s="21"/>
      <c r="J44" s="29">
        <v>100.0</v>
      </c>
      <c r="K44" s="25">
        <f t="shared" si="8"/>
        <v>1320</v>
      </c>
    </row>
    <row r="45" ht="15.0" customHeight="1">
      <c r="A45" s="18" t="s">
        <v>38</v>
      </c>
      <c r="B45" s="19" t="s">
        <v>39</v>
      </c>
      <c r="C45" s="19" t="s">
        <v>40</v>
      </c>
      <c r="D45" s="21">
        <v>470.0</v>
      </c>
      <c r="E45" s="10"/>
      <c r="F45" s="41"/>
      <c r="G45" s="32"/>
      <c r="H45" s="21">
        <v>5530.0</v>
      </c>
      <c r="I45" s="21"/>
      <c r="J45" s="24">
        <v>160.0</v>
      </c>
      <c r="K45" s="25">
        <f t="shared" si="8"/>
        <v>6160</v>
      </c>
    </row>
    <row r="46" ht="13.5" customHeight="1">
      <c r="A46" s="35" t="s">
        <v>41</v>
      </c>
      <c r="B46" s="27"/>
      <c r="C46" s="27"/>
      <c r="D46" s="21">
        <v>470.0</v>
      </c>
      <c r="E46" s="36"/>
      <c r="F46" s="37"/>
      <c r="G46" s="38"/>
      <c r="H46" s="21">
        <v>5580.0</v>
      </c>
      <c r="I46" s="21"/>
      <c r="J46" s="39">
        <v>150.0</v>
      </c>
      <c r="K46" s="25">
        <f t="shared" si="8"/>
        <v>6200</v>
      </c>
    </row>
    <row r="47" ht="13.5" customHeight="1">
      <c r="A47" s="40" t="s">
        <v>7</v>
      </c>
      <c r="B47" s="40"/>
      <c r="C47" s="40">
        <v>547.0</v>
      </c>
      <c r="D47" s="10">
        <f t="shared" ref="D47:J47" si="9">SUM(D41:D46)</f>
        <v>2190</v>
      </c>
      <c r="E47" s="10">
        <f t="shared" si="9"/>
        <v>0</v>
      </c>
      <c r="F47" s="10">
        <f t="shared" si="9"/>
        <v>0</v>
      </c>
      <c r="G47" s="10">
        <f t="shared" si="9"/>
        <v>0</v>
      </c>
      <c r="H47" s="10">
        <f t="shared" si="9"/>
        <v>14170</v>
      </c>
      <c r="I47" s="10">
        <f t="shared" si="9"/>
        <v>0</v>
      </c>
      <c r="J47" s="10">
        <f t="shared" si="9"/>
        <v>650</v>
      </c>
      <c r="K47" s="25">
        <f t="shared" si="8"/>
        <v>17010</v>
      </c>
    </row>
    <row r="48" ht="13.5" customHeight="1">
      <c r="A48" s="13" t="s">
        <v>479</v>
      </c>
    </row>
    <row r="49" ht="13.5" customHeight="1">
      <c r="A49" s="14" t="s">
        <v>25</v>
      </c>
      <c r="B49" s="14" t="s">
        <v>1</v>
      </c>
      <c r="C49" s="14" t="s">
        <v>27</v>
      </c>
      <c r="D49" s="15" t="s">
        <v>2</v>
      </c>
      <c r="E49" s="10" t="s">
        <v>28</v>
      </c>
      <c r="F49" s="16" t="s">
        <v>3</v>
      </c>
      <c r="G49" s="14" t="s">
        <v>4</v>
      </c>
      <c r="H49" s="15" t="s">
        <v>5</v>
      </c>
      <c r="I49" s="15" t="s">
        <v>29</v>
      </c>
      <c r="J49" s="14" t="s">
        <v>30</v>
      </c>
      <c r="K49" s="17" t="s">
        <v>7</v>
      </c>
    </row>
    <row r="50" ht="13.5" customHeight="1">
      <c r="A50" s="18" t="s">
        <v>31</v>
      </c>
      <c r="B50" s="19">
        <v>1.0</v>
      </c>
      <c r="C50" s="20" t="s">
        <v>33</v>
      </c>
      <c r="D50" s="21">
        <v>300.0</v>
      </c>
      <c r="E50" s="10"/>
      <c r="F50" s="36"/>
      <c r="G50" s="32"/>
      <c r="H50" s="21">
        <v>640.0</v>
      </c>
      <c r="I50" s="21"/>
      <c r="J50" s="24">
        <v>80.0</v>
      </c>
      <c r="K50" s="25">
        <f t="shared" ref="K50:K56" si="10">SUM(D50:J50)</f>
        <v>1020</v>
      </c>
    </row>
    <row r="51" ht="13.5" customHeight="1">
      <c r="A51" s="26" t="s">
        <v>34</v>
      </c>
      <c r="B51" s="27"/>
      <c r="C51" s="28"/>
      <c r="D51" s="21">
        <v>310.0</v>
      </c>
      <c r="E51" s="10"/>
      <c r="F51" s="36"/>
      <c r="G51" s="22"/>
      <c r="H51" s="21">
        <v>640.0</v>
      </c>
      <c r="I51" s="21"/>
      <c r="J51" s="29">
        <v>60.0</v>
      </c>
      <c r="K51" s="25">
        <f t="shared" si="10"/>
        <v>1010</v>
      </c>
    </row>
    <row r="52" ht="13.5" customHeight="1">
      <c r="A52" s="18" t="s">
        <v>35</v>
      </c>
      <c r="B52" s="30">
        <v>2.3</v>
      </c>
      <c r="C52" s="31" t="s">
        <v>36</v>
      </c>
      <c r="D52" s="21">
        <v>310.0</v>
      </c>
      <c r="E52" s="10"/>
      <c r="F52" s="36"/>
      <c r="G52" s="38"/>
      <c r="H52" s="21">
        <v>930.0</v>
      </c>
      <c r="I52" s="21"/>
      <c r="J52" s="29">
        <v>70.0</v>
      </c>
      <c r="K52" s="25">
        <f t="shared" si="10"/>
        <v>1310</v>
      </c>
    </row>
    <row r="53" ht="13.5" customHeight="1">
      <c r="A53" s="26" t="s">
        <v>37</v>
      </c>
      <c r="B53" s="33"/>
      <c r="C53" s="34">
        <v>106.0</v>
      </c>
      <c r="D53" s="21">
        <v>310.0</v>
      </c>
      <c r="E53" s="10"/>
      <c r="F53" s="36"/>
      <c r="G53" s="38"/>
      <c r="H53" s="21">
        <v>640.0</v>
      </c>
      <c r="I53" s="21"/>
      <c r="J53" s="29">
        <v>60.0</v>
      </c>
      <c r="K53" s="25">
        <f t="shared" si="10"/>
        <v>1010</v>
      </c>
    </row>
    <row r="54" ht="15.0" customHeight="1">
      <c r="A54" s="18" t="s">
        <v>38</v>
      </c>
      <c r="B54" s="19" t="s">
        <v>39</v>
      </c>
      <c r="C54" s="19" t="s">
        <v>40</v>
      </c>
      <c r="D54" s="21">
        <v>460.0</v>
      </c>
      <c r="E54" s="10"/>
      <c r="F54" s="41"/>
      <c r="G54" s="32"/>
      <c r="H54" s="21">
        <v>5620.0</v>
      </c>
      <c r="I54" s="21"/>
      <c r="J54" s="24">
        <v>160.0</v>
      </c>
      <c r="K54" s="25">
        <f t="shared" si="10"/>
        <v>6240</v>
      </c>
    </row>
    <row r="55" ht="13.5" customHeight="1">
      <c r="A55" s="35" t="s">
        <v>41</v>
      </c>
      <c r="B55" s="27"/>
      <c r="C55" s="27"/>
      <c r="D55" s="21">
        <v>460.0</v>
      </c>
      <c r="E55" s="36"/>
      <c r="F55" s="37"/>
      <c r="G55" s="38"/>
      <c r="H55" s="21">
        <v>5600.0</v>
      </c>
      <c r="I55" s="21"/>
      <c r="J55" s="39">
        <v>160.0</v>
      </c>
      <c r="K55" s="25">
        <f t="shared" si="10"/>
        <v>6220</v>
      </c>
    </row>
    <row r="56" ht="13.5" customHeight="1">
      <c r="A56" s="40" t="s">
        <v>7</v>
      </c>
      <c r="B56" s="40"/>
      <c r="C56" s="40">
        <v>547.0</v>
      </c>
      <c r="D56" s="10">
        <f t="shared" ref="D56:J56" si="11">SUM(D50:D55)</f>
        <v>2150</v>
      </c>
      <c r="E56" s="10">
        <f t="shared" si="11"/>
        <v>0</v>
      </c>
      <c r="F56" s="10">
        <f t="shared" si="11"/>
        <v>0</v>
      </c>
      <c r="G56" s="10">
        <f t="shared" si="11"/>
        <v>0</v>
      </c>
      <c r="H56" s="10">
        <f t="shared" si="11"/>
        <v>14070</v>
      </c>
      <c r="I56" s="10">
        <f t="shared" si="11"/>
        <v>0</v>
      </c>
      <c r="J56" s="10">
        <f t="shared" si="11"/>
        <v>590</v>
      </c>
      <c r="K56" s="25">
        <f t="shared" si="10"/>
        <v>16810</v>
      </c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3.5" customHeight="1">
      <c r="A58" s="13" t="s">
        <v>480</v>
      </c>
    </row>
    <row r="59" ht="13.5" customHeight="1">
      <c r="A59" s="14" t="s">
        <v>25</v>
      </c>
      <c r="B59" s="14" t="s">
        <v>1</v>
      </c>
      <c r="C59" s="14" t="s">
        <v>27</v>
      </c>
      <c r="D59" s="15" t="s">
        <v>2</v>
      </c>
      <c r="E59" s="10" t="s">
        <v>28</v>
      </c>
      <c r="F59" s="16" t="s">
        <v>3</v>
      </c>
      <c r="G59" s="15" t="s">
        <v>4</v>
      </c>
      <c r="H59" s="15" t="s">
        <v>5</v>
      </c>
      <c r="I59" s="15" t="s">
        <v>29</v>
      </c>
      <c r="J59" s="14" t="s">
        <v>30</v>
      </c>
      <c r="K59" s="17" t="s">
        <v>7</v>
      </c>
    </row>
    <row r="60" ht="13.5" customHeight="1">
      <c r="A60" s="18" t="s">
        <v>31</v>
      </c>
      <c r="B60" s="19">
        <v>1.0</v>
      </c>
      <c r="C60" s="20" t="s">
        <v>33</v>
      </c>
      <c r="D60" s="21">
        <v>310.0</v>
      </c>
      <c r="E60" s="10"/>
      <c r="F60" s="36"/>
      <c r="G60" s="21"/>
      <c r="H60" s="10">
        <v>670.0</v>
      </c>
      <c r="I60" s="10"/>
      <c r="J60" s="24">
        <v>50.0</v>
      </c>
      <c r="K60" s="25">
        <f t="shared" ref="K60:K66" si="12">SUM(D60:J60)</f>
        <v>1030</v>
      </c>
    </row>
    <row r="61" ht="13.5" customHeight="1">
      <c r="A61" s="26" t="s">
        <v>34</v>
      </c>
      <c r="B61" s="27"/>
      <c r="C61" s="28"/>
      <c r="D61" s="21">
        <v>310.0</v>
      </c>
      <c r="E61" s="10"/>
      <c r="F61" s="36"/>
      <c r="G61" s="21"/>
      <c r="H61" s="10">
        <v>630.0</v>
      </c>
      <c r="I61" s="10"/>
      <c r="J61" s="29">
        <v>70.0</v>
      </c>
      <c r="K61" s="25">
        <f t="shared" si="12"/>
        <v>1010</v>
      </c>
    </row>
    <row r="62" ht="13.5" customHeight="1">
      <c r="A62" s="18" t="s">
        <v>35</v>
      </c>
      <c r="B62" s="30">
        <v>2.3</v>
      </c>
      <c r="C62" s="31" t="s">
        <v>36</v>
      </c>
      <c r="D62" s="21">
        <v>320.0</v>
      </c>
      <c r="E62" s="10"/>
      <c r="F62" s="36"/>
      <c r="G62" s="21"/>
      <c r="H62" s="10">
        <v>880.0</v>
      </c>
      <c r="I62" s="10"/>
      <c r="J62" s="24">
        <v>70.0</v>
      </c>
      <c r="K62" s="25">
        <f t="shared" si="12"/>
        <v>1270</v>
      </c>
    </row>
    <row r="63" ht="13.5" customHeight="1">
      <c r="A63" s="26" t="s">
        <v>37</v>
      </c>
      <c r="B63" s="33"/>
      <c r="C63" s="34"/>
      <c r="D63" s="21">
        <v>320.0</v>
      </c>
      <c r="E63" s="10"/>
      <c r="F63" s="36"/>
      <c r="G63" s="21"/>
      <c r="H63" s="10">
        <v>840.0</v>
      </c>
      <c r="I63" s="10"/>
      <c r="J63" s="29">
        <v>80.0</v>
      </c>
      <c r="K63" s="25">
        <f t="shared" si="12"/>
        <v>1240</v>
      </c>
    </row>
    <row r="64" ht="15.0" customHeight="1">
      <c r="A64" s="18" t="s">
        <v>38</v>
      </c>
      <c r="B64" s="19" t="s">
        <v>39</v>
      </c>
      <c r="C64" s="19" t="s">
        <v>40</v>
      </c>
      <c r="D64" s="21">
        <v>460.0</v>
      </c>
      <c r="E64" s="10"/>
      <c r="G64" s="21"/>
      <c r="H64" s="10">
        <v>5620.0</v>
      </c>
      <c r="I64" s="10"/>
      <c r="J64" s="24">
        <v>160.0</v>
      </c>
      <c r="K64" s="25">
        <f t="shared" si="12"/>
        <v>6240</v>
      </c>
      <c r="L64" s="10"/>
    </row>
    <row r="65" ht="13.5" customHeight="1">
      <c r="A65" s="35" t="s">
        <v>41</v>
      </c>
      <c r="B65" s="27"/>
      <c r="C65" s="27"/>
      <c r="D65" s="21">
        <v>460.0</v>
      </c>
      <c r="E65" s="36"/>
      <c r="F65" s="36"/>
      <c r="G65" s="21"/>
      <c r="H65" s="10">
        <v>5610.0</v>
      </c>
      <c r="I65" s="10"/>
      <c r="J65" s="39">
        <v>150.0</v>
      </c>
      <c r="K65" s="25">
        <f t="shared" si="12"/>
        <v>6220</v>
      </c>
      <c r="L65" s="36"/>
    </row>
    <row r="66" ht="13.5" customHeight="1">
      <c r="A66" s="40" t="s">
        <v>7</v>
      </c>
      <c r="B66" s="40"/>
      <c r="C66" s="40">
        <v>547.0</v>
      </c>
      <c r="D66" s="10">
        <f t="shared" ref="D66:J66" si="13">SUM(D60:D65)</f>
        <v>2180</v>
      </c>
      <c r="E66" s="10">
        <f t="shared" si="13"/>
        <v>0</v>
      </c>
      <c r="F66" s="10">
        <f t="shared" si="13"/>
        <v>0</v>
      </c>
      <c r="G66" s="10">
        <f t="shared" si="13"/>
        <v>0</v>
      </c>
      <c r="H66" s="10">
        <f t="shared" si="13"/>
        <v>14250</v>
      </c>
      <c r="I66" s="10">
        <f t="shared" si="13"/>
        <v>0</v>
      </c>
      <c r="J66" s="10">
        <f t="shared" si="13"/>
        <v>580</v>
      </c>
      <c r="K66" s="25">
        <f t="shared" si="12"/>
        <v>17010</v>
      </c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3.5" customHeight="1">
      <c r="A68" s="13" t="s">
        <v>481</v>
      </c>
    </row>
    <row r="69" ht="13.5" customHeight="1">
      <c r="A69" s="14" t="s">
        <v>25</v>
      </c>
      <c r="B69" s="14" t="s">
        <v>1</v>
      </c>
      <c r="C69" s="14" t="s">
        <v>27</v>
      </c>
      <c r="D69" s="15" t="s">
        <v>2</v>
      </c>
      <c r="E69" s="10" t="s">
        <v>28</v>
      </c>
      <c r="F69" s="16" t="s">
        <v>3</v>
      </c>
      <c r="G69" s="15" t="s">
        <v>4</v>
      </c>
      <c r="H69" s="15" t="s">
        <v>5</v>
      </c>
      <c r="I69" s="15" t="s">
        <v>29</v>
      </c>
      <c r="J69" s="14" t="s">
        <v>30</v>
      </c>
      <c r="K69" s="17" t="s">
        <v>7</v>
      </c>
    </row>
    <row r="70" ht="13.5" customHeight="1">
      <c r="A70" s="18" t="s">
        <v>31</v>
      </c>
      <c r="B70" s="19">
        <v>1.0</v>
      </c>
      <c r="C70" s="20" t="s">
        <v>33</v>
      </c>
      <c r="D70" s="21">
        <v>320.0</v>
      </c>
      <c r="E70" s="10"/>
      <c r="F70" s="36"/>
      <c r="G70" s="21"/>
      <c r="H70" s="10">
        <v>640.0</v>
      </c>
      <c r="I70" s="10"/>
      <c r="J70" s="24">
        <v>60.0</v>
      </c>
      <c r="K70" s="25">
        <f t="shared" ref="K70:K76" si="14">SUM(D70:J70)</f>
        <v>1020</v>
      </c>
    </row>
    <row r="71" ht="13.5" customHeight="1">
      <c r="A71" s="26" t="s">
        <v>34</v>
      </c>
      <c r="B71" s="27"/>
      <c r="C71" s="28"/>
      <c r="D71" s="21">
        <v>320.0</v>
      </c>
      <c r="E71" s="10"/>
      <c r="F71" s="36"/>
      <c r="G71" s="21"/>
      <c r="H71" s="10">
        <v>660.0</v>
      </c>
      <c r="I71" s="10"/>
      <c r="J71" s="29">
        <v>60.0</v>
      </c>
      <c r="K71" s="25">
        <f t="shared" si="14"/>
        <v>1040</v>
      </c>
    </row>
    <row r="72" ht="13.5" customHeight="1">
      <c r="A72" s="18" t="s">
        <v>35</v>
      </c>
      <c r="B72" s="30">
        <v>2.3</v>
      </c>
      <c r="C72" s="31" t="s">
        <v>36</v>
      </c>
      <c r="D72" s="21">
        <v>310.0</v>
      </c>
      <c r="E72" s="10"/>
      <c r="F72" s="36"/>
      <c r="G72" s="21"/>
      <c r="H72" s="10">
        <v>960.0</v>
      </c>
      <c r="I72" s="10"/>
      <c r="J72" s="24">
        <v>70.0</v>
      </c>
      <c r="K72" s="25">
        <f t="shared" si="14"/>
        <v>1340</v>
      </c>
    </row>
    <row r="73" ht="13.5" customHeight="1">
      <c r="A73" s="26" t="s">
        <v>37</v>
      </c>
      <c r="B73" s="33"/>
      <c r="C73" s="34">
        <v>106.0</v>
      </c>
      <c r="D73" s="21">
        <v>320.0</v>
      </c>
      <c r="E73" s="10"/>
      <c r="F73" s="36"/>
      <c r="G73" s="21"/>
      <c r="H73" s="10">
        <v>660.0</v>
      </c>
      <c r="I73" s="10"/>
      <c r="J73" s="29">
        <v>60.0</v>
      </c>
      <c r="K73" s="25">
        <f t="shared" si="14"/>
        <v>1040</v>
      </c>
    </row>
    <row r="74" ht="15.0" customHeight="1">
      <c r="A74" s="18" t="s">
        <v>38</v>
      </c>
      <c r="B74" s="19" t="s">
        <v>39</v>
      </c>
      <c r="C74" s="19" t="s">
        <v>40</v>
      </c>
      <c r="D74" s="21">
        <v>470.0</v>
      </c>
      <c r="E74" s="10"/>
      <c r="F74" s="10"/>
      <c r="G74" s="21"/>
      <c r="H74" s="10">
        <v>5650.0</v>
      </c>
      <c r="I74" s="10"/>
      <c r="J74" s="24">
        <v>150.0</v>
      </c>
      <c r="K74" s="25">
        <f t="shared" si="14"/>
        <v>6270</v>
      </c>
      <c r="L74" s="10"/>
    </row>
    <row r="75" ht="13.5" customHeight="1">
      <c r="A75" s="35" t="s">
        <v>41</v>
      </c>
      <c r="B75" s="27"/>
      <c r="C75" s="27"/>
      <c r="D75" s="21">
        <v>460.0</v>
      </c>
      <c r="E75" s="36"/>
      <c r="F75" s="36"/>
      <c r="G75" s="21"/>
      <c r="H75" s="10">
        <v>5620.0</v>
      </c>
      <c r="I75" s="10"/>
      <c r="J75" s="39">
        <v>160.0</v>
      </c>
      <c r="K75" s="25">
        <f t="shared" si="14"/>
        <v>6240</v>
      </c>
      <c r="L75" s="36"/>
    </row>
    <row r="76" ht="13.5" customHeight="1">
      <c r="A76" s="40" t="s">
        <v>7</v>
      </c>
      <c r="B76" s="40"/>
      <c r="C76" s="40">
        <v>547.0</v>
      </c>
      <c r="D76" s="40">
        <f t="shared" ref="D76:J76" si="15">SUM(D70:D75)</f>
        <v>2200</v>
      </c>
      <c r="E76" s="40">
        <f t="shared" si="15"/>
        <v>0</v>
      </c>
      <c r="F76" s="40">
        <f t="shared" si="15"/>
        <v>0</v>
      </c>
      <c r="G76" s="40">
        <f t="shared" si="15"/>
        <v>0</v>
      </c>
      <c r="H76" s="40">
        <f t="shared" si="15"/>
        <v>14190</v>
      </c>
      <c r="I76" s="40">
        <f t="shared" si="15"/>
        <v>0</v>
      </c>
      <c r="J76" s="40">
        <f t="shared" si="15"/>
        <v>560</v>
      </c>
      <c r="K76" s="25">
        <f t="shared" si="14"/>
        <v>16950</v>
      </c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ht="13.5" customHeight="1">
      <c r="A78" s="13" t="s">
        <v>482</v>
      </c>
    </row>
    <row r="79" ht="13.5" customHeight="1">
      <c r="A79" s="14" t="s">
        <v>25</v>
      </c>
      <c r="B79" s="14" t="s">
        <v>1</v>
      </c>
      <c r="C79" s="14" t="s">
        <v>27</v>
      </c>
      <c r="D79" s="15" t="s">
        <v>2</v>
      </c>
      <c r="E79" s="10" t="s">
        <v>28</v>
      </c>
      <c r="F79" s="16" t="s">
        <v>3</v>
      </c>
      <c r="G79" s="15" t="s">
        <v>4</v>
      </c>
      <c r="H79" s="15" t="s">
        <v>5</v>
      </c>
      <c r="I79" s="15" t="s">
        <v>29</v>
      </c>
      <c r="J79" s="14" t="s">
        <v>30</v>
      </c>
      <c r="K79" s="17" t="s">
        <v>7</v>
      </c>
    </row>
    <row r="80" ht="13.5" customHeight="1">
      <c r="A80" s="18" t="s">
        <v>31</v>
      </c>
      <c r="B80" s="19">
        <v>1.0</v>
      </c>
      <c r="C80" s="20" t="s">
        <v>33</v>
      </c>
      <c r="D80" s="21">
        <v>300.0</v>
      </c>
      <c r="E80" s="36"/>
      <c r="F80" s="36"/>
      <c r="G80" s="22"/>
      <c r="H80" s="21">
        <v>690.0</v>
      </c>
      <c r="I80" s="21"/>
      <c r="J80" s="29">
        <v>50.0</v>
      </c>
      <c r="K80" s="25">
        <f t="shared" ref="K80:K86" si="16">SUM(D80:J80)</f>
        <v>1040</v>
      </c>
    </row>
    <row r="81" ht="13.5" customHeight="1">
      <c r="A81" s="26" t="s">
        <v>34</v>
      </c>
      <c r="B81" s="27"/>
      <c r="C81" s="28"/>
      <c r="D81" s="21">
        <v>320.0</v>
      </c>
      <c r="E81" s="36"/>
      <c r="F81" s="36"/>
      <c r="G81" s="22"/>
      <c r="H81" s="21">
        <v>650.0</v>
      </c>
      <c r="I81" s="21"/>
      <c r="J81" s="29">
        <v>50.0</v>
      </c>
      <c r="K81" s="25">
        <f t="shared" si="16"/>
        <v>1020</v>
      </c>
    </row>
    <row r="82" ht="13.5" customHeight="1">
      <c r="A82" s="18" t="s">
        <v>35</v>
      </c>
      <c r="B82" s="30">
        <v>2.3</v>
      </c>
      <c r="C82" s="31" t="s">
        <v>36</v>
      </c>
      <c r="D82" s="21">
        <v>310.0</v>
      </c>
      <c r="E82" s="36"/>
      <c r="F82" s="36"/>
      <c r="G82" s="32"/>
      <c r="H82" s="21">
        <v>870.0</v>
      </c>
      <c r="I82" s="21"/>
      <c r="J82" s="24">
        <v>70.0</v>
      </c>
      <c r="K82" s="25">
        <f t="shared" si="16"/>
        <v>1250</v>
      </c>
    </row>
    <row r="83" ht="13.5" customHeight="1">
      <c r="A83" s="26" t="s">
        <v>37</v>
      </c>
      <c r="B83" s="33"/>
      <c r="C83" s="34">
        <v>127.0</v>
      </c>
      <c r="D83" s="21">
        <v>320.0</v>
      </c>
      <c r="E83" s="36"/>
      <c r="F83" s="36"/>
      <c r="G83" s="22"/>
      <c r="H83" s="21">
        <v>830.0</v>
      </c>
      <c r="I83" s="21"/>
      <c r="J83" s="29">
        <v>70.0</v>
      </c>
      <c r="K83" s="25">
        <f t="shared" si="16"/>
        <v>1220</v>
      </c>
    </row>
    <row r="84" ht="15.0" customHeight="1">
      <c r="A84" s="18" t="s">
        <v>38</v>
      </c>
      <c r="B84" s="19" t="s">
        <v>39</v>
      </c>
      <c r="C84" s="19" t="s">
        <v>40</v>
      </c>
      <c r="D84" s="44">
        <v>450.0</v>
      </c>
      <c r="E84" s="41"/>
      <c r="F84" s="41"/>
      <c r="G84" s="32"/>
      <c r="H84" s="44">
        <v>5600.0</v>
      </c>
      <c r="I84" s="21"/>
      <c r="J84" s="24">
        <v>160.0</v>
      </c>
      <c r="K84" s="25">
        <f t="shared" si="16"/>
        <v>6210</v>
      </c>
      <c r="L84" s="10"/>
    </row>
    <row r="85" ht="13.5" customHeight="1">
      <c r="A85" s="35" t="s">
        <v>41</v>
      </c>
      <c r="B85" s="27"/>
      <c r="C85" s="27"/>
      <c r="D85" s="21">
        <v>470.0</v>
      </c>
      <c r="E85" s="36"/>
      <c r="F85" s="37"/>
      <c r="G85" s="38"/>
      <c r="H85" s="21">
        <v>5600.0</v>
      </c>
      <c r="I85" s="29"/>
      <c r="J85" s="39">
        <v>160.0</v>
      </c>
      <c r="K85" s="25">
        <f t="shared" si="16"/>
        <v>6230</v>
      </c>
      <c r="L85" s="36"/>
    </row>
    <row r="86" ht="13.5" customHeight="1">
      <c r="A86" s="40" t="s">
        <v>7</v>
      </c>
      <c r="B86" s="40"/>
      <c r="C86" s="40">
        <v>547.0</v>
      </c>
      <c r="D86" s="10">
        <f t="shared" ref="D86:J86" si="17">SUM(D80:D85)</f>
        <v>2170</v>
      </c>
      <c r="E86" s="10">
        <f t="shared" si="17"/>
        <v>0</v>
      </c>
      <c r="F86" s="10">
        <f t="shared" si="17"/>
        <v>0</v>
      </c>
      <c r="G86" s="10">
        <f t="shared" si="17"/>
        <v>0</v>
      </c>
      <c r="H86" s="10">
        <f t="shared" si="17"/>
        <v>14240</v>
      </c>
      <c r="I86" s="10">
        <f t="shared" si="17"/>
        <v>0</v>
      </c>
      <c r="J86" s="10">
        <f t="shared" si="17"/>
        <v>560</v>
      </c>
      <c r="K86" s="25">
        <f t="shared" si="16"/>
        <v>16970</v>
      </c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ht="13.5" customHeight="1">
      <c r="A88" s="13" t="s">
        <v>483</v>
      </c>
    </row>
    <row r="89" ht="13.5" customHeight="1">
      <c r="A89" s="14" t="s">
        <v>25</v>
      </c>
      <c r="B89" s="14" t="s">
        <v>1</v>
      </c>
      <c r="C89" s="14" t="s">
        <v>27</v>
      </c>
      <c r="D89" s="15" t="s">
        <v>2</v>
      </c>
      <c r="E89" s="10" t="s">
        <v>28</v>
      </c>
      <c r="F89" s="16" t="s">
        <v>3</v>
      </c>
      <c r="G89" s="15" t="s">
        <v>4</v>
      </c>
      <c r="H89" s="15" t="s">
        <v>5</v>
      </c>
      <c r="I89" s="15" t="s">
        <v>29</v>
      </c>
      <c r="J89" s="14" t="s">
        <v>30</v>
      </c>
      <c r="K89" s="17" t="s">
        <v>7</v>
      </c>
    </row>
    <row r="90" ht="14.25" customHeight="1">
      <c r="A90" s="18" t="s">
        <v>31</v>
      </c>
      <c r="B90" s="19">
        <v>1.0</v>
      </c>
      <c r="C90" s="20" t="s">
        <v>33</v>
      </c>
      <c r="D90" s="21">
        <v>310.0</v>
      </c>
      <c r="E90" s="10"/>
      <c r="F90" s="36"/>
      <c r="G90" s="32"/>
      <c r="H90" s="21">
        <v>650.0</v>
      </c>
      <c r="I90" s="21"/>
      <c r="J90" s="24">
        <v>60.0</v>
      </c>
      <c r="K90" s="25">
        <f t="shared" ref="K90:K96" si="18">SUM(D90:J90)</f>
        <v>1020</v>
      </c>
    </row>
    <row r="91" ht="13.5" customHeight="1">
      <c r="A91" s="26" t="s">
        <v>34</v>
      </c>
      <c r="B91" s="27"/>
      <c r="C91" s="28"/>
      <c r="D91" s="21">
        <v>310.0</v>
      </c>
      <c r="E91" s="10"/>
      <c r="F91" s="36"/>
      <c r="G91" s="32"/>
      <c r="H91" s="21">
        <v>620.0</v>
      </c>
      <c r="I91" s="21"/>
      <c r="J91" s="29">
        <v>90.0</v>
      </c>
      <c r="K91" s="25">
        <f t="shared" si="18"/>
        <v>1020</v>
      </c>
    </row>
    <row r="92" ht="13.5" customHeight="1">
      <c r="A92" s="18" t="s">
        <v>35</v>
      </c>
      <c r="B92" s="30">
        <v>2.3</v>
      </c>
      <c r="C92" s="31" t="s">
        <v>36</v>
      </c>
      <c r="D92" s="21">
        <v>310.0</v>
      </c>
      <c r="E92" s="10"/>
      <c r="F92" s="36"/>
      <c r="G92" s="32"/>
      <c r="H92" s="21">
        <v>840.0</v>
      </c>
      <c r="I92" s="21"/>
      <c r="J92" s="24">
        <v>80.0</v>
      </c>
      <c r="K92" s="25">
        <f t="shared" si="18"/>
        <v>1230</v>
      </c>
    </row>
    <row r="93" ht="13.5" customHeight="1">
      <c r="A93" s="26" t="s">
        <v>37</v>
      </c>
      <c r="B93" s="33"/>
      <c r="C93" s="34"/>
      <c r="D93" s="21">
        <v>330.0</v>
      </c>
      <c r="E93" s="10"/>
      <c r="F93" s="36"/>
      <c r="G93" s="32"/>
      <c r="H93" s="21">
        <v>1090.0</v>
      </c>
      <c r="I93" s="21"/>
      <c r="J93" s="29">
        <v>90.0</v>
      </c>
      <c r="K93" s="25">
        <f t="shared" si="18"/>
        <v>1510</v>
      </c>
    </row>
    <row r="94" ht="15.0" customHeight="1">
      <c r="A94" s="18" t="s">
        <v>38</v>
      </c>
      <c r="B94" s="19" t="s">
        <v>39</v>
      </c>
      <c r="C94" s="19" t="s">
        <v>40</v>
      </c>
      <c r="D94" s="21">
        <v>460.0</v>
      </c>
      <c r="E94" s="36"/>
      <c r="F94" s="41"/>
      <c r="G94" s="32"/>
      <c r="H94" s="21">
        <v>5620.0</v>
      </c>
      <c r="I94" s="21"/>
      <c r="J94" s="24">
        <v>160.0</v>
      </c>
      <c r="K94" s="25">
        <f t="shared" si="18"/>
        <v>6240</v>
      </c>
      <c r="L94" s="10"/>
    </row>
    <row r="95" ht="13.5" customHeight="1">
      <c r="A95" s="35" t="s">
        <v>41</v>
      </c>
      <c r="B95" s="27"/>
      <c r="C95" s="27"/>
      <c r="D95" s="21">
        <v>470.0</v>
      </c>
      <c r="E95" s="36"/>
      <c r="F95" s="37"/>
      <c r="G95" s="38"/>
      <c r="H95" s="21">
        <v>5600.0</v>
      </c>
      <c r="I95" s="21"/>
      <c r="J95" s="39">
        <v>160.0</v>
      </c>
      <c r="K95" s="25">
        <f t="shared" si="18"/>
        <v>6230</v>
      </c>
      <c r="L95" s="36"/>
    </row>
    <row r="96" ht="13.5" customHeight="1">
      <c r="A96" s="40" t="s">
        <v>7</v>
      </c>
      <c r="B96" s="40"/>
      <c r="C96" s="40">
        <v>563.0</v>
      </c>
      <c r="D96" s="10">
        <f t="shared" ref="D96:J96" si="19">SUM(D90:D95)</f>
        <v>2190</v>
      </c>
      <c r="E96" s="10">
        <f t="shared" si="19"/>
        <v>0</v>
      </c>
      <c r="F96" s="10">
        <f t="shared" si="19"/>
        <v>0</v>
      </c>
      <c r="G96" s="10">
        <f t="shared" si="19"/>
        <v>0</v>
      </c>
      <c r="H96" s="10">
        <f t="shared" si="19"/>
        <v>14420</v>
      </c>
      <c r="I96" s="10">
        <f t="shared" si="19"/>
        <v>0</v>
      </c>
      <c r="J96" s="10">
        <f t="shared" si="19"/>
        <v>640</v>
      </c>
      <c r="K96" s="25">
        <f t="shared" si="18"/>
        <v>17250</v>
      </c>
    </row>
    <row r="97" ht="13.5" customHeight="1">
      <c r="A97" s="13" t="s">
        <v>484</v>
      </c>
    </row>
    <row r="98" ht="13.5" customHeight="1">
      <c r="A98" s="14" t="s">
        <v>25</v>
      </c>
      <c r="B98" s="14" t="s">
        <v>1</v>
      </c>
      <c r="C98" s="14" t="s">
        <v>27</v>
      </c>
      <c r="D98" s="15" t="s">
        <v>2</v>
      </c>
      <c r="E98" s="10" t="s">
        <v>28</v>
      </c>
      <c r="F98" s="16" t="s">
        <v>3</v>
      </c>
      <c r="G98" s="15" t="s">
        <v>4</v>
      </c>
      <c r="H98" s="15" t="s">
        <v>5</v>
      </c>
      <c r="I98" s="15" t="s">
        <v>29</v>
      </c>
      <c r="J98" s="14" t="s">
        <v>30</v>
      </c>
      <c r="K98" s="10" t="s">
        <v>7</v>
      </c>
    </row>
    <row r="99" ht="14.25" customHeight="1">
      <c r="A99" s="18" t="s">
        <v>31</v>
      </c>
      <c r="B99" s="19">
        <v>1.0</v>
      </c>
      <c r="C99" s="20" t="s">
        <v>33</v>
      </c>
      <c r="D99" s="21">
        <v>310.0</v>
      </c>
      <c r="E99" s="10"/>
      <c r="F99" s="36"/>
      <c r="G99" s="32"/>
      <c r="H99" s="21">
        <v>620.0</v>
      </c>
      <c r="I99" s="21"/>
      <c r="J99" s="21">
        <v>80.0</v>
      </c>
      <c r="K99" s="10">
        <f t="shared" ref="K99:K105" si="20">SUM(D99:J99)</f>
        <v>1010</v>
      </c>
    </row>
    <row r="100" ht="13.5" customHeight="1">
      <c r="A100" s="26" t="s">
        <v>34</v>
      </c>
      <c r="B100" s="27"/>
      <c r="C100" s="28">
        <v>88.0</v>
      </c>
      <c r="D100" s="21"/>
      <c r="E100" s="10"/>
      <c r="F100" s="36"/>
      <c r="G100" s="32"/>
      <c r="H100" s="21"/>
      <c r="I100" s="21"/>
      <c r="J100" s="21"/>
      <c r="K100" s="10">
        <f t="shared" si="20"/>
        <v>0</v>
      </c>
      <c r="L100" s="43" t="s">
        <v>485</v>
      </c>
    </row>
    <row r="101" ht="13.5" customHeight="1">
      <c r="A101" s="18" t="s">
        <v>35</v>
      </c>
      <c r="B101" s="30">
        <v>2.3</v>
      </c>
      <c r="C101" s="31" t="s">
        <v>36</v>
      </c>
      <c r="D101" s="21">
        <v>320.0</v>
      </c>
      <c r="E101" s="10"/>
      <c r="F101" s="36"/>
      <c r="G101" s="32"/>
      <c r="H101" s="21">
        <v>1130.0</v>
      </c>
      <c r="I101" s="21"/>
      <c r="J101" s="21">
        <v>80.0</v>
      </c>
      <c r="K101" s="10">
        <f t="shared" si="20"/>
        <v>1530</v>
      </c>
    </row>
    <row r="102" ht="13.5" customHeight="1">
      <c r="A102" s="26" t="s">
        <v>37</v>
      </c>
      <c r="B102" s="33"/>
      <c r="C102" s="34">
        <v>174.0</v>
      </c>
      <c r="D102" s="21">
        <v>310.0</v>
      </c>
      <c r="E102" s="10"/>
      <c r="F102" s="36"/>
      <c r="G102" s="32"/>
      <c r="H102" s="21">
        <v>1190.0</v>
      </c>
      <c r="I102" s="21"/>
      <c r="J102" s="21">
        <v>70.0</v>
      </c>
      <c r="K102" s="10">
        <f t="shared" si="20"/>
        <v>1570</v>
      </c>
    </row>
    <row r="103" ht="14.25" customHeight="1">
      <c r="A103" s="18" t="s">
        <v>38</v>
      </c>
      <c r="B103" s="19" t="s">
        <v>486</v>
      </c>
      <c r="C103" s="19" t="s">
        <v>40</v>
      </c>
      <c r="D103" s="21">
        <v>470.0</v>
      </c>
      <c r="E103" s="36"/>
      <c r="F103" s="41"/>
      <c r="G103" s="32"/>
      <c r="H103" s="21">
        <v>5650.0</v>
      </c>
      <c r="I103" s="21"/>
      <c r="J103" s="21">
        <v>160.0</v>
      </c>
      <c r="K103" s="10">
        <f t="shared" si="20"/>
        <v>6280</v>
      </c>
    </row>
    <row r="104" ht="13.5" customHeight="1">
      <c r="A104" s="35" t="s">
        <v>41</v>
      </c>
      <c r="B104" s="27"/>
      <c r="C104" s="27"/>
      <c r="D104" s="21">
        <v>470.0</v>
      </c>
      <c r="E104" s="36"/>
      <c r="F104" s="37"/>
      <c r="G104" s="38"/>
      <c r="H104" s="21">
        <v>5600.0</v>
      </c>
      <c r="I104" s="21"/>
      <c r="J104" s="21">
        <v>160.0</v>
      </c>
      <c r="K104" s="10">
        <f t="shared" si="20"/>
        <v>6230</v>
      </c>
    </row>
    <row r="105" ht="13.5" customHeight="1">
      <c r="A105" s="40" t="s">
        <v>7</v>
      </c>
      <c r="B105" s="40"/>
      <c r="C105" s="40">
        <v>563.0</v>
      </c>
      <c r="D105" s="10">
        <f t="shared" ref="D105:J105" si="21">SUM(D99:D104)</f>
        <v>1880</v>
      </c>
      <c r="E105" s="10">
        <f t="shared" si="21"/>
        <v>0</v>
      </c>
      <c r="F105" s="10">
        <f t="shared" si="21"/>
        <v>0</v>
      </c>
      <c r="G105" s="10">
        <f t="shared" si="21"/>
        <v>0</v>
      </c>
      <c r="H105" s="10">
        <f t="shared" si="21"/>
        <v>14190</v>
      </c>
      <c r="I105" s="10">
        <f t="shared" si="21"/>
        <v>0</v>
      </c>
      <c r="J105" s="10">
        <f t="shared" si="21"/>
        <v>550</v>
      </c>
      <c r="K105" s="10">
        <f t="shared" si="20"/>
        <v>16620</v>
      </c>
    </row>
    <row r="106" ht="13.5" customHeight="1">
      <c r="A106" s="14"/>
      <c r="B106" s="14"/>
      <c r="C106" s="14"/>
      <c r="D106" s="14"/>
      <c r="E106" s="14"/>
      <c r="F106" s="14"/>
      <c r="G106" s="15"/>
      <c r="H106" s="15"/>
      <c r="I106" s="15"/>
      <c r="J106" s="10"/>
      <c r="K106" s="10"/>
    </row>
    <row r="107" ht="13.5" customHeight="1">
      <c r="A107" s="45" t="s">
        <v>487</v>
      </c>
    </row>
    <row r="108" ht="13.5" customHeight="1">
      <c r="A108" s="14" t="s">
        <v>25</v>
      </c>
      <c r="B108" s="14" t="s">
        <v>1</v>
      </c>
      <c r="C108" s="14" t="s">
        <v>27</v>
      </c>
      <c r="D108" s="15" t="s">
        <v>2</v>
      </c>
      <c r="E108" s="10" t="s">
        <v>28</v>
      </c>
      <c r="F108" s="16" t="s">
        <v>3</v>
      </c>
      <c r="G108" s="15" t="s">
        <v>4</v>
      </c>
      <c r="H108" s="15" t="s">
        <v>5</v>
      </c>
      <c r="I108" s="15" t="s">
        <v>29</v>
      </c>
      <c r="J108" s="14" t="s">
        <v>30</v>
      </c>
      <c r="K108" s="17" t="s">
        <v>7</v>
      </c>
    </row>
    <row r="109" ht="14.25" customHeight="1">
      <c r="A109" s="18" t="s">
        <v>31</v>
      </c>
      <c r="B109" s="19">
        <v>1.0</v>
      </c>
      <c r="C109" s="20" t="s">
        <v>33</v>
      </c>
      <c r="D109" s="21">
        <v>320.0</v>
      </c>
      <c r="E109" s="10"/>
      <c r="F109" s="10"/>
      <c r="G109" s="32"/>
      <c r="H109" s="21">
        <v>640.0</v>
      </c>
      <c r="I109" s="21"/>
      <c r="J109" s="21">
        <v>90.0</v>
      </c>
      <c r="K109" s="25">
        <f t="shared" ref="K109:K115" si="22">SUM(D109:J109)</f>
        <v>1050</v>
      </c>
    </row>
    <row r="110" ht="13.5" customHeight="1">
      <c r="A110" s="26" t="s">
        <v>34</v>
      </c>
      <c r="B110" s="27"/>
      <c r="C110" s="28">
        <v>88.0</v>
      </c>
      <c r="D110" s="21">
        <v>320.0</v>
      </c>
      <c r="E110" s="10"/>
      <c r="F110" s="10"/>
      <c r="G110" s="32"/>
      <c r="H110" s="21">
        <v>590.0</v>
      </c>
      <c r="I110" s="21"/>
      <c r="J110" s="21">
        <v>90.0</v>
      </c>
      <c r="K110" s="25">
        <f t="shared" si="22"/>
        <v>1000</v>
      </c>
    </row>
    <row r="111" ht="13.5" customHeight="1">
      <c r="A111" s="18" t="s">
        <v>35</v>
      </c>
      <c r="B111" s="30">
        <v>2.3</v>
      </c>
      <c r="C111" s="31" t="s">
        <v>36</v>
      </c>
      <c r="D111" s="21">
        <v>320.0</v>
      </c>
      <c r="E111" s="10"/>
      <c r="F111" s="10"/>
      <c r="G111" s="32"/>
      <c r="H111" s="21">
        <v>1090.0</v>
      </c>
      <c r="I111" s="21"/>
      <c r="J111" s="21">
        <v>90.0</v>
      </c>
      <c r="K111" s="25">
        <f t="shared" si="22"/>
        <v>1500</v>
      </c>
    </row>
    <row r="112" ht="13.5" customHeight="1">
      <c r="A112" s="26" t="s">
        <v>37</v>
      </c>
      <c r="B112" s="33"/>
      <c r="C112" s="34">
        <v>174.0</v>
      </c>
      <c r="D112" s="21">
        <v>320.0</v>
      </c>
      <c r="E112" s="10"/>
      <c r="F112" s="36"/>
      <c r="G112" s="32"/>
      <c r="H112" s="21">
        <v>1110.0</v>
      </c>
      <c r="I112" s="21"/>
      <c r="J112" s="21">
        <v>90.0</v>
      </c>
      <c r="K112" s="25">
        <f t="shared" si="22"/>
        <v>1520</v>
      </c>
    </row>
    <row r="113" ht="15.0" customHeight="1">
      <c r="A113" s="18" t="s">
        <v>38</v>
      </c>
      <c r="B113" s="19" t="s">
        <v>39</v>
      </c>
      <c r="C113" s="19" t="s">
        <v>40</v>
      </c>
      <c r="D113" s="21">
        <v>470.0</v>
      </c>
      <c r="E113" s="36"/>
      <c r="F113" s="41"/>
      <c r="G113" s="32"/>
      <c r="H113" s="21">
        <v>5240.0</v>
      </c>
      <c r="I113" s="21"/>
      <c r="J113" s="21">
        <v>170.0</v>
      </c>
      <c r="K113" s="25">
        <f t="shared" si="22"/>
        <v>5880</v>
      </c>
    </row>
    <row r="114" ht="13.5" customHeight="1">
      <c r="A114" s="35" t="s">
        <v>41</v>
      </c>
      <c r="B114" s="27"/>
      <c r="C114" s="27"/>
      <c r="D114" s="21">
        <v>440.0</v>
      </c>
      <c r="E114" s="36"/>
      <c r="F114" s="41"/>
      <c r="G114" s="32"/>
      <c r="H114" s="21">
        <v>5520.0</v>
      </c>
      <c r="I114" s="21"/>
      <c r="J114" s="21">
        <v>140.0</v>
      </c>
      <c r="K114" s="25">
        <f t="shared" si="22"/>
        <v>6100</v>
      </c>
    </row>
    <row r="115" ht="13.5" customHeight="1">
      <c r="A115" s="40" t="s">
        <v>7</v>
      </c>
      <c r="B115" s="40"/>
      <c r="C115" s="40">
        <v>563.0</v>
      </c>
      <c r="D115" s="10">
        <f t="shared" ref="D115:J115" si="23">SUM(D109:D114)</f>
        <v>2190</v>
      </c>
      <c r="E115" s="10">
        <f t="shared" si="23"/>
        <v>0</v>
      </c>
      <c r="F115" s="10">
        <f t="shared" si="23"/>
        <v>0</v>
      </c>
      <c r="G115" s="10">
        <f t="shared" si="23"/>
        <v>0</v>
      </c>
      <c r="H115" s="10">
        <f t="shared" si="23"/>
        <v>14190</v>
      </c>
      <c r="I115" s="10">
        <f t="shared" si="23"/>
        <v>0</v>
      </c>
      <c r="J115" s="10">
        <f t="shared" si="23"/>
        <v>670</v>
      </c>
      <c r="K115" s="25">
        <f t="shared" si="22"/>
        <v>17050</v>
      </c>
    </row>
    <row r="116" ht="13.5" customHeight="1">
      <c r="A116" s="13" t="s">
        <v>488</v>
      </c>
    </row>
    <row r="117" ht="13.5" customHeight="1">
      <c r="A117" s="14" t="s">
        <v>25</v>
      </c>
      <c r="B117" s="14" t="s">
        <v>1</v>
      </c>
      <c r="C117" s="14" t="s">
        <v>27</v>
      </c>
      <c r="D117" s="15" t="s">
        <v>2</v>
      </c>
      <c r="E117" s="10" t="s">
        <v>28</v>
      </c>
      <c r="F117" s="16" t="s">
        <v>3</v>
      </c>
      <c r="G117" s="15" t="s">
        <v>4</v>
      </c>
      <c r="H117" s="15" t="s">
        <v>5</v>
      </c>
      <c r="I117" s="15" t="s">
        <v>29</v>
      </c>
      <c r="J117" s="14" t="s">
        <v>30</v>
      </c>
      <c r="K117" s="17" t="s">
        <v>7</v>
      </c>
    </row>
    <row r="118" ht="14.25" customHeight="1">
      <c r="A118" s="18" t="s">
        <v>31</v>
      </c>
      <c r="B118" s="19">
        <v>1.0</v>
      </c>
      <c r="C118" s="20" t="s">
        <v>33</v>
      </c>
      <c r="D118" s="21">
        <v>300.0</v>
      </c>
      <c r="E118" s="10">
        <v>80.0</v>
      </c>
      <c r="F118" s="36">
        <v>320.0</v>
      </c>
      <c r="G118" s="32"/>
      <c r="H118" s="21">
        <v>320.0</v>
      </c>
      <c r="I118" s="21"/>
      <c r="J118" s="21">
        <v>80.0</v>
      </c>
      <c r="K118" s="25">
        <f t="shared" ref="K118:K124" si="24">SUM(D118:J118)</f>
        <v>1100</v>
      </c>
    </row>
    <row r="119" ht="13.5" customHeight="1">
      <c r="A119" s="26" t="s">
        <v>34</v>
      </c>
      <c r="B119" s="27"/>
      <c r="C119" s="28">
        <v>88.0</v>
      </c>
      <c r="D119" s="21">
        <v>310.0</v>
      </c>
      <c r="E119" s="10">
        <v>80.0</v>
      </c>
      <c r="F119" s="36">
        <v>310.0</v>
      </c>
      <c r="G119" s="32"/>
      <c r="H119" s="21">
        <v>320.0</v>
      </c>
      <c r="I119" s="21"/>
      <c r="J119" s="21">
        <v>90.0</v>
      </c>
      <c r="K119" s="25">
        <f t="shared" si="24"/>
        <v>1110</v>
      </c>
    </row>
    <row r="120" ht="13.5" customHeight="1">
      <c r="A120" s="18" t="s">
        <v>35</v>
      </c>
      <c r="B120" s="30">
        <v>2.1</v>
      </c>
      <c r="C120" s="31" t="s">
        <v>36</v>
      </c>
      <c r="D120" s="21">
        <v>320.0</v>
      </c>
      <c r="E120" s="10"/>
      <c r="F120" s="36">
        <v>340.0</v>
      </c>
      <c r="G120" s="32"/>
      <c r="H120" s="21">
        <v>780.0</v>
      </c>
      <c r="I120" s="21"/>
      <c r="J120" s="21">
        <v>80.0</v>
      </c>
      <c r="K120" s="25">
        <f t="shared" si="24"/>
        <v>1520</v>
      </c>
    </row>
    <row r="121" ht="13.5" customHeight="1">
      <c r="A121" s="26" t="s">
        <v>37</v>
      </c>
      <c r="B121" s="33"/>
      <c r="C121" s="34">
        <v>174.0</v>
      </c>
      <c r="D121" s="21">
        <v>320.0</v>
      </c>
      <c r="E121" s="10"/>
      <c r="F121" s="36">
        <v>340.0</v>
      </c>
      <c r="G121" s="32"/>
      <c r="H121" s="21">
        <v>810.0</v>
      </c>
      <c r="I121" s="21"/>
      <c r="J121" s="21">
        <v>80.0</v>
      </c>
      <c r="K121" s="25">
        <f t="shared" si="24"/>
        <v>1550</v>
      </c>
    </row>
    <row r="122" ht="15.0" customHeight="1">
      <c r="A122" s="18" t="s">
        <v>38</v>
      </c>
      <c r="B122" s="19" t="s">
        <v>39</v>
      </c>
      <c r="C122" s="19" t="s">
        <v>40</v>
      </c>
      <c r="D122" s="21">
        <v>470.0</v>
      </c>
      <c r="E122" s="36"/>
      <c r="F122" s="41">
        <v>760.0</v>
      </c>
      <c r="G122" s="44"/>
      <c r="H122" s="44">
        <v>4850.0</v>
      </c>
      <c r="I122" s="23"/>
      <c r="J122" s="23">
        <v>160.0</v>
      </c>
      <c r="K122" s="25">
        <f t="shared" si="24"/>
        <v>6240</v>
      </c>
    </row>
    <row r="123" ht="13.5" customHeight="1">
      <c r="A123" s="35" t="s">
        <v>41</v>
      </c>
      <c r="B123" s="27"/>
      <c r="C123" s="27"/>
      <c r="D123" s="21">
        <v>470.0</v>
      </c>
      <c r="E123" s="36"/>
      <c r="F123" s="37">
        <v>740.0</v>
      </c>
      <c r="G123" s="38"/>
      <c r="H123" s="21">
        <v>5140.0</v>
      </c>
      <c r="I123" s="29"/>
      <c r="J123" s="39">
        <v>160.0</v>
      </c>
      <c r="K123" s="25">
        <f t="shared" si="24"/>
        <v>6510</v>
      </c>
    </row>
    <row r="124" ht="13.5" customHeight="1">
      <c r="A124" s="40" t="s">
        <v>7</v>
      </c>
      <c r="B124" s="40"/>
      <c r="C124" s="40">
        <v>563.0</v>
      </c>
      <c r="D124" s="10">
        <f t="shared" ref="D124:I124" si="25">SUM(D118:D123)</f>
        <v>2190</v>
      </c>
      <c r="E124" s="10">
        <f t="shared" si="25"/>
        <v>160</v>
      </c>
      <c r="F124" s="10">
        <f t="shared" si="25"/>
        <v>2810</v>
      </c>
      <c r="G124" s="10">
        <f t="shared" si="25"/>
        <v>0</v>
      </c>
      <c r="H124" s="10">
        <f t="shared" si="25"/>
        <v>12220</v>
      </c>
      <c r="I124" s="10">
        <f t="shared" si="25"/>
        <v>0</v>
      </c>
      <c r="J124" s="10">
        <v>310.0</v>
      </c>
      <c r="K124" s="25">
        <f t="shared" si="24"/>
        <v>17690</v>
      </c>
    </row>
    <row r="125" ht="13.5" customHeight="1">
      <c r="A125" s="13" t="s">
        <v>489</v>
      </c>
    </row>
    <row r="126" ht="13.5" customHeight="1">
      <c r="A126" s="14" t="s">
        <v>25</v>
      </c>
      <c r="B126" s="14" t="s">
        <v>1</v>
      </c>
      <c r="C126" s="14" t="s">
        <v>27</v>
      </c>
      <c r="D126" s="15" t="s">
        <v>2</v>
      </c>
      <c r="E126" s="10" t="s">
        <v>28</v>
      </c>
      <c r="F126" s="16" t="s">
        <v>3</v>
      </c>
      <c r="G126" s="15" t="s">
        <v>4</v>
      </c>
      <c r="H126" s="15" t="s">
        <v>5</v>
      </c>
      <c r="I126" s="15" t="s">
        <v>29</v>
      </c>
      <c r="J126" s="14" t="s">
        <v>30</v>
      </c>
      <c r="K126" s="17" t="s">
        <v>7</v>
      </c>
    </row>
    <row r="127" ht="13.5" customHeight="1">
      <c r="A127" s="18" t="s">
        <v>31</v>
      </c>
      <c r="B127" s="19">
        <v>1.0</v>
      </c>
      <c r="C127" s="20" t="s">
        <v>33</v>
      </c>
      <c r="D127" s="21">
        <v>320.0</v>
      </c>
      <c r="E127" s="10">
        <v>80.0</v>
      </c>
      <c r="F127" s="36">
        <v>320.0</v>
      </c>
      <c r="G127" s="32"/>
      <c r="H127" s="21">
        <v>330.0</v>
      </c>
      <c r="I127" s="21"/>
      <c r="J127" s="21">
        <v>80.0</v>
      </c>
      <c r="K127" s="25">
        <f t="shared" ref="K127:K133" si="26">SUM(D127:J127)</f>
        <v>1130</v>
      </c>
    </row>
    <row r="128" ht="13.5" customHeight="1">
      <c r="A128" s="26" t="s">
        <v>34</v>
      </c>
      <c r="B128" s="27"/>
      <c r="C128" s="28">
        <v>88.0</v>
      </c>
      <c r="D128" s="21">
        <v>320.0</v>
      </c>
      <c r="E128" s="10">
        <v>80.0</v>
      </c>
      <c r="F128" s="36">
        <v>330.0</v>
      </c>
      <c r="G128" s="32"/>
      <c r="H128" s="21">
        <v>330.0</v>
      </c>
      <c r="I128" s="21"/>
      <c r="J128" s="21">
        <v>80.0</v>
      </c>
      <c r="K128" s="25">
        <f t="shared" si="26"/>
        <v>1140</v>
      </c>
    </row>
    <row r="129" ht="13.5" customHeight="1">
      <c r="A129" s="18" t="s">
        <v>35</v>
      </c>
      <c r="B129" s="30">
        <v>2.3</v>
      </c>
      <c r="C129" s="31" t="s">
        <v>36</v>
      </c>
      <c r="D129" s="21">
        <v>330.0</v>
      </c>
      <c r="E129" s="10"/>
      <c r="F129" s="36">
        <v>350.0</v>
      </c>
      <c r="G129" s="32"/>
      <c r="H129" s="21">
        <v>840.0</v>
      </c>
      <c r="I129" s="21"/>
      <c r="J129" s="21">
        <v>90.0</v>
      </c>
      <c r="K129" s="25">
        <f t="shared" si="26"/>
        <v>1610</v>
      </c>
    </row>
    <row r="130" ht="13.5" customHeight="1">
      <c r="A130" s="26" t="s">
        <v>37</v>
      </c>
      <c r="B130" s="33"/>
      <c r="C130" s="34">
        <v>174.0</v>
      </c>
      <c r="D130" s="21">
        <v>360.0</v>
      </c>
      <c r="E130" s="10"/>
      <c r="F130" s="36">
        <v>350.0</v>
      </c>
      <c r="G130" s="32"/>
      <c r="H130" s="21">
        <v>700.0</v>
      </c>
      <c r="I130" s="21"/>
      <c r="J130" s="21">
        <v>90.0</v>
      </c>
      <c r="K130" s="25">
        <f t="shared" si="26"/>
        <v>1500</v>
      </c>
    </row>
    <row r="131" ht="15.0" customHeight="1">
      <c r="A131" s="18" t="s">
        <v>38</v>
      </c>
      <c r="B131" s="19" t="s">
        <v>39</v>
      </c>
      <c r="C131" s="19" t="s">
        <v>40</v>
      </c>
      <c r="D131" s="21">
        <v>460.0</v>
      </c>
      <c r="E131" s="36"/>
      <c r="F131" s="41">
        <v>770.0</v>
      </c>
      <c r="G131" s="44"/>
      <c r="H131" s="44">
        <v>5140.0</v>
      </c>
      <c r="I131" s="23"/>
      <c r="J131" s="23">
        <v>160.0</v>
      </c>
      <c r="K131" s="25">
        <f t="shared" si="26"/>
        <v>6530</v>
      </c>
    </row>
    <row r="132" ht="13.5" customHeight="1">
      <c r="A132" s="35" t="s">
        <v>41</v>
      </c>
      <c r="B132" s="27"/>
      <c r="C132" s="27"/>
      <c r="D132" s="21">
        <v>470.0</v>
      </c>
      <c r="E132" s="36"/>
      <c r="F132" s="37">
        <v>760.0</v>
      </c>
      <c r="G132" s="38"/>
      <c r="H132" s="21">
        <v>5190.0</v>
      </c>
      <c r="I132" s="29"/>
      <c r="J132" s="39">
        <v>160.0</v>
      </c>
      <c r="K132" s="25">
        <f t="shared" si="26"/>
        <v>6580</v>
      </c>
    </row>
    <row r="133" ht="13.5" customHeight="1">
      <c r="A133" s="40" t="s">
        <v>7</v>
      </c>
      <c r="B133" s="40"/>
      <c r="C133" s="40">
        <v>563.0</v>
      </c>
      <c r="D133" s="10">
        <f t="shared" ref="D133:J133" si="27">SUM(D127:D132)</f>
        <v>2260</v>
      </c>
      <c r="E133" s="10">
        <f t="shared" si="27"/>
        <v>160</v>
      </c>
      <c r="F133" s="10">
        <f t="shared" si="27"/>
        <v>2880</v>
      </c>
      <c r="G133" s="10">
        <f t="shared" si="27"/>
        <v>0</v>
      </c>
      <c r="H133" s="10">
        <f t="shared" si="27"/>
        <v>12530</v>
      </c>
      <c r="I133" s="10">
        <f t="shared" si="27"/>
        <v>0</v>
      </c>
      <c r="J133" s="10">
        <f t="shared" si="27"/>
        <v>660</v>
      </c>
      <c r="K133" s="25">
        <f t="shared" si="26"/>
        <v>18490</v>
      </c>
    </row>
    <row r="134" ht="13.5" customHeight="1">
      <c r="A134" s="46" t="s">
        <v>490</v>
      </c>
    </row>
    <row r="135" ht="13.5" customHeight="1">
      <c r="A135" s="14" t="s">
        <v>25</v>
      </c>
      <c r="B135" s="14" t="s">
        <v>1</v>
      </c>
      <c r="C135" s="14" t="s">
        <v>27</v>
      </c>
      <c r="D135" s="15" t="s">
        <v>2</v>
      </c>
      <c r="E135" s="10" t="s">
        <v>28</v>
      </c>
      <c r="F135" s="16" t="s">
        <v>3</v>
      </c>
      <c r="G135" s="15" t="s">
        <v>4</v>
      </c>
      <c r="H135" s="15" t="s">
        <v>5</v>
      </c>
      <c r="I135" s="15" t="s">
        <v>29</v>
      </c>
      <c r="J135" s="14" t="s">
        <v>30</v>
      </c>
      <c r="K135" s="17" t="s">
        <v>7</v>
      </c>
    </row>
    <row r="136" ht="13.5" customHeight="1">
      <c r="A136" s="18" t="s">
        <v>31</v>
      </c>
      <c r="B136" s="19">
        <v>1.0</v>
      </c>
      <c r="C136" s="20" t="s">
        <v>33</v>
      </c>
      <c r="D136" s="21">
        <v>300.0</v>
      </c>
      <c r="E136" s="36">
        <v>80.0</v>
      </c>
      <c r="F136" s="36">
        <v>310.0</v>
      </c>
      <c r="G136" s="32"/>
      <c r="H136" s="21">
        <v>220.0</v>
      </c>
      <c r="I136" s="21"/>
      <c r="J136" s="21">
        <v>90.0</v>
      </c>
      <c r="K136" s="25">
        <f>SUM(D136:J136)</f>
        <v>1000</v>
      </c>
    </row>
    <row r="137" ht="13.5" customHeight="1">
      <c r="A137" s="26" t="s">
        <v>34</v>
      </c>
      <c r="B137" s="27"/>
      <c r="C137" s="28">
        <v>88.0</v>
      </c>
      <c r="D137" s="21">
        <v>300.0</v>
      </c>
      <c r="E137" s="36">
        <v>80.0</v>
      </c>
      <c r="F137" s="36">
        <v>310.0</v>
      </c>
      <c r="G137" s="32"/>
      <c r="H137" s="21">
        <v>210.0</v>
      </c>
      <c r="I137" s="21"/>
      <c r="J137" s="21">
        <v>80.0</v>
      </c>
      <c r="K137" s="25">
        <v>1200.0</v>
      </c>
    </row>
    <row r="138" ht="13.5" customHeight="1">
      <c r="A138" s="18" t="s">
        <v>35</v>
      </c>
      <c r="B138" s="30">
        <v>2.3</v>
      </c>
      <c r="C138" s="31" t="s">
        <v>36</v>
      </c>
      <c r="D138" s="21">
        <v>320.0</v>
      </c>
      <c r="E138" s="36"/>
      <c r="F138" s="36">
        <v>330.0</v>
      </c>
      <c r="G138" s="32"/>
      <c r="H138" s="21">
        <v>820.0</v>
      </c>
      <c r="I138" s="21"/>
      <c r="J138" s="21">
        <v>90.0</v>
      </c>
      <c r="K138" s="25">
        <f t="shared" ref="K138:K141" si="28">SUM(D138:J138)</f>
        <v>1560</v>
      </c>
    </row>
    <row r="139" ht="13.5" customHeight="1">
      <c r="A139" s="26" t="s">
        <v>37</v>
      </c>
      <c r="B139" s="33"/>
      <c r="C139" s="34">
        <v>174.0</v>
      </c>
      <c r="D139" s="21">
        <v>310.0</v>
      </c>
      <c r="E139" s="36"/>
      <c r="F139" s="36">
        <v>360.0</v>
      </c>
      <c r="G139" s="32"/>
      <c r="H139" s="21">
        <v>580.0</v>
      </c>
      <c r="I139" s="21"/>
      <c r="J139" s="21">
        <v>90.0</v>
      </c>
      <c r="K139" s="25">
        <f t="shared" si="28"/>
        <v>1340</v>
      </c>
    </row>
    <row r="140" ht="15.0" customHeight="1">
      <c r="A140" s="18" t="s">
        <v>38</v>
      </c>
      <c r="B140" s="19" t="s">
        <v>39</v>
      </c>
      <c r="C140" s="19" t="s">
        <v>40</v>
      </c>
      <c r="D140" s="44">
        <v>470.0</v>
      </c>
      <c r="E140" s="41"/>
      <c r="F140" s="41">
        <v>740.0</v>
      </c>
      <c r="G140" s="44"/>
      <c r="H140" s="44">
        <v>5170.0</v>
      </c>
      <c r="I140" s="23"/>
      <c r="J140" s="24">
        <v>170.0</v>
      </c>
      <c r="K140" s="25">
        <f t="shared" si="28"/>
        <v>6550</v>
      </c>
      <c r="L140" s="47"/>
      <c r="M140" s="12"/>
    </row>
    <row r="141" ht="13.5" customHeight="1">
      <c r="A141" s="35" t="s">
        <v>41</v>
      </c>
      <c r="B141" s="27"/>
      <c r="C141" s="27"/>
      <c r="D141" s="21">
        <v>460.0</v>
      </c>
      <c r="E141" s="36"/>
      <c r="F141" s="36">
        <v>760.0</v>
      </c>
      <c r="G141" s="21"/>
      <c r="H141" s="21">
        <v>5120.0</v>
      </c>
      <c r="I141" s="29"/>
      <c r="J141" s="39">
        <v>170.0</v>
      </c>
      <c r="K141" s="25">
        <f t="shared" si="28"/>
        <v>6510</v>
      </c>
    </row>
    <row r="142" ht="13.5" customHeight="1">
      <c r="A142" s="40" t="s">
        <v>7</v>
      </c>
      <c r="B142" s="40"/>
      <c r="C142" s="40">
        <v>563.0</v>
      </c>
      <c r="D142" s="10">
        <f t="shared" ref="D142:K142" si="29">SUM(D136:D141)</f>
        <v>2160</v>
      </c>
      <c r="E142" s="10">
        <f t="shared" si="29"/>
        <v>160</v>
      </c>
      <c r="F142" s="10">
        <f t="shared" si="29"/>
        <v>2810</v>
      </c>
      <c r="G142" s="10">
        <f t="shared" si="29"/>
        <v>0</v>
      </c>
      <c r="H142" s="10">
        <f t="shared" si="29"/>
        <v>12120</v>
      </c>
      <c r="I142" s="10">
        <f t="shared" si="29"/>
        <v>0</v>
      </c>
      <c r="J142" s="10">
        <f t="shared" si="29"/>
        <v>690</v>
      </c>
      <c r="K142" s="25">
        <f t="shared" si="29"/>
        <v>18160</v>
      </c>
    </row>
    <row r="143" ht="13.5" customHeight="1">
      <c r="A143" s="48" t="s">
        <v>491</v>
      </c>
    </row>
    <row r="144" ht="13.5" customHeight="1">
      <c r="A144" s="14" t="s">
        <v>25</v>
      </c>
      <c r="B144" s="14" t="s">
        <v>1</v>
      </c>
      <c r="C144" s="14" t="s">
        <v>27</v>
      </c>
      <c r="D144" s="15" t="s">
        <v>2</v>
      </c>
      <c r="E144" s="10" t="s">
        <v>28</v>
      </c>
      <c r="F144" s="16" t="s">
        <v>3</v>
      </c>
      <c r="G144" s="15" t="s">
        <v>4</v>
      </c>
      <c r="H144" s="15" t="s">
        <v>5</v>
      </c>
      <c r="I144" s="15" t="s">
        <v>29</v>
      </c>
      <c r="J144" s="14" t="s">
        <v>30</v>
      </c>
      <c r="K144" s="17" t="s">
        <v>7</v>
      </c>
    </row>
    <row r="145" ht="15.0" customHeight="1">
      <c r="A145" s="18" t="s">
        <v>31</v>
      </c>
      <c r="B145" s="19">
        <v>1.0</v>
      </c>
      <c r="C145" s="20" t="s">
        <v>33</v>
      </c>
      <c r="D145" s="21">
        <v>310.0</v>
      </c>
      <c r="E145" s="36">
        <v>80.0</v>
      </c>
      <c r="F145" s="36">
        <v>320.0</v>
      </c>
      <c r="G145" s="32"/>
      <c r="H145" s="21">
        <v>220.0</v>
      </c>
      <c r="I145" s="23"/>
      <c r="J145" s="24">
        <v>90.0</v>
      </c>
      <c r="K145" s="25">
        <f t="shared" ref="K145:K151" si="30">SUM(D145:J145)</f>
        <v>1020</v>
      </c>
    </row>
    <row r="146" ht="13.5" customHeight="1">
      <c r="A146" s="26" t="s">
        <v>34</v>
      </c>
      <c r="B146" s="27"/>
      <c r="C146" s="28">
        <v>88.0</v>
      </c>
      <c r="D146" s="21">
        <v>320.0</v>
      </c>
      <c r="E146" s="36">
        <v>80.0</v>
      </c>
      <c r="F146" s="36"/>
      <c r="G146" s="32"/>
      <c r="H146" s="21">
        <v>430.0</v>
      </c>
      <c r="I146" s="21"/>
      <c r="J146" s="29">
        <v>80.0</v>
      </c>
      <c r="K146" s="25">
        <f t="shared" si="30"/>
        <v>910</v>
      </c>
    </row>
    <row r="147" ht="13.5" customHeight="1">
      <c r="A147" s="18" t="s">
        <v>35</v>
      </c>
      <c r="B147" s="30">
        <v>2.3</v>
      </c>
      <c r="C147" s="31" t="s">
        <v>36</v>
      </c>
      <c r="D147" s="21">
        <v>330.0</v>
      </c>
      <c r="E147" s="36"/>
      <c r="F147" s="41">
        <v>360.0</v>
      </c>
      <c r="G147" s="32"/>
      <c r="H147" s="21">
        <v>760.0</v>
      </c>
      <c r="I147" s="21"/>
      <c r="J147" s="24">
        <v>100.0</v>
      </c>
      <c r="K147" s="25">
        <f t="shared" si="30"/>
        <v>1550</v>
      </c>
    </row>
    <row r="148" ht="13.5" customHeight="1">
      <c r="A148" s="26" t="s">
        <v>37</v>
      </c>
      <c r="B148" s="33"/>
      <c r="C148" s="34">
        <v>174.0</v>
      </c>
      <c r="D148" s="21">
        <v>330.0</v>
      </c>
      <c r="E148" s="21"/>
      <c r="F148" s="21"/>
      <c r="G148" s="21"/>
      <c r="H148" s="21">
        <v>950.0</v>
      </c>
      <c r="I148" s="21"/>
      <c r="J148" s="21">
        <v>110.0</v>
      </c>
      <c r="K148" s="25">
        <f t="shared" si="30"/>
        <v>1390</v>
      </c>
    </row>
    <row r="149" ht="14.25" customHeight="1">
      <c r="A149" s="18" t="s">
        <v>38</v>
      </c>
      <c r="B149" s="19" t="s">
        <v>39</v>
      </c>
      <c r="C149" s="19" t="s">
        <v>40</v>
      </c>
      <c r="D149" s="21">
        <v>470.0</v>
      </c>
      <c r="E149" s="36"/>
      <c r="F149" s="41">
        <v>190.0</v>
      </c>
      <c r="G149" s="32"/>
      <c r="H149" s="21">
        <v>5350.0</v>
      </c>
      <c r="I149" s="21"/>
      <c r="J149" s="24">
        <v>160.0</v>
      </c>
      <c r="K149" s="25">
        <f t="shared" si="30"/>
        <v>6170</v>
      </c>
      <c r="L149" s="47"/>
      <c r="M149" s="12"/>
    </row>
    <row r="150" ht="13.5" customHeight="1">
      <c r="A150" s="35" t="s">
        <v>41</v>
      </c>
      <c r="B150" s="27"/>
      <c r="C150" s="27"/>
      <c r="D150" s="21">
        <v>480.0</v>
      </c>
      <c r="E150" s="21"/>
      <c r="F150" s="21"/>
      <c r="G150" s="21"/>
      <c r="H150" s="21">
        <v>5560.0</v>
      </c>
      <c r="I150" s="21"/>
      <c r="J150" s="21">
        <v>170.0</v>
      </c>
      <c r="K150" s="25">
        <f t="shared" si="30"/>
        <v>6210</v>
      </c>
    </row>
    <row r="151" ht="13.5" customHeight="1">
      <c r="A151" s="40" t="s">
        <v>7</v>
      </c>
      <c r="B151" s="40"/>
      <c r="C151" s="40">
        <v>563.0</v>
      </c>
      <c r="D151" s="10">
        <f t="shared" ref="D151:J151" si="31">SUM(D145:D150)</f>
        <v>2240</v>
      </c>
      <c r="E151" s="10">
        <f t="shared" si="31"/>
        <v>160</v>
      </c>
      <c r="F151" s="10">
        <f t="shared" si="31"/>
        <v>870</v>
      </c>
      <c r="G151" s="10">
        <f t="shared" si="31"/>
        <v>0</v>
      </c>
      <c r="H151" s="10">
        <f t="shared" si="31"/>
        <v>13270</v>
      </c>
      <c r="I151" s="10">
        <f t="shared" si="31"/>
        <v>0</v>
      </c>
      <c r="J151" s="10">
        <f t="shared" si="31"/>
        <v>710</v>
      </c>
      <c r="K151" s="25">
        <f t="shared" si="30"/>
        <v>17250</v>
      </c>
    </row>
    <row r="152" ht="13.5" customHeight="1">
      <c r="A152" s="48" t="s">
        <v>491</v>
      </c>
    </row>
    <row r="153" ht="13.5" customHeight="1">
      <c r="A153" s="14" t="s">
        <v>25</v>
      </c>
      <c r="B153" s="14" t="s">
        <v>1</v>
      </c>
      <c r="C153" s="14" t="s">
        <v>27</v>
      </c>
      <c r="D153" s="15" t="s">
        <v>2</v>
      </c>
      <c r="E153" s="10" t="s">
        <v>28</v>
      </c>
      <c r="F153" s="16" t="s">
        <v>3</v>
      </c>
      <c r="G153" s="15" t="s">
        <v>4</v>
      </c>
      <c r="H153" s="15" t="s">
        <v>5</v>
      </c>
      <c r="I153" s="15" t="s">
        <v>29</v>
      </c>
      <c r="J153" s="14" t="s">
        <v>30</v>
      </c>
      <c r="K153" s="17" t="s">
        <v>7</v>
      </c>
      <c r="L153" s="49"/>
      <c r="M153" s="70"/>
    </row>
    <row r="154" ht="13.5" customHeight="1">
      <c r="A154" s="18" t="s">
        <v>31</v>
      </c>
      <c r="B154" s="19">
        <v>1.0</v>
      </c>
      <c r="C154" s="20" t="s">
        <v>33</v>
      </c>
      <c r="D154" s="21">
        <v>310.0</v>
      </c>
      <c r="E154" s="36">
        <v>80.0</v>
      </c>
      <c r="F154" s="36"/>
      <c r="G154" s="32"/>
      <c r="H154" s="21">
        <v>480.0</v>
      </c>
      <c r="I154" s="21"/>
      <c r="J154" s="21">
        <v>80.0</v>
      </c>
      <c r="K154" s="25">
        <f t="shared" ref="K154:K160" si="32">SUM(D154:J154)</f>
        <v>950</v>
      </c>
    </row>
    <row r="155" ht="13.5" customHeight="1">
      <c r="A155" s="26" t="s">
        <v>34</v>
      </c>
      <c r="B155" s="27"/>
      <c r="C155" s="28">
        <v>88.0</v>
      </c>
      <c r="D155" s="21">
        <v>300.0</v>
      </c>
      <c r="E155" s="36">
        <v>80.0</v>
      </c>
      <c r="F155" s="36"/>
      <c r="G155" s="32"/>
      <c r="H155" s="21">
        <v>510.0</v>
      </c>
      <c r="I155" s="21"/>
      <c r="J155" s="21">
        <v>80.0</v>
      </c>
      <c r="K155" s="25">
        <f t="shared" si="32"/>
        <v>970</v>
      </c>
    </row>
    <row r="156" ht="13.5" customHeight="1">
      <c r="A156" s="18" t="s">
        <v>35</v>
      </c>
      <c r="B156" s="30">
        <v>2.3</v>
      </c>
      <c r="C156" s="31" t="s">
        <v>36</v>
      </c>
      <c r="D156" s="21">
        <v>320.0</v>
      </c>
      <c r="E156" s="36"/>
      <c r="F156" s="36"/>
      <c r="G156" s="32"/>
      <c r="H156" s="21">
        <v>840.0</v>
      </c>
      <c r="I156" s="21"/>
      <c r="J156" s="21">
        <v>90.0</v>
      </c>
      <c r="K156" s="25">
        <f t="shared" si="32"/>
        <v>1250</v>
      </c>
    </row>
    <row r="157" ht="13.5" customHeight="1">
      <c r="A157" s="26" t="s">
        <v>37</v>
      </c>
      <c r="B157" s="33"/>
      <c r="C157" s="34">
        <v>174.0</v>
      </c>
      <c r="D157" s="21">
        <v>320.0</v>
      </c>
      <c r="E157" s="36"/>
      <c r="F157" s="36"/>
      <c r="G157" s="32"/>
      <c r="H157" s="21">
        <v>850.0</v>
      </c>
      <c r="I157" s="21"/>
      <c r="J157" s="21">
        <v>90.0</v>
      </c>
      <c r="K157" s="25">
        <f t="shared" si="32"/>
        <v>1260</v>
      </c>
    </row>
    <row r="158" ht="14.25" customHeight="1">
      <c r="A158" s="18" t="s">
        <v>38</v>
      </c>
      <c r="B158" s="19" t="s">
        <v>39</v>
      </c>
      <c r="C158" s="19" t="s">
        <v>40</v>
      </c>
      <c r="D158" s="21">
        <v>470.0</v>
      </c>
      <c r="E158" s="36"/>
      <c r="F158" s="36"/>
      <c r="G158" s="21"/>
      <c r="H158" s="21">
        <v>5590.0</v>
      </c>
      <c r="I158" s="21"/>
      <c r="J158" s="21">
        <v>170.0</v>
      </c>
      <c r="K158" s="25">
        <f t="shared" si="32"/>
        <v>6230</v>
      </c>
      <c r="L158" s="47"/>
      <c r="M158" s="12"/>
    </row>
    <row r="159" ht="13.5" customHeight="1">
      <c r="A159" s="35" t="s">
        <v>41</v>
      </c>
      <c r="B159" s="27"/>
      <c r="C159" s="27"/>
      <c r="D159" s="21">
        <v>470.0</v>
      </c>
      <c r="E159" s="21"/>
      <c r="F159" s="21">
        <v>810.0</v>
      </c>
      <c r="G159" s="21"/>
      <c r="H159" s="21">
        <v>5190.0</v>
      </c>
      <c r="I159" s="21"/>
      <c r="J159" s="21">
        <v>160.0</v>
      </c>
      <c r="K159" s="25">
        <f t="shared" si="32"/>
        <v>6630</v>
      </c>
    </row>
    <row r="160" ht="13.5" customHeight="1">
      <c r="A160" s="40" t="s">
        <v>7</v>
      </c>
      <c r="B160" s="40"/>
      <c r="C160" s="40"/>
      <c r="D160" s="10">
        <f t="shared" ref="D160:J160" si="33">SUM(D154:D159)</f>
        <v>2190</v>
      </c>
      <c r="E160" s="10">
        <f t="shared" si="33"/>
        <v>160</v>
      </c>
      <c r="F160" s="10">
        <f t="shared" si="33"/>
        <v>810</v>
      </c>
      <c r="G160" s="10">
        <f t="shared" si="33"/>
        <v>0</v>
      </c>
      <c r="H160" s="10">
        <f t="shared" si="33"/>
        <v>13460</v>
      </c>
      <c r="I160" s="10">
        <f t="shared" si="33"/>
        <v>0</v>
      </c>
      <c r="J160" s="10">
        <f t="shared" si="33"/>
        <v>670</v>
      </c>
      <c r="K160" s="25">
        <f t="shared" si="32"/>
        <v>17290</v>
      </c>
    </row>
    <row r="161" ht="13.5" customHeight="1">
      <c r="A161" s="48" t="s">
        <v>492</v>
      </c>
    </row>
    <row r="162" ht="13.5" customHeight="1">
      <c r="A162" s="14" t="s">
        <v>25</v>
      </c>
      <c r="B162" s="14" t="s">
        <v>1</v>
      </c>
      <c r="C162" s="14" t="s">
        <v>27</v>
      </c>
      <c r="D162" s="15" t="s">
        <v>2</v>
      </c>
      <c r="E162" s="10" t="s">
        <v>28</v>
      </c>
      <c r="F162" s="16" t="s">
        <v>3</v>
      </c>
      <c r="G162" s="15" t="s">
        <v>4</v>
      </c>
      <c r="H162" s="15" t="s">
        <v>5</v>
      </c>
      <c r="I162" s="15" t="s">
        <v>29</v>
      </c>
      <c r="J162" s="14" t="s">
        <v>30</v>
      </c>
      <c r="K162" s="17" t="s">
        <v>7</v>
      </c>
    </row>
    <row r="163" ht="13.5" customHeight="1">
      <c r="A163" s="18" t="s">
        <v>31</v>
      </c>
      <c r="B163" s="19">
        <v>1.0</v>
      </c>
      <c r="C163" s="20" t="s">
        <v>33</v>
      </c>
      <c r="D163" s="21">
        <v>310.0</v>
      </c>
      <c r="E163" s="36">
        <v>80.0</v>
      </c>
      <c r="F163" s="36">
        <v>320.0</v>
      </c>
      <c r="G163" s="32"/>
      <c r="H163" s="21">
        <v>300.0</v>
      </c>
      <c r="I163" s="21"/>
      <c r="J163" s="24">
        <v>80.0</v>
      </c>
      <c r="K163" s="25">
        <f t="shared" ref="K163:K169" si="34">SUM(D163:J163)</f>
        <v>1090</v>
      </c>
    </row>
    <row r="164" ht="13.5" customHeight="1">
      <c r="A164" s="26" t="s">
        <v>34</v>
      </c>
      <c r="B164" s="27"/>
      <c r="C164" s="28">
        <v>88.0</v>
      </c>
      <c r="D164" s="21">
        <v>310.0</v>
      </c>
      <c r="E164" s="36">
        <v>80.0</v>
      </c>
      <c r="F164" s="36">
        <v>330.0</v>
      </c>
      <c r="G164" s="32"/>
      <c r="H164" s="21">
        <v>210.0</v>
      </c>
      <c r="I164" s="21"/>
      <c r="J164" s="29">
        <v>90.0</v>
      </c>
      <c r="K164" s="25">
        <f t="shared" si="34"/>
        <v>1020</v>
      </c>
    </row>
    <row r="165" ht="13.5" customHeight="1">
      <c r="A165" s="18" t="s">
        <v>35</v>
      </c>
      <c r="B165" s="30">
        <v>2.3</v>
      </c>
      <c r="C165" s="31" t="s">
        <v>36</v>
      </c>
      <c r="D165" s="21">
        <v>320.0</v>
      </c>
      <c r="E165" s="36"/>
      <c r="F165" s="36">
        <v>370.0</v>
      </c>
      <c r="G165" s="32"/>
      <c r="H165" s="21">
        <v>800.0</v>
      </c>
      <c r="I165" s="21"/>
      <c r="J165" s="24">
        <v>90.0</v>
      </c>
      <c r="K165" s="25">
        <f t="shared" si="34"/>
        <v>1580</v>
      </c>
    </row>
    <row r="166" ht="13.5" customHeight="1">
      <c r="A166" s="26" t="s">
        <v>37</v>
      </c>
      <c r="B166" s="33"/>
      <c r="C166" s="34">
        <v>174.0</v>
      </c>
      <c r="D166" s="21">
        <v>330.0</v>
      </c>
      <c r="E166" s="36"/>
      <c r="F166" s="36">
        <v>360.0</v>
      </c>
      <c r="G166" s="21"/>
      <c r="H166" s="21">
        <v>700.0</v>
      </c>
      <c r="I166" s="21"/>
      <c r="J166" s="29">
        <v>100.0</v>
      </c>
      <c r="K166" s="25">
        <f t="shared" si="34"/>
        <v>1490</v>
      </c>
    </row>
    <row r="167" ht="14.25" customHeight="1">
      <c r="A167" s="18" t="s">
        <v>38</v>
      </c>
      <c r="B167" s="19" t="s">
        <v>39</v>
      </c>
      <c r="C167" s="19" t="s">
        <v>40</v>
      </c>
      <c r="D167" s="21">
        <v>470.0</v>
      </c>
      <c r="E167" s="36"/>
      <c r="F167" s="36">
        <v>770.0</v>
      </c>
      <c r="G167" s="21"/>
      <c r="H167" s="21">
        <v>5070.0</v>
      </c>
      <c r="I167" s="21"/>
      <c r="J167" s="21">
        <v>160.0</v>
      </c>
      <c r="K167" s="25">
        <f t="shared" si="34"/>
        <v>6470</v>
      </c>
      <c r="L167" s="47"/>
      <c r="M167" s="12"/>
    </row>
    <row r="168" ht="13.5" customHeight="1">
      <c r="A168" s="35" t="s">
        <v>41</v>
      </c>
      <c r="B168" s="27"/>
      <c r="C168" s="27"/>
      <c r="D168" s="21">
        <v>460.0</v>
      </c>
      <c r="E168" s="21"/>
      <c r="F168" s="21">
        <v>780.0</v>
      </c>
      <c r="G168" s="21"/>
      <c r="H168" s="21">
        <v>5010.0</v>
      </c>
      <c r="I168" s="21"/>
      <c r="J168" s="21">
        <v>180.0</v>
      </c>
      <c r="K168" s="25">
        <f t="shared" si="34"/>
        <v>6430</v>
      </c>
    </row>
    <row r="169" ht="13.5" customHeight="1">
      <c r="A169" s="40" t="s">
        <v>7</v>
      </c>
      <c r="B169" s="40"/>
      <c r="C169" s="40"/>
      <c r="D169" s="10">
        <f t="shared" ref="D169:J169" si="35">SUM(D163:D168)</f>
        <v>2200</v>
      </c>
      <c r="E169" s="10">
        <f t="shared" si="35"/>
        <v>160</v>
      </c>
      <c r="F169" s="10">
        <f t="shared" si="35"/>
        <v>2930</v>
      </c>
      <c r="G169" s="10">
        <f t="shared" si="35"/>
        <v>0</v>
      </c>
      <c r="H169" s="10">
        <f t="shared" si="35"/>
        <v>12090</v>
      </c>
      <c r="I169" s="10">
        <f t="shared" si="35"/>
        <v>0</v>
      </c>
      <c r="J169" s="10">
        <f t="shared" si="35"/>
        <v>700</v>
      </c>
      <c r="K169" s="25">
        <f t="shared" si="34"/>
        <v>18080</v>
      </c>
    </row>
    <row r="170" ht="13.5" customHeight="1">
      <c r="A170" s="48" t="s">
        <v>493</v>
      </c>
    </row>
    <row r="171" ht="13.5" customHeight="1">
      <c r="A171" s="14"/>
      <c r="B171" s="14" t="s">
        <v>1</v>
      </c>
      <c r="C171" s="14" t="s">
        <v>27</v>
      </c>
      <c r="D171" s="15" t="s">
        <v>2</v>
      </c>
      <c r="E171" s="10" t="s">
        <v>28</v>
      </c>
      <c r="F171" s="16" t="s">
        <v>3</v>
      </c>
      <c r="G171" s="15" t="s">
        <v>4</v>
      </c>
      <c r="H171" s="15" t="s">
        <v>5</v>
      </c>
      <c r="I171" s="15" t="s">
        <v>77</v>
      </c>
      <c r="J171" s="14" t="s">
        <v>30</v>
      </c>
      <c r="K171" s="17" t="s">
        <v>7</v>
      </c>
    </row>
    <row r="172" ht="13.5" customHeight="1">
      <c r="A172" s="18" t="s">
        <v>31</v>
      </c>
      <c r="B172" s="19">
        <v>1.0</v>
      </c>
      <c r="C172" s="20" t="s">
        <v>33</v>
      </c>
      <c r="D172" s="21">
        <v>310.0</v>
      </c>
      <c r="E172" s="36"/>
      <c r="F172" s="36">
        <v>320.0</v>
      </c>
      <c r="G172" s="32"/>
      <c r="H172" s="21">
        <v>290.0</v>
      </c>
      <c r="I172" s="21"/>
      <c r="J172" s="24">
        <v>80.0</v>
      </c>
      <c r="K172" s="25">
        <f t="shared" ref="K172:K178" si="36">SUM(D172:J172)</f>
        <v>1000</v>
      </c>
    </row>
    <row r="173" ht="13.5" customHeight="1">
      <c r="A173" s="26" t="s">
        <v>34</v>
      </c>
      <c r="B173" s="27"/>
      <c r="C173" s="28">
        <v>88.0</v>
      </c>
      <c r="D173" s="21">
        <v>350.0</v>
      </c>
      <c r="E173" s="36"/>
      <c r="F173" s="36">
        <v>400.0</v>
      </c>
      <c r="G173" s="32"/>
      <c r="H173" s="21">
        <v>220.0</v>
      </c>
      <c r="I173" s="21"/>
      <c r="J173" s="24">
        <v>90.0</v>
      </c>
      <c r="K173" s="25">
        <f t="shared" si="36"/>
        <v>1060</v>
      </c>
    </row>
    <row r="174" ht="13.5" customHeight="1">
      <c r="A174" s="18" t="s">
        <v>35</v>
      </c>
      <c r="B174" s="30">
        <v>2.3</v>
      </c>
      <c r="C174" s="31" t="s">
        <v>36</v>
      </c>
      <c r="D174" s="21">
        <v>320.0</v>
      </c>
      <c r="E174" s="36"/>
      <c r="F174" s="41">
        <v>320.0</v>
      </c>
      <c r="G174" s="32"/>
      <c r="H174" s="21">
        <v>860.0</v>
      </c>
      <c r="I174" s="21"/>
      <c r="J174" s="24">
        <v>90.0</v>
      </c>
      <c r="K174" s="25">
        <f t="shared" si="36"/>
        <v>1590</v>
      </c>
    </row>
    <row r="175" ht="13.5" customHeight="1">
      <c r="A175" s="26" t="s">
        <v>37</v>
      </c>
      <c r="B175" s="33"/>
      <c r="C175" s="34">
        <v>174.0</v>
      </c>
      <c r="D175" s="21">
        <v>350.0</v>
      </c>
      <c r="E175" s="36"/>
      <c r="F175" s="41">
        <v>380.0</v>
      </c>
      <c r="G175" s="32"/>
      <c r="H175" s="21">
        <v>750.0</v>
      </c>
      <c r="I175" s="21"/>
      <c r="J175" s="29">
        <v>80.0</v>
      </c>
      <c r="K175" s="25">
        <f t="shared" si="36"/>
        <v>1560</v>
      </c>
    </row>
    <row r="176" ht="14.25" customHeight="1">
      <c r="A176" s="18" t="s">
        <v>38</v>
      </c>
      <c r="B176" s="19" t="s">
        <v>39</v>
      </c>
      <c r="C176" s="19" t="s">
        <v>40</v>
      </c>
      <c r="D176" s="21">
        <v>460.0</v>
      </c>
      <c r="E176" s="36"/>
      <c r="F176" s="36">
        <v>750.0</v>
      </c>
      <c r="G176" s="21"/>
      <c r="H176" s="21">
        <v>5140.0</v>
      </c>
      <c r="I176" s="21"/>
      <c r="J176" s="21">
        <v>150.0</v>
      </c>
      <c r="K176" s="25">
        <f t="shared" si="36"/>
        <v>6500</v>
      </c>
      <c r="L176" s="47"/>
      <c r="M176" s="12"/>
    </row>
    <row r="177" ht="13.5" customHeight="1">
      <c r="A177" s="35" t="s">
        <v>41</v>
      </c>
      <c r="B177" s="27"/>
      <c r="C177" s="27"/>
      <c r="D177" s="21">
        <v>480.0</v>
      </c>
      <c r="E177" s="36"/>
      <c r="F177" s="36">
        <v>750.0</v>
      </c>
      <c r="G177" s="21"/>
      <c r="H177" s="21">
        <v>4700.0</v>
      </c>
      <c r="I177" s="21"/>
      <c r="J177" s="21">
        <v>150.0</v>
      </c>
      <c r="K177" s="25">
        <f t="shared" si="36"/>
        <v>6080</v>
      </c>
    </row>
    <row r="178" ht="13.5" customHeight="1">
      <c r="A178" s="40" t="s">
        <v>7</v>
      </c>
      <c r="B178" s="40"/>
      <c r="C178" s="40"/>
      <c r="D178" s="10">
        <f t="shared" ref="D178:J178" si="37">SUM(D172:D177)</f>
        <v>2270</v>
      </c>
      <c r="E178" s="10">
        <f t="shared" si="37"/>
        <v>0</v>
      </c>
      <c r="F178" s="10">
        <f t="shared" si="37"/>
        <v>2920</v>
      </c>
      <c r="G178" s="10">
        <f t="shared" si="37"/>
        <v>0</v>
      </c>
      <c r="H178" s="10">
        <f t="shared" si="37"/>
        <v>11960</v>
      </c>
      <c r="I178" s="10">
        <f t="shared" si="37"/>
        <v>0</v>
      </c>
      <c r="J178" s="10">
        <f t="shared" si="37"/>
        <v>640</v>
      </c>
      <c r="K178" s="25">
        <f t="shared" si="36"/>
        <v>17790</v>
      </c>
    </row>
    <row r="179" ht="13.5" customHeight="1">
      <c r="A179" s="48" t="s">
        <v>494</v>
      </c>
    </row>
    <row r="180" ht="13.5" customHeight="1">
      <c r="A180" s="14" t="s">
        <v>25</v>
      </c>
      <c r="B180" s="14" t="s">
        <v>1</v>
      </c>
      <c r="C180" s="14" t="s">
        <v>27</v>
      </c>
      <c r="D180" s="15" t="s">
        <v>2</v>
      </c>
      <c r="E180" s="10" t="s">
        <v>28</v>
      </c>
      <c r="F180" s="16" t="s">
        <v>3</v>
      </c>
      <c r="G180" s="15" t="s">
        <v>4</v>
      </c>
      <c r="H180" s="15" t="s">
        <v>5</v>
      </c>
      <c r="I180" s="15" t="s">
        <v>77</v>
      </c>
      <c r="J180" s="14" t="s">
        <v>30</v>
      </c>
      <c r="K180" s="17" t="s">
        <v>7</v>
      </c>
    </row>
    <row r="181" ht="13.5" customHeight="1">
      <c r="A181" s="18" t="s">
        <v>31</v>
      </c>
      <c r="B181" s="19">
        <v>1.0</v>
      </c>
      <c r="C181" s="20" t="s">
        <v>33</v>
      </c>
      <c r="D181" s="21">
        <v>310.0</v>
      </c>
      <c r="E181" s="36">
        <v>80.0</v>
      </c>
      <c r="F181" s="41">
        <v>330.0</v>
      </c>
      <c r="G181" s="32"/>
      <c r="H181" s="21">
        <v>270.0</v>
      </c>
      <c r="I181" s="21"/>
      <c r="J181" s="24">
        <v>80.0</v>
      </c>
      <c r="K181" s="25">
        <f t="shared" ref="K181:K187" si="38">SUM(D181:J181)</f>
        <v>1070</v>
      </c>
    </row>
    <row r="182" ht="13.5" customHeight="1">
      <c r="A182" s="26" t="s">
        <v>34</v>
      </c>
      <c r="B182" s="27"/>
      <c r="C182" s="28">
        <v>88.0</v>
      </c>
      <c r="D182" s="21">
        <v>310.0</v>
      </c>
      <c r="E182" s="36">
        <v>80.0</v>
      </c>
      <c r="F182" s="41">
        <v>330.0</v>
      </c>
      <c r="G182" s="32"/>
      <c r="H182" s="21">
        <v>300.0</v>
      </c>
      <c r="I182" s="21"/>
      <c r="J182" s="29">
        <v>80.0</v>
      </c>
      <c r="K182" s="25">
        <f t="shared" si="38"/>
        <v>1100</v>
      </c>
    </row>
    <row r="183" ht="13.5" customHeight="1">
      <c r="A183" s="18" t="s">
        <v>35</v>
      </c>
      <c r="B183" s="30">
        <v>2.3</v>
      </c>
      <c r="C183" s="31" t="s">
        <v>36</v>
      </c>
      <c r="D183" s="21">
        <v>310.0</v>
      </c>
      <c r="E183" s="36"/>
      <c r="F183" s="41">
        <v>320.0</v>
      </c>
      <c r="G183" s="32"/>
      <c r="H183" s="21">
        <v>790.0</v>
      </c>
      <c r="I183" s="21"/>
      <c r="J183" s="24">
        <v>90.0</v>
      </c>
      <c r="K183" s="25">
        <f t="shared" si="38"/>
        <v>1510</v>
      </c>
    </row>
    <row r="184" ht="13.5" customHeight="1">
      <c r="A184" s="26" t="s">
        <v>37</v>
      </c>
      <c r="B184" s="33"/>
      <c r="C184" s="34">
        <v>174.0</v>
      </c>
      <c r="D184" s="21">
        <v>330.0</v>
      </c>
      <c r="E184" s="36"/>
      <c r="F184" s="41">
        <v>360.0</v>
      </c>
      <c r="G184" s="32"/>
      <c r="H184" s="21">
        <v>720.0</v>
      </c>
      <c r="I184" s="21"/>
      <c r="J184" s="29">
        <v>90.0</v>
      </c>
      <c r="K184" s="25">
        <f t="shared" si="38"/>
        <v>1500</v>
      </c>
    </row>
    <row r="185" ht="14.25" customHeight="1">
      <c r="A185" s="18" t="s">
        <v>38</v>
      </c>
      <c r="B185" s="19" t="s">
        <v>39</v>
      </c>
      <c r="C185" s="19" t="s">
        <v>40</v>
      </c>
      <c r="D185" s="21">
        <v>470.0</v>
      </c>
      <c r="E185" s="36"/>
      <c r="F185" s="36">
        <v>760.0</v>
      </c>
      <c r="G185" s="21"/>
      <c r="H185" s="21">
        <v>4880.0</v>
      </c>
      <c r="I185" s="21"/>
      <c r="J185" s="21">
        <v>170.0</v>
      </c>
      <c r="K185" s="25">
        <f t="shared" si="38"/>
        <v>6280</v>
      </c>
      <c r="L185" s="47"/>
      <c r="M185" s="12"/>
    </row>
    <row r="186" ht="13.5" customHeight="1">
      <c r="A186" s="35" t="s">
        <v>41</v>
      </c>
      <c r="B186" s="27"/>
      <c r="C186" s="27"/>
      <c r="D186" s="21">
        <v>470.0</v>
      </c>
      <c r="E186" s="21"/>
      <c r="F186" s="21">
        <v>770.0</v>
      </c>
      <c r="G186" s="21"/>
      <c r="H186" s="21">
        <v>4850.0</v>
      </c>
      <c r="I186" s="21"/>
      <c r="J186" s="21">
        <v>160.0</v>
      </c>
      <c r="K186" s="25">
        <f t="shared" si="38"/>
        <v>6250</v>
      </c>
    </row>
    <row r="187" ht="13.5" customHeight="1">
      <c r="A187" s="40" t="s">
        <v>7</v>
      </c>
      <c r="B187" s="40"/>
      <c r="C187" s="40"/>
      <c r="D187" s="10">
        <f t="shared" ref="D187:J187" si="39">SUM(D181:D186)</f>
        <v>2200</v>
      </c>
      <c r="E187" s="10">
        <f t="shared" si="39"/>
        <v>160</v>
      </c>
      <c r="F187" s="10">
        <f t="shared" si="39"/>
        <v>2870</v>
      </c>
      <c r="G187" s="10">
        <f t="shared" si="39"/>
        <v>0</v>
      </c>
      <c r="H187" s="10">
        <f t="shared" si="39"/>
        <v>11810</v>
      </c>
      <c r="I187" s="10">
        <f t="shared" si="39"/>
        <v>0</v>
      </c>
      <c r="J187" s="10">
        <f t="shared" si="39"/>
        <v>670</v>
      </c>
      <c r="K187" s="25">
        <f t="shared" si="38"/>
        <v>17710</v>
      </c>
    </row>
    <row r="188" ht="13.5" customHeight="1">
      <c r="A188" s="48" t="s">
        <v>495</v>
      </c>
    </row>
    <row r="189" ht="13.5" customHeight="1">
      <c r="A189" s="14" t="s">
        <v>25</v>
      </c>
      <c r="B189" s="14" t="s">
        <v>1</v>
      </c>
      <c r="C189" s="14" t="s">
        <v>27</v>
      </c>
      <c r="D189" s="15" t="s">
        <v>2</v>
      </c>
      <c r="E189" s="10" t="s">
        <v>28</v>
      </c>
      <c r="F189" s="16" t="s">
        <v>3</v>
      </c>
      <c r="G189" s="15" t="s">
        <v>4</v>
      </c>
      <c r="H189" s="15" t="s">
        <v>5</v>
      </c>
      <c r="I189" s="15" t="s">
        <v>82</v>
      </c>
      <c r="J189" s="14" t="s">
        <v>30</v>
      </c>
      <c r="K189" s="17" t="s">
        <v>7</v>
      </c>
    </row>
    <row r="190" ht="13.5" customHeight="1">
      <c r="A190" s="18" t="s">
        <v>31</v>
      </c>
      <c r="B190" s="19">
        <v>1.0</v>
      </c>
      <c r="C190" s="20" t="s">
        <v>33</v>
      </c>
      <c r="D190" s="21">
        <v>310.0</v>
      </c>
      <c r="E190" s="36"/>
      <c r="F190" s="36">
        <v>320.0</v>
      </c>
      <c r="G190" s="32"/>
      <c r="H190" s="21">
        <v>310.0</v>
      </c>
      <c r="I190" s="21"/>
      <c r="J190" s="50">
        <v>80.0</v>
      </c>
      <c r="K190" s="25">
        <f t="shared" ref="K190:K196" si="40">SUM(D190:J190)</f>
        <v>1020</v>
      </c>
    </row>
    <row r="191" ht="13.5" customHeight="1">
      <c r="A191" s="26" t="s">
        <v>34</v>
      </c>
      <c r="B191" s="27"/>
      <c r="C191" s="28"/>
      <c r="D191" s="21">
        <v>300.0</v>
      </c>
      <c r="E191" s="36"/>
      <c r="F191" s="36">
        <v>320.0</v>
      </c>
      <c r="G191" s="32"/>
      <c r="H191" s="21">
        <v>340.0</v>
      </c>
      <c r="I191" s="21"/>
      <c r="J191" s="51">
        <v>80.0</v>
      </c>
      <c r="K191" s="25">
        <f t="shared" si="40"/>
        <v>1040</v>
      </c>
    </row>
    <row r="192" ht="13.5" customHeight="1">
      <c r="A192" s="18" t="s">
        <v>35</v>
      </c>
      <c r="B192" s="30">
        <v>2.3</v>
      </c>
      <c r="C192" s="31" t="s">
        <v>36</v>
      </c>
      <c r="D192" s="21">
        <v>330.0</v>
      </c>
      <c r="E192" s="36"/>
      <c r="F192" s="36">
        <v>340.0</v>
      </c>
      <c r="G192" s="32"/>
      <c r="H192" s="21">
        <v>980.0</v>
      </c>
      <c r="I192" s="21"/>
      <c r="J192" s="50">
        <v>90.0</v>
      </c>
      <c r="K192" s="25">
        <f t="shared" si="40"/>
        <v>1740</v>
      </c>
    </row>
    <row r="193" ht="13.5" customHeight="1">
      <c r="A193" s="26" t="s">
        <v>37</v>
      </c>
      <c r="B193" s="33"/>
      <c r="C193" s="34"/>
      <c r="D193" s="10">
        <v>340.0</v>
      </c>
      <c r="E193" s="10"/>
      <c r="F193" s="10">
        <v>340.0</v>
      </c>
      <c r="G193" s="32"/>
      <c r="H193" s="10">
        <v>620.0</v>
      </c>
      <c r="I193" s="10"/>
      <c r="J193" s="52">
        <v>90.0</v>
      </c>
      <c r="K193" s="25">
        <f t="shared" si="40"/>
        <v>1390</v>
      </c>
    </row>
    <row r="194" ht="14.25" customHeight="1">
      <c r="A194" s="18" t="s">
        <v>38</v>
      </c>
      <c r="B194" s="19" t="s">
        <v>39</v>
      </c>
      <c r="C194" s="19" t="s">
        <v>40</v>
      </c>
      <c r="D194" s="21">
        <v>450.0</v>
      </c>
      <c r="E194" s="36"/>
      <c r="F194" s="36">
        <v>780.0</v>
      </c>
      <c r="G194" s="21"/>
      <c r="H194" s="21">
        <v>4930.0</v>
      </c>
      <c r="I194" s="21"/>
      <c r="J194" s="21">
        <v>150.0</v>
      </c>
      <c r="K194" s="25">
        <f t="shared" si="40"/>
        <v>6310</v>
      </c>
      <c r="L194" s="47"/>
      <c r="M194" s="12"/>
    </row>
    <row r="195" ht="13.5" customHeight="1">
      <c r="A195" s="35" t="s">
        <v>41</v>
      </c>
      <c r="B195" s="27"/>
      <c r="C195" s="27"/>
      <c r="D195" s="21">
        <v>470.0</v>
      </c>
      <c r="E195" s="21"/>
      <c r="F195" s="21">
        <v>770.0</v>
      </c>
      <c r="G195" s="21"/>
      <c r="H195" s="21">
        <v>4930.0</v>
      </c>
      <c r="I195" s="21"/>
      <c r="J195" s="21">
        <v>160.0</v>
      </c>
      <c r="K195" s="25">
        <f t="shared" si="40"/>
        <v>6330</v>
      </c>
    </row>
    <row r="196" ht="13.5" customHeight="1">
      <c r="A196" s="40" t="s">
        <v>7</v>
      </c>
      <c r="B196" s="40"/>
      <c r="C196" s="40"/>
      <c r="D196" s="10">
        <f t="shared" ref="D196:J196" si="41">SUM(D190:D195)</f>
        <v>2200</v>
      </c>
      <c r="E196" s="10">
        <f t="shared" si="41"/>
        <v>0</v>
      </c>
      <c r="F196" s="10">
        <f t="shared" si="41"/>
        <v>2870</v>
      </c>
      <c r="G196" s="10">
        <f t="shared" si="41"/>
        <v>0</v>
      </c>
      <c r="H196" s="10">
        <f t="shared" si="41"/>
        <v>12110</v>
      </c>
      <c r="I196" s="10">
        <f t="shared" si="41"/>
        <v>0</v>
      </c>
      <c r="J196" s="10">
        <f t="shared" si="41"/>
        <v>650</v>
      </c>
      <c r="K196" s="25">
        <f t="shared" si="40"/>
        <v>17830</v>
      </c>
    </row>
    <row r="197" ht="13.5" customHeight="1"/>
    <row r="198" ht="13.5" customHeight="1">
      <c r="A198" s="48" t="s">
        <v>496</v>
      </c>
    </row>
    <row r="199" ht="13.5" customHeight="1">
      <c r="A199" s="14" t="s">
        <v>25</v>
      </c>
      <c r="B199" s="14" t="s">
        <v>1</v>
      </c>
      <c r="C199" s="14" t="s">
        <v>27</v>
      </c>
      <c r="D199" s="15" t="s">
        <v>2</v>
      </c>
      <c r="E199" s="10" t="s">
        <v>28</v>
      </c>
      <c r="F199" s="16" t="s">
        <v>3</v>
      </c>
      <c r="G199" s="15" t="s">
        <v>4</v>
      </c>
      <c r="H199" s="15" t="s">
        <v>5</v>
      </c>
      <c r="I199" s="15" t="s">
        <v>29</v>
      </c>
      <c r="J199" s="14" t="s">
        <v>30</v>
      </c>
      <c r="K199" s="17" t="s">
        <v>7</v>
      </c>
    </row>
    <row r="200" ht="13.5" customHeight="1">
      <c r="A200" s="18" t="s">
        <v>31</v>
      </c>
      <c r="B200" s="19">
        <v>1.0</v>
      </c>
      <c r="C200" s="20" t="s">
        <v>33</v>
      </c>
      <c r="D200" s="21">
        <v>300.0</v>
      </c>
      <c r="E200" s="36"/>
      <c r="F200" s="36">
        <v>310.0</v>
      </c>
      <c r="G200" s="32"/>
      <c r="H200" s="21">
        <v>350.0</v>
      </c>
      <c r="I200" s="21"/>
      <c r="J200" s="50">
        <v>80.0</v>
      </c>
      <c r="K200" s="25">
        <f t="shared" ref="K200:K206" si="42">SUM(D200:J200)</f>
        <v>1040</v>
      </c>
    </row>
    <row r="201" ht="13.5" customHeight="1">
      <c r="A201" s="26" t="s">
        <v>34</v>
      </c>
      <c r="B201" s="27"/>
      <c r="C201" s="28"/>
      <c r="D201" s="21">
        <v>310.0</v>
      </c>
      <c r="E201" s="36"/>
      <c r="F201" s="36">
        <v>340.0</v>
      </c>
      <c r="G201" s="32"/>
      <c r="H201" s="21">
        <v>400.0</v>
      </c>
      <c r="I201" s="21"/>
      <c r="J201" s="51">
        <v>80.0</v>
      </c>
      <c r="K201" s="25">
        <f t="shared" si="42"/>
        <v>1130</v>
      </c>
    </row>
    <row r="202" ht="13.5" customHeight="1">
      <c r="A202" s="18" t="s">
        <v>35</v>
      </c>
      <c r="B202" s="30">
        <v>2.3</v>
      </c>
      <c r="C202" s="31" t="s">
        <v>36</v>
      </c>
      <c r="D202" s="21">
        <v>340.0</v>
      </c>
      <c r="E202" s="36"/>
      <c r="F202" s="36">
        <v>360.0</v>
      </c>
      <c r="G202" s="32"/>
      <c r="H202" s="21">
        <v>760.0</v>
      </c>
      <c r="I202" s="21"/>
      <c r="J202" s="50">
        <v>90.0</v>
      </c>
      <c r="K202" s="25">
        <f t="shared" si="42"/>
        <v>1550</v>
      </c>
    </row>
    <row r="203" ht="13.5" customHeight="1">
      <c r="A203" s="26" t="s">
        <v>37</v>
      </c>
      <c r="B203" s="33"/>
      <c r="C203" s="34"/>
      <c r="D203" s="10">
        <v>320.0</v>
      </c>
      <c r="E203" s="10"/>
      <c r="F203" s="10">
        <v>350.0</v>
      </c>
      <c r="G203" s="32"/>
      <c r="H203" s="10">
        <v>800.0</v>
      </c>
      <c r="I203" s="10"/>
      <c r="J203" s="52">
        <v>90.0</v>
      </c>
      <c r="K203" s="25">
        <f t="shared" si="42"/>
        <v>1560</v>
      </c>
    </row>
    <row r="204" ht="14.25" customHeight="1">
      <c r="A204" s="18" t="s">
        <v>38</v>
      </c>
      <c r="B204" s="19" t="s">
        <v>39</v>
      </c>
      <c r="C204" s="19" t="s">
        <v>40</v>
      </c>
      <c r="D204" s="21">
        <v>460.0</v>
      </c>
      <c r="E204" s="36"/>
      <c r="F204" s="36">
        <v>780.0</v>
      </c>
      <c r="G204" s="21"/>
      <c r="H204" s="21">
        <v>4930.0</v>
      </c>
      <c r="I204" s="21"/>
      <c r="J204" s="21">
        <v>150.0</v>
      </c>
      <c r="K204" s="25">
        <f t="shared" si="42"/>
        <v>6320</v>
      </c>
      <c r="L204" s="47"/>
      <c r="M204" s="12"/>
    </row>
    <row r="205" ht="13.5" customHeight="1">
      <c r="A205" s="35" t="s">
        <v>41</v>
      </c>
      <c r="B205" s="27"/>
      <c r="C205" s="27"/>
      <c r="D205" s="21">
        <v>450.0</v>
      </c>
      <c r="E205" s="21"/>
      <c r="F205" s="21">
        <v>760.0</v>
      </c>
      <c r="G205" s="21"/>
      <c r="H205" s="21">
        <v>5150.0</v>
      </c>
      <c r="I205" s="21"/>
      <c r="J205" s="21">
        <v>180.0</v>
      </c>
      <c r="K205" s="25">
        <f t="shared" si="42"/>
        <v>6540</v>
      </c>
    </row>
    <row r="206" ht="13.5" customHeight="1">
      <c r="A206" s="40" t="s">
        <v>7</v>
      </c>
      <c r="B206" s="40"/>
      <c r="C206" s="40"/>
      <c r="D206" s="10">
        <f t="shared" ref="D206:J206" si="43">SUM(D200:D205)</f>
        <v>2180</v>
      </c>
      <c r="E206" s="10">
        <f t="shared" si="43"/>
        <v>0</v>
      </c>
      <c r="F206" s="10">
        <f t="shared" si="43"/>
        <v>2900</v>
      </c>
      <c r="G206" s="10">
        <f t="shared" si="43"/>
        <v>0</v>
      </c>
      <c r="H206" s="10">
        <f t="shared" si="43"/>
        <v>12390</v>
      </c>
      <c r="I206" s="10">
        <f t="shared" si="43"/>
        <v>0</v>
      </c>
      <c r="J206" s="10">
        <f t="shared" si="43"/>
        <v>670</v>
      </c>
      <c r="K206" s="25">
        <f t="shared" si="42"/>
        <v>18140</v>
      </c>
    </row>
    <row r="207" ht="13.5" customHeight="1"/>
    <row r="208" ht="13.5" customHeight="1">
      <c r="A208" s="48" t="s">
        <v>497</v>
      </c>
    </row>
    <row r="209" ht="13.5" customHeight="1">
      <c r="A209" s="14"/>
      <c r="B209" s="14" t="s">
        <v>1</v>
      </c>
      <c r="C209" s="14" t="s">
        <v>27</v>
      </c>
      <c r="D209" s="15" t="s">
        <v>2</v>
      </c>
      <c r="E209" s="10" t="s">
        <v>28</v>
      </c>
      <c r="F209" s="16" t="s">
        <v>3</v>
      </c>
      <c r="G209" s="15" t="s">
        <v>4</v>
      </c>
      <c r="H209" s="15" t="s">
        <v>5</v>
      </c>
      <c r="I209" s="15" t="s">
        <v>29</v>
      </c>
      <c r="J209" s="14" t="s">
        <v>30</v>
      </c>
      <c r="K209" s="17" t="s">
        <v>7</v>
      </c>
    </row>
    <row r="210" ht="13.5" customHeight="1">
      <c r="A210" s="18" t="s">
        <v>31</v>
      </c>
      <c r="B210" s="19">
        <v>1.0</v>
      </c>
      <c r="C210" s="20" t="s">
        <v>33</v>
      </c>
      <c r="D210" s="21">
        <v>300.0</v>
      </c>
      <c r="E210" s="36"/>
      <c r="F210" s="36">
        <v>330.0</v>
      </c>
      <c r="G210" s="32"/>
      <c r="H210" s="21">
        <v>400.0</v>
      </c>
      <c r="I210" s="23"/>
      <c r="J210" s="24">
        <v>80.0</v>
      </c>
      <c r="K210" s="25">
        <f t="shared" ref="K210:K216" si="44">SUM(D210:J210)</f>
        <v>1110</v>
      </c>
    </row>
    <row r="211" ht="13.5" customHeight="1">
      <c r="A211" s="26" t="s">
        <v>34</v>
      </c>
      <c r="B211" s="27"/>
      <c r="C211" s="28"/>
      <c r="D211" s="21">
        <v>320.0</v>
      </c>
      <c r="E211" s="36"/>
      <c r="F211" s="37">
        <v>340.0</v>
      </c>
      <c r="G211" s="53"/>
      <c r="H211" s="22">
        <v>440.0</v>
      </c>
      <c r="I211" s="29"/>
      <c r="J211" s="29">
        <v>80.0</v>
      </c>
      <c r="K211" s="25">
        <f t="shared" si="44"/>
        <v>1180</v>
      </c>
    </row>
    <row r="212" ht="13.5" customHeight="1">
      <c r="A212" s="18" t="s">
        <v>35</v>
      </c>
      <c r="B212" s="30">
        <v>2.3</v>
      </c>
      <c r="C212" s="31" t="s">
        <v>36</v>
      </c>
      <c r="D212" s="21">
        <v>320.0</v>
      </c>
      <c r="E212" s="36"/>
      <c r="F212" s="36">
        <v>340.0</v>
      </c>
      <c r="G212" s="21"/>
      <c r="H212" s="21">
        <v>760.0</v>
      </c>
      <c r="I212" s="21"/>
      <c r="J212" s="24">
        <v>100.0</v>
      </c>
      <c r="K212" s="25">
        <f t="shared" si="44"/>
        <v>1520</v>
      </c>
    </row>
    <row r="213" ht="13.5" customHeight="1">
      <c r="A213" s="26" t="s">
        <v>37</v>
      </c>
      <c r="B213" s="33"/>
      <c r="C213" s="34"/>
      <c r="D213" s="21">
        <v>330.0</v>
      </c>
      <c r="E213" s="36"/>
      <c r="F213" s="36">
        <v>360.0</v>
      </c>
      <c r="G213" s="21"/>
      <c r="H213" s="21">
        <v>730.0</v>
      </c>
      <c r="I213" s="21"/>
      <c r="J213" s="29">
        <v>90.0</v>
      </c>
      <c r="K213" s="25">
        <f t="shared" si="44"/>
        <v>1510</v>
      </c>
    </row>
    <row r="214" ht="14.25" customHeight="1">
      <c r="A214" s="18" t="s">
        <v>38</v>
      </c>
      <c r="B214" s="19" t="s">
        <v>39</v>
      </c>
      <c r="C214" s="19" t="s">
        <v>40</v>
      </c>
      <c r="D214" s="21">
        <v>460.0</v>
      </c>
      <c r="E214" s="36"/>
      <c r="F214" s="36">
        <v>760.0</v>
      </c>
      <c r="G214" s="21"/>
      <c r="H214" s="21">
        <v>5100.0</v>
      </c>
      <c r="I214" s="21"/>
      <c r="J214" s="24">
        <v>170.0</v>
      </c>
      <c r="K214" s="25">
        <f t="shared" si="44"/>
        <v>6490</v>
      </c>
      <c r="L214" s="47"/>
      <c r="M214" s="12"/>
    </row>
    <row r="215" ht="13.5" customHeight="1">
      <c r="A215" s="35" t="s">
        <v>41</v>
      </c>
      <c r="B215" s="27"/>
      <c r="C215" s="27"/>
      <c r="D215" s="21">
        <v>470.0</v>
      </c>
      <c r="E215" s="21"/>
      <c r="F215" s="21">
        <v>740.0</v>
      </c>
      <c r="G215" s="21"/>
      <c r="H215" s="21">
        <v>5150.0</v>
      </c>
      <c r="I215" s="21"/>
      <c r="J215" s="21">
        <v>170.0</v>
      </c>
      <c r="K215" s="25">
        <f t="shared" si="44"/>
        <v>6530</v>
      </c>
    </row>
    <row r="216" ht="13.5" customHeight="1">
      <c r="A216" s="40" t="s">
        <v>7</v>
      </c>
      <c r="B216" s="40"/>
      <c r="C216" s="40"/>
      <c r="D216" s="10">
        <f t="shared" ref="D216:J216" si="45">SUM(D210:D215)</f>
        <v>2200</v>
      </c>
      <c r="E216" s="10">
        <f t="shared" si="45"/>
        <v>0</v>
      </c>
      <c r="F216" s="10">
        <f t="shared" si="45"/>
        <v>2870</v>
      </c>
      <c r="G216" s="10">
        <f t="shared" si="45"/>
        <v>0</v>
      </c>
      <c r="H216" s="10">
        <f t="shared" si="45"/>
        <v>12580</v>
      </c>
      <c r="I216" s="10">
        <f t="shared" si="45"/>
        <v>0</v>
      </c>
      <c r="J216" s="10">
        <f t="shared" si="45"/>
        <v>690</v>
      </c>
      <c r="K216" s="25">
        <f t="shared" si="44"/>
        <v>18340</v>
      </c>
    </row>
    <row r="217" ht="13.5" customHeight="1"/>
    <row r="218" ht="13.5" customHeight="1">
      <c r="A218" s="48" t="s">
        <v>498</v>
      </c>
    </row>
    <row r="219" ht="13.5" customHeight="1">
      <c r="A219" s="14" t="s">
        <v>25</v>
      </c>
      <c r="B219" s="14" t="s">
        <v>1</v>
      </c>
      <c r="C219" s="14" t="s">
        <v>27</v>
      </c>
      <c r="D219" s="15" t="s">
        <v>2</v>
      </c>
      <c r="E219" s="10" t="s">
        <v>325</v>
      </c>
      <c r="F219" s="16" t="s">
        <v>3</v>
      </c>
      <c r="G219" s="15" t="s">
        <v>4</v>
      </c>
      <c r="H219" s="15" t="s">
        <v>5</v>
      </c>
      <c r="I219" s="15" t="s">
        <v>29</v>
      </c>
      <c r="J219" s="14" t="s">
        <v>30</v>
      </c>
      <c r="K219" s="17" t="s">
        <v>7</v>
      </c>
    </row>
    <row r="220" ht="13.5" customHeight="1">
      <c r="A220" s="18" t="s">
        <v>31</v>
      </c>
      <c r="B220" s="19">
        <v>1.0</v>
      </c>
      <c r="C220" s="20" t="s">
        <v>33</v>
      </c>
      <c r="D220" s="21">
        <v>320.0</v>
      </c>
      <c r="E220" s="36"/>
      <c r="F220" s="36">
        <v>330.0</v>
      </c>
      <c r="G220" s="32"/>
      <c r="H220" s="21">
        <v>380.0</v>
      </c>
      <c r="I220" s="23"/>
      <c r="J220" s="24">
        <v>90.0</v>
      </c>
      <c r="K220" s="25">
        <f t="shared" ref="K220:K226" si="46">D220+F220+G220+H220+I220+J220</f>
        <v>1120</v>
      </c>
    </row>
    <row r="221" ht="13.5" customHeight="1">
      <c r="A221" s="26" t="s">
        <v>34</v>
      </c>
      <c r="B221" s="27"/>
      <c r="C221" s="28"/>
      <c r="D221" s="21">
        <v>300.0</v>
      </c>
      <c r="E221" s="36"/>
      <c r="F221" s="37">
        <v>340.0</v>
      </c>
      <c r="G221" s="53"/>
      <c r="H221" s="22">
        <v>430.0</v>
      </c>
      <c r="I221" s="29"/>
      <c r="J221" s="29">
        <v>90.0</v>
      </c>
      <c r="K221" s="25">
        <f t="shared" si="46"/>
        <v>1160</v>
      </c>
    </row>
    <row r="222" ht="13.5" customHeight="1">
      <c r="A222" s="18" t="s">
        <v>35</v>
      </c>
      <c r="B222" s="30">
        <v>2.3</v>
      </c>
      <c r="C222" s="31" t="s">
        <v>36</v>
      </c>
      <c r="D222" s="21">
        <v>330.0</v>
      </c>
      <c r="E222" s="36"/>
      <c r="F222" s="36">
        <v>360.0</v>
      </c>
      <c r="G222" s="21"/>
      <c r="H222" s="21">
        <v>770.0</v>
      </c>
      <c r="I222" s="21"/>
      <c r="J222" s="24">
        <v>100.0</v>
      </c>
      <c r="K222" s="25">
        <f t="shared" si="46"/>
        <v>1560</v>
      </c>
    </row>
    <row r="223" ht="13.5" customHeight="1">
      <c r="A223" s="26" t="s">
        <v>37</v>
      </c>
      <c r="B223" s="33"/>
      <c r="C223" s="34"/>
      <c r="D223" s="21">
        <v>320.0</v>
      </c>
      <c r="E223" s="36"/>
      <c r="F223" s="36">
        <v>370.0</v>
      </c>
      <c r="G223" s="21"/>
      <c r="H223" s="21">
        <v>720.0</v>
      </c>
      <c r="I223" s="21"/>
      <c r="J223" s="29">
        <v>100.0</v>
      </c>
      <c r="K223" s="25">
        <f t="shared" si="46"/>
        <v>1510</v>
      </c>
    </row>
    <row r="224" ht="14.25" customHeight="1">
      <c r="A224" s="18" t="s">
        <v>38</v>
      </c>
      <c r="B224" s="19" t="s">
        <v>39</v>
      </c>
      <c r="C224" s="19" t="s">
        <v>40</v>
      </c>
      <c r="D224" s="21">
        <v>480.0</v>
      </c>
      <c r="E224" s="36"/>
      <c r="F224" s="36">
        <v>750.0</v>
      </c>
      <c r="G224" s="21"/>
      <c r="H224" s="21">
        <v>5130.0</v>
      </c>
      <c r="I224" s="21"/>
      <c r="J224" s="24">
        <v>180.0</v>
      </c>
      <c r="K224" s="25">
        <f t="shared" si="46"/>
        <v>6540</v>
      </c>
      <c r="L224" s="47"/>
      <c r="M224" s="12"/>
    </row>
    <row r="225" ht="13.5" customHeight="1">
      <c r="A225" s="35" t="s">
        <v>41</v>
      </c>
      <c r="B225" s="27"/>
      <c r="C225" s="27"/>
      <c r="D225" s="21">
        <v>460.0</v>
      </c>
      <c r="E225" s="36"/>
      <c r="F225" s="21">
        <v>760.0</v>
      </c>
      <c r="G225" s="21"/>
      <c r="H225" s="21">
        <v>4700.0</v>
      </c>
      <c r="I225" s="21"/>
      <c r="J225" s="21">
        <v>170.0</v>
      </c>
      <c r="K225" s="25">
        <f t="shared" si="46"/>
        <v>6090</v>
      </c>
    </row>
    <row r="226" ht="13.5" customHeight="1">
      <c r="A226" s="40" t="s">
        <v>7</v>
      </c>
      <c r="B226" s="40"/>
      <c r="C226" s="40"/>
      <c r="D226" s="10">
        <f t="shared" ref="D226:J226" si="47">SUM(D220:D225)</f>
        <v>2210</v>
      </c>
      <c r="E226" s="10">
        <f t="shared" si="47"/>
        <v>0</v>
      </c>
      <c r="F226" s="10">
        <f t="shared" si="47"/>
        <v>2910</v>
      </c>
      <c r="G226" s="10">
        <f t="shared" si="47"/>
        <v>0</v>
      </c>
      <c r="H226" s="10">
        <f t="shared" si="47"/>
        <v>12130</v>
      </c>
      <c r="I226" s="10">
        <f t="shared" si="47"/>
        <v>0</v>
      </c>
      <c r="J226" s="10">
        <f t="shared" si="47"/>
        <v>730</v>
      </c>
      <c r="K226" s="25">
        <f t="shared" si="46"/>
        <v>17980</v>
      </c>
    </row>
    <row r="227" ht="13.5" customHeight="1"/>
    <row r="228" ht="13.5" customHeight="1">
      <c r="A228" s="48" t="s">
        <v>499</v>
      </c>
    </row>
    <row r="229" ht="13.5" customHeight="1">
      <c r="A229" s="14" t="s">
        <v>25</v>
      </c>
      <c r="B229" s="14" t="s">
        <v>1</v>
      </c>
      <c r="C229" s="14" t="s">
        <v>27</v>
      </c>
      <c r="D229" s="15" t="s">
        <v>2</v>
      </c>
      <c r="E229" s="10" t="s">
        <v>325</v>
      </c>
      <c r="F229" s="16" t="s">
        <v>3</v>
      </c>
      <c r="G229" s="15" t="s">
        <v>4</v>
      </c>
      <c r="H229" s="14" t="s">
        <v>5</v>
      </c>
      <c r="I229" s="15" t="s">
        <v>29</v>
      </c>
      <c r="J229" s="14" t="s">
        <v>30</v>
      </c>
      <c r="K229" s="17" t="s">
        <v>7</v>
      </c>
    </row>
    <row r="230" ht="13.5" customHeight="1">
      <c r="A230" s="18" t="s">
        <v>31</v>
      </c>
      <c r="B230" s="19">
        <v>1.0</v>
      </c>
      <c r="C230" s="20" t="s">
        <v>33</v>
      </c>
      <c r="D230" s="21">
        <v>310.0</v>
      </c>
      <c r="E230" s="36"/>
      <c r="F230" s="36"/>
      <c r="G230" s="32"/>
      <c r="H230" s="21">
        <v>610.0</v>
      </c>
      <c r="I230" s="21"/>
      <c r="J230" s="21">
        <v>90.0</v>
      </c>
      <c r="K230" s="25">
        <f t="shared" ref="K230:K236" si="48">D230+F230+G230+H230+I230+J230</f>
        <v>1010</v>
      </c>
    </row>
    <row r="231" ht="13.5" customHeight="1">
      <c r="A231" s="26" t="s">
        <v>34</v>
      </c>
      <c r="B231" s="27"/>
      <c r="C231" s="28"/>
      <c r="D231" s="21">
        <v>300.0</v>
      </c>
      <c r="E231" s="36"/>
      <c r="F231" s="36"/>
      <c r="G231" s="32"/>
      <c r="H231" s="21">
        <v>620.0</v>
      </c>
      <c r="I231" s="21"/>
      <c r="J231" s="21">
        <v>80.0</v>
      </c>
      <c r="K231" s="25">
        <f t="shared" si="48"/>
        <v>1000</v>
      </c>
    </row>
    <row r="232" ht="13.5" customHeight="1">
      <c r="A232" s="18" t="s">
        <v>35</v>
      </c>
      <c r="B232" s="30">
        <v>2.3</v>
      </c>
      <c r="C232" s="31" t="s">
        <v>36</v>
      </c>
      <c r="D232" s="21">
        <v>310.0</v>
      </c>
      <c r="E232" s="36"/>
      <c r="F232" s="36">
        <v>370.0</v>
      </c>
      <c r="G232" s="32"/>
      <c r="H232" s="21">
        <v>910.0</v>
      </c>
      <c r="I232" s="21"/>
      <c r="J232" s="21">
        <v>100.0</v>
      </c>
      <c r="K232" s="25">
        <f t="shared" si="48"/>
        <v>1690</v>
      </c>
    </row>
    <row r="233" ht="13.5" customHeight="1">
      <c r="A233" s="26" t="s">
        <v>37</v>
      </c>
      <c r="B233" s="33"/>
      <c r="C233" s="34"/>
      <c r="D233" s="21">
        <v>330.0</v>
      </c>
      <c r="E233" s="36"/>
      <c r="F233" s="36"/>
      <c r="G233" s="32"/>
      <c r="H233" s="21">
        <v>950.0</v>
      </c>
      <c r="I233" s="21"/>
      <c r="J233" s="21">
        <v>100.0</v>
      </c>
      <c r="K233" s="25">
        <f t="shared" si="48"/>
        <v>1380</v>
      </c>
    </row>
    <row r="234" ht="14.25" customHeight="1">
      <c r="A234" s="18" t="s">
        <v>38</v>
      </c>
      <c r="B234" s="19" t="s">
        <v>39</v>
      </c>
      <c r="C234" s="19" t="s">
        <v>40</v>
      </c>
      <c r="D234" s="21">
        <v>470.0</v>
      </c>
      <c r="E234" s="36"/>
      <c r="F234" s="36"/>
      <c r="G234" s="32"/>
      <c r="H234" s="21">
        <v>5690.0</v>
      </c>
      <c r="I234" s="21"/>
      <c r="J234" s="21">
        <v>180.0</v>
      </c>
      <c r="K234" s="25">
        <f t="shared" si="48"/>
        <v>6340</v>
      </c>
      <c r="L234" s="47"/>
      <c r="M234" s="12"/>
    </row>
    <row r="235" ht="13.5" customHeight="1">
      <c r="A235" s="35" t="s">
        <v>41</v>
      </c>
      <c r="B235" s="27"/>
      <c r="C235" s="27"/>
      <c r="D235" s="21">
        <v>470.0</v>
      </c>
      <c r="E235" s="36"/>
      <c r="F235" s="36"/>
      <c r="G235" s="38"/>
      <c r="H235" s="21">
        <v>5760.0</v>
      </c>
      <c r="I235" s="29"/>
      <c r="J235" s="39">
        <v>160.0</v>
      </c>
      <c r="K235" s="25">
        <f t="shared" si="48"/>
        <v>6390</v>
      </c>
    </row>
    <row r="236" ht="13.5" customHeight="1">
      <c r="A236" s="40" t="s">
        <v>7</v>
      </c>
      <c r="B236" s="40"/>
      <c r="C236" s="40"/>
      <c r="D236" s="10">
        <f t="shared" ref="D236:J236" si="49">SUM(D230:D235)</f>
        <v>2190</v>
      </c>
      <c r="E236" s="10">
        <f t="shared" si="49"/>
        <v>0</v>
      </c>
      <c r="F236" s="10">
        <f t="shared" si="49"/>
        <v>370</v>
      </c>
      <c r="G236" s="10">
        <f t="shared" si="49"/>
        <v>0</v>
      </c>
      <c r="H236" s="10">
        <f t="shared" si="49"/>
        <v>14540</v>
      </c>
      <c r="I236" s="10">
        <f t="shared" si="49"/>
        <v>0</v>
      </c>
      <c r="J236" s="10">
        <f t="shared" si="49"/>
        <v>710</v>
      </c>
      <c r="K236" s="25">
        <f t="shared" si="48"/>
        <v>17810</v>
      </c>
    </row>
    <row r="237" ht="13.5" customHeight="1"/>
    <row r="238" ht="13.5" customHeight="1">
      <c r="A238" s="48" t="s">
        <v>500</v>
      </c>
    </row>
    <row r="239" ht="13.5" customHeight="1">
      <c r="A239" s="14" t="s">
        <v>25</v>
      </c>
      <c r="B239" s="14" t="s">
        <v>1</v>
      </c>
      <c r="C239" s="14" t="s">
        <v>27</v>
      </c>
      <c r="D239" s="15" t="s">
        <v>2</v>
      </c>
      <c r="E239" s="10" t="s">
        <v>325</v>
      </c>
      <c r="F239" s="16" t="s">
        <v>3</v>
      </c>
      <c r="G239" s="15" t="s">
        <v>4</v>
      </c>
      <c r="H239" s="15" t="s">
        <v>5</v>
      </c>
      <c r="I239" s="15" t="s">
        <v>29</v>
      </c>
      <c r="J239" s="14" t="s">
        <v>30</v>
      </c>
      <c r="K239" s="17" t="s">
        <v>7</v>
      </c>
    </row>
    <row r="240" ht="13.5" customHeight="1">
      <c r="A240" s="18" t="s">
        <v>31</v>
      </c>
      <c r="B240" s="19">
        <v>1.0</v>
      </c>
      <c r="C240" s="20" t="s">
        <v>33</v>
      </c>
      <c r="D240" s="21">
        <v>270.0</v>
      </c>
      <c r="E240" s="36"/>
      <c r="F240" s="36"/>
      <c r="G240" s="32"/>
      <c r="H240" s="21">
        <v>510.0</v>
      </c>
      <c r="I240" s="21"/>
      <c r="J240" s="21">
        <v>80.0</v>
      </c>
      <c r="K240" s="25">
        <f t="shared" ref="K240:K246" si="50">D240+F240+G240+H240+I240+J240</f>
        <v>860</v>
      </c>
    </row>
    <row r="241" ht="13.5" customHeight="1">
      <c r="A241" s="26" t="s">
        <v>34</v>
      </c>
      <c r="B241" s="27"/>
      <c r="C241" s="28"/>
      <c r="D241" s="21"/>
      <c r="E241" s="36"/>
      <c r="F241" s="36"/>
      <c r="G241" s="32"/>
      <c r="H241" s="21"/>
      <c r="I241" s="21"/>
      <c r="J241" s="21"/>
      <c r="K241" s="25">
        <f t="shared" si="50"/>
        <v>0</v>
      </c>
    </row>
    <row r="242" ht="13.5" customHeight="1">
      <c r="A242" s="18" t="s">
        <v>35</v>
      </c>
      <c r="B242" s="30">
        <v>2.3</v>
      </c>
      <c r="C242" s="31" t="s">
        <v>36</v>
      </c>
      <c r="D242" s="21">
        <v>320.0</v>
      </c>
      <c r="E242" s="36"/>
      <c r="F242" s="36"/>
      <c r="G242" s="32"/>
      <c r="H242" s="21">
        <v>880.0</v>
      </c>
      <c r="I242" s="21"/>
      <c r="J242" s="21">
        <v>100.0</v>
      </c>
      <c r="K242" s="25">
        <f t="shared" si="50"/>
        <v>1300</v>
      </c>
    </row>
    <row r="243" ht="13.5" customHeight="1">
      <c r="A243" s="26" t="s">
        <v>37</v>
      </c>
      <c r="B243" s="33"/>
      <c r="C243" s="34"/>
      <c r="D243" s="21">
        <v>330.0</v>
      </c>
      <c r="E243" s="36"/>
      <c r="F243" s="36">
        <v>350.0</v>
      </c>
      <c r="G243" s="32"/>
      <c r="H243" s="21">
        <v>780.0</v>
      </c>
      <c r="I243" s="21"/>
      <c r="J243" s="21">
        <v>100.0</v>
      </c>
      <c r="K243" s="25">
        <f t="shared" si="50"/>
        <v>1560</v>
      </c>
    </row>
    <row r="244" ht="14.25" customHeight="1">
      <c r="A244" s="18" t="s">
        <v>38</v>
      </c>
      <c r="B244" s="19" t="s">
        <v>39</v>
      </c>
      <c r="C244" s="19" t="s">
        <v>40</v>
      </c>
      <c r="D244" s="21">
        <v>470.0</v>
      </c>
      <c r="E244" s="36"/>
      <c r="F244" s="36"/>
      <c r="G244" s="32"/>
      <c r="H244" s="21">
        <v>5710.0</v>
      </c>
      <c r="I244" s="21"/>
      <c r="J244" s="21">
        <v>160.0</v>
      </c>
      <c r="K244" s="25">
        <f t="shared" si="50"/>
        <v>6340</v>
      </c>
      <c r="L244" s="12"/>
    </row>
    <row r="245" ht="13.5" customHeight="1">
      <c r="A245" s="35" t="s">
        <v>41</v>
      </c>
      <c r="B245" s="27"/>
      <c r="C245" s="27"/>
      <c r="D245" s="21">
        <v>430.0</v>
      </c>
      <c r="E245" s="36"/>
      <c r="F245" s="36">
        <v>740.0</v>
      </c>
      <c r="G245" s="38"/>
      <c r="H245" s="21">
        <v>4700.0</v>
      </c>
      <c r="I245" s="29"/>
      <c r="J245" s="39">
        <v>160.0</v>
      </c>
      <c r="K245" s="25">
        <f t="shared" si="50"/>
        <v>6030</v>
      </c>
    </row>
    <row r="246" ht="13.5" customHeight="1">
      <c r="A246" s="40" t="s">
        <v>7</v>
      </c>
      <c r="B246" s="40"/>
      <c r="C246" s="40"/>
      <c r="D246" s="10">
        <f t="shared" ref="D246:J246" si="51">SUM(D240:D245)</f>
        <v>1820</v>
      </c>
      <c r="E246" s="10">
        <f t="shared" si="51"/>
        <v>0</v>
      </c>
      <c r="F246" s="10">
        <f t="shared" si="51"/>
        <v>1090</v>
      </c>
      <c r="G246" s="10">
        <f t="shared" si="51"/>
        <v>0</v>
      </c>
      <c r="H246" s="10">
        <f t="shared" si="51"/>
        <v>12580</v>
      </c>
      <c r="I246" s="10">
        <f t="shared" si="51"/>
        <v>0</v>
      </c>
      <c r="J246" s="10">
        <f t="shared" si="51"/>
        <v>600</v>
      </c>
      <c r="K246" s="25">
        <f t="shared" si="50"/>
        <v>16090</v>
      </c>
    </row>
    <row r="247" ht="13.5" customHeight="1"/>
    <row r="248" ht="13.5" customHeight="1">
      <c r="A248" s="48" t="s">
        <v>501</v>
      </c>
    </row>
    <row r="249" ht="13.5" customHeight="1">
      <c r="A249" s="14" t="s">
        <v>25</v>
      </c>
      <c r="B249" s="14" t="s">
        <v>1</v>
      </c>
      <c r="C249" s="14" t="s">
        <v>27</v>
      </c>
      <c r="D249" s="15" t="s">
        <v>2</v>
      </c>
      <c r="E249" s="10" t="s">
        <v>325</v>
      </c>
      <c r="F249" s="16" t="s">
        <v>3</v>
      </c>
      <c r="G249" s="15" t="s">
        <v>4</v>
      </c>
      <c r="H249" s="15" t="s">
        <v>5</v>
      </c>
      <c r="I249" s="15" t="s">
        <v>29</v>
      </c>
      <c r="J249" s="14" t="s">
        <v>30</v>
      </c>
      <c r="K249" s="17" t="s">
        <v>7</v>
      </c>
    </row>
    <row r="250" ht="14.25" customHeight="1">
      <c r="A250" s="18" t="s">
        <v>31</v>
      </c>
      <c r="B250" s="19">
        <v>1.0</v>
      </c>
      <c r="C250" s="20" t="s">
        <v>33</v>
      </c>
      <c r="D250" s="21">
        <v>280.0</v>
      </c>
      <c r="E250" s="36"/>
      <c r="F250" s="36">
        <v>320.0</v>
      </c>
      <c r="G250" s="36"/>
      <c r="H250" s="32">
        <v>410.0</v>
      </c>
      <c r="I250" s="23"/>
      <c r="J250" s="24">
        <v>90.0</v>
      </c>
      <c r="K250" s="25">
        <f t="shared" ref="K250:K256" si="52">D250+F250+G250+H250+I250+J250</f>
        <v>1100</v>
      </c>
    </row>
    <row r="251" ht="13.5" customHeight="1">
      <c r="A251" s="26" t="s">
        <v>34</v>
      </c>
      <c r="B251" s="27"/>
      <c r="C251" s="28"/>
      <c r="D251" s="21">
        <v>270.0</v>
      </c>
      <c r="E251" s="36"/>
      <c r="F251" s="36">
        <v>330.0</v>
      </c>
      <c r="G251" s="32"/>
      <c r="H251" s="36">
        <v>330.0</v>
      </c>
      <c r="I251" s="32"/>
      <c r="J251" s="21">
        <v>90.0</v>
      </c>
      <c r="K251" s="25">
        <f t="shared" si="52"/>
        <v>1020</v>
      </c>
    </row>
    <row r="252" ht="13.5" customHeight="1">
      <c r="A252" s="18" t="s">
        <v>35</v>
      </c>
      <c r="B252" s="30">
        <v>2.3</v>
      </c>
      <c r="C252" s="31" t="s">
        <v>36</v>
      </c>
      <c r="D252" s="21">
        <v>330.0</v>
      </c>
      <c r="E252" s="36"/>
      <c r="F252" s="36">
        <v>370.0</v>
      </c>
      <c r="G252" s="36"/>
      <c r="H252" s="32">
        <v>720.0</v>
      </c>
      <c r="I252" s="23"/>
      <c r="J252" s="24">
        <v>100.0</v>
      </c>
      <c r="K252" s="25">
        <f t="shared" si="52"/>
        <v>1520</v>
      </c>
    </row>
    <row r="253" ht="13.5" customHeight="1">
      <c r="A253" s="26" t="s">
        <v>37</v>
      </c>
      <c r="B253" s="33"/>
      <c r="C253" s="34"/>
      <c r="D253" s="21">
        <v>270.0</v>
      </c>
      <c r="E253" s="36"/>
      <c r="F253" s="36">
        <v>330.0</v>
      </c>
      <c r="G253" s="21"/>
      <c r="H253" s="21">
        <v>330.0</v>
      </c>
      <c r="I253" s="21"/>
      <c r="J253" s="21">
        <v>90.0</v>
      </c>
      <c r="K253" s="25">
        <f t="shared" si="52"/>
        <v>1020</v>
      </c>
    </row>
    <row r="254" ht="14.25" customHeight="1">
      <c r="A254" s="18" t="s">
        <v>38</v>
      </c>
      <c r="B254" s="19" t="s">
        <v>39</v>
      </c>
      <c r="C254" s="19" t="s">
        <v>40</v>
      </c>
      <c r="D254" s="10">
        <v>470.0</v>
      </c>
      <c r="E254" s="36"/>
      <c r="F254" s="10">
        <v>760.0</v>
      </c>
      <c r="G254" s="10"/>
      <c r="H254" s="10">
        <v>4920.0</v>
      </c>
      <c r="I254" s="10"/>
      <c r="J254" s="10">
        <v>170.0</v>
      </c>
      <c r="K254" s="25">
        <f t="shared" si="52"/>
        <v>6320</v>
      </c>
      <c r="L254" s="47"/>
      <c r="M254" s="12"/>
    </row>
    <row r="255" ht="13.5" customHeight="1">
      <c r="A255" s="35" t="s">
        <v>41</v>
      </c>
      <c r="B255" s="27"/>
      <c r="C255" s="27"/>
      <c r="D255" s="21">
        <v>460.0</v>
      </c>
      <c r="E255" s="36"/>
      <c r="F255" s="21">
        <v>740.0</v>
      </c>
      <c r="G255" s="21"/>
      <c r="H255" s="21">
        <v>5070.0</v>
      </c>
      <c r="I255" s="21"/>
      <c r="J255" s="21">
        <v>160.0</v>
      </c>
      <c r="K255" s="25">
        <f t="shared" si="52"/>
        <v>6430</v>
      </c>
    </row>
    <row r="256" ht="13.5" customHeight="1">
      <c r="A256" s="40" t="s">
        <v>7</v>
      </c>
      <c r="B256" s="40"/>
      <c r="C256" s="40"/>
      <c r="D256" s="10">
        <f t="shared" ref="D256:J256" si="53">SUM(D250:D255)</f>
        <v>2080</v>
      </c>
      <c r="E256" s="10">
        <f t="shared" si="53"/>
        <v>0</v>
      </c>
      <c r="F256" s="10">
        <f t="shared" si="53"/>
        <v>2850</v>
      </c>
      <c r="G256" s="10">
        <f t="shared" si="53"/>
        <v>0</v>
      </c>
      <c r="H256" s="10">
        <f t="shared" si="53"/>
        <v>11780</v>
      </c>
      <c r="I256" s="10">
        <f t="shared" si="53"/>
        <v>0</v>
      </c>
      <c r="J256" s="10">
        <f t="shared" si="53"/>
        <v>700</v>
      </c>
      <c r="K256" s="25">
        <f t="shared" si="52"/>
        <v>17410</v>
      </c>
    </row>
    <row r="257" ht="13.5" customHeight="1"/>
    <row r="258" ht="13.5" customHeight="1">
      <c r="A258" s="48" t="s">
        <v>502</v>
      </c>
    </row>
    <row r="259" ht="13.5" customHeight="1">
      <c r="A259" s="14" t="s">
        <v>25</v>
      </c>
      <c r="B259" s="14" t="s">
        <v>1</v>
      </c>
      <c r="C259" s="14" t="s">
        <v>27</v>
      </c>
      <c r="D259" s="15" t="s">
        <v>2</v>
      </c>
      <c r="E259" s="10" t="s">
        <v>28</v>
      </c>
      <c r="F259" s="16" t="s">
        <v>3</v>
      </c>
      <c r="G259" s="15" t="s">
        <v>4</v>
      </c>
      <c r="H259" s="15" t="s">
        <v>5</v>
      </c>
      <c r="I259" s="15" t="s">
        <v>29</v>
      </c>
      <c r="J259" s="14" t="s">
        <v>30</v>
      </c>
      <c r="K259" s="17" t="s">
        <v>7</v>
      </c>
    </row>
    <row r="260" ht="14.25" customHeight="1">
      <c r="A260" s="18" t="s">
        <v>31</v>
      </c>
      <c r="B260" s="19">
        <v>1.0</v>
      </c>
      <c r="C260" s="20" t="s">
        <v>33</v>
      </c>
      <c r="D260" s="21">
        <v>280.0</v>
      </c>
      <c r="E260" s="36">
        <v>80.0</v>
      </c>
      <c r="F260" s="36">
        <v>340.0</v>
      </c>
      <c r="G260" s="32"/>
      <c r="H260" s="21">
        <v>330.0</v>
      </c>
      <c r="I260" s="23"/>
      <c r="J260" s="24">
        <v>90.0</v>
      </c>
      <c r="K260" s="25">
        <f t="shared" ref="K260:K266" si="54">D260+F260+G260+H260+I260+J260</f>
        <v>1040</v>
      </c>
    </row>
    <row r="261" ht="13.5" customHeight="1">
      <c r="A261" s="26" t="s">
        <v>34</v>
      </c>
      <c r="B261" s="27"/>
      <c r="C261" s="28"/>
      <c r="D261" s="21">
        <v>280.0</v>
      </c>
      <c r="E261" s="36">
        <v>80.0</v>
      </c>
      <c r="F261" s="36">
        <v>330.0</v>
      </c>
      <c r="G261" s="22"/>
      <c r="H261" s="21">
        <v>380.0</v>
      </c>
      <c r="I261" s="29"/>
      <c r="J261" s="29">
        <v>90.0</v>
      </c>
      <c r="K261" s="25">
        <f t="shared" si="54"/>
        <v>1080</v>
      </c>
    </row>
    <row r="262" ht="13.5" customHeight="1">
      <c r="A262" s="18" t="s">
        <v>35</v>
      </c>
      <c r="B262" s="30">
        <v>2.3</v>
      </c>
      <c r="C262" s="31" t="s">
        <v>36</v>
      </c>
      <c r="D262" s="21">
        <v>340.0</v>
      </c>
      <c r="E262" s="36">
        <v>80.0</v>
      </c>
      <c r="F262" s="10">
        <v>370.0</v>
      </c>
      <c r="G262" s="36"/>
      <c r="H262" s="21">
        <v>800.0</v>
      </c>
      <c r="I262" s="23"/>
      <c r="J262" s="24">
        <v>100.0</v>
      </c>
      <c r="K262" s="25">
        <f t="shared" si="54"/>
        <v>1610</v>
      </c>
    </row>
    <row r="263" ht="13.5" customHeight="1">
      <c r="A263" s="26" t="s">
        <v>37</v>
      </c>
      <c r="B263" s="33"/>
      <c r="C263" s="34"/>
      <c r="D263" s="21">
        <v>320.0</v>
      </c>
      <c r="E263" s="36">
        <v>80.0</v>
      </c>
      <c r="F263" s="36">
        <v>360.0</v>
      </c>
      <c r="G263" s="22"/>
      <c r="H263" s="21">
        <v>610.0</v>
      </c>
      <c r="I263" s="29"/>
      <c r="J263" s="29">
        <v>100.0</v>
      </c>
      <c r="K263" s="25">
        <f t="shared" si="54"/>
        <v>1390</v>
      </c>
    </row>
    <row r="264" ht="14.25" customHeight="1">
      <c r="A264" s="18" t="s">
        <v>38</v>
      </c>
      <c r="B264" s="19" t="s">
        <v>39</v>
      </c>
      <c r="C264" s="19" t="s">
        <v>40</v>
      </c>
      <c r="D264" s="21">
        <v>470.0</v>
      </c>
      <c r="E264" s="36">
        <v>80.0</v>
      </c>
      <c r="F264" s="36">
        <v>760.0</v>
      </c>
      <c r="G264" s="32"/>
      <c r="H264" s="21">
        <v>5010.0</v>
      </c>
      <c r="I264" s="23"/>
      <c r="J264" s="24">
        <v>160.0</v>
      </c>
      <c r="K264" s="25">
        <f t="shared" si="54"/>
        <v>6400</v>
      </c>
      <c r="L264" s="47"/>
      <c r="M264" s="12"/>
    </row>
    <row r="265" ht="13.5" customHeight="1">
      <c r="A265" s="35" t="s">
        <v>41</v>
      </c>
      <c r="B265" s="27"/>
      <c r="C265" s="27"/>
      <c r="D265" s="21">
        <v>460.0</v>
      </c>
      <c r="E265" s="36">
        <v>80.0</v>
      </c>
      <c r="F265" s="21">
        <v>740.0</v>
      </c>
      <c r="G265" s="21"/>
      <c r="H265" s="21">
        <v>5090.0</v>
      </c>
      <c r="I265" s="21"/>
      <c r="J265" s="21">
        <v>160.0</v>
      </c>
      <c r="K265" s="25">
        <f t="shared" si="54"/>
        <v>6450</v>
      </c>
    </row>
    <row r="266" ht="13.5" customHeight="1">
      <c r="A266" s="40" t="s">
        <v>7</v>
      </c>
      <c r="B266" s="40"/>
      <c r="C266" s="40"/>
      <c r="D266" s="10">
        <f t="shared" ref="D266:J266" si="55">SUM(D260:D265)</f>
        <v>2150</v>
      </c>
      <c r="E266" s="10">
        <f t="shared" si="55"/>
        <v>480</v>
      </c>
      <c r="F266" s="10">
        <f t="shared" si="55"/>
        <v>2900</v>
      </c>
      <c r="G266" s="10">
        <f t="shared" si="55"/>
        <v>0</v>
      </c>
      <c r="H266" s="10">
        <f t="shared" si="55"/>
        <v>12220</v>
      </c>
      <c r="I266" s="10">
        <f t="shared" si="55"/>
        <v>0</v>
      </c>
      <c r="J266" s="10">
        <f t="shared" si="55"/>
        <v>700</v>
      </c>
      <c r="K266" s="25">
        <f t="shared" si="54"/>
        <v>17970</v>
      </c>
    </row>
    <row r="267" ht="13.5" customHeight="1">
      <c r="A267" s="48"/>
    </row>
    <row r="268" ht="13.5" customHeight="1">
      <c r="A268" s="48"/>
    </row>
    <row r="269" ht="13.5" customHeight="1">
      <c r="A269" s="14" t="s">
        <v>25</v>
      </c>
      <c r="B269" s="14" t="s">
        <v>1</v>
      </c>
      <c r="C269" s="14" t="s">
        <v>27</v>
      </c>
      <c r="D269" s="15" t="s">
        <v>2</v>
      </c>
      <c r="E269" s="10" t="s">
        <v>325</v>
      </c>
      <c r="F269" s="16" t="s">
        <v>3</v>
      </c>
      <c r="G269" s="14" t="s">
        <v>4</v>
      </c>
      <c r="H269" s="15" t="s">
        <v>5</v>
      </c>
      <c r="I269" s="15" t="s">
        <v>29</v>
      </c>
      <c r="J269" s="14" t="s">
        <v>30</v>
      </c>
      <c r="K269" s="17" t="s">
        <v>7</v>
      </c>
    </row>
    <row r="270" ht="13.5" customHeight="1">
      <c r="A270" s="18" t="s">
        <v>31</v>
      </c>
      <c r="B270" s="19">
        <v>1.0</v>
      </c>
      <c r="C270" s="20" t="s">
        <v>33</v>
      </c>
      <c r="D270" s="21"/>
      <c r="E270" s="36"/>
      <c r="F270" s="36"/>
      <c r="G270" s="32"/>
      <c r="H270" s="21"/>
      <c r="I270" s="21"/>
      <c r="J270" s="24"/>
      <c r="K270" s="25">
        <f t="shared" ref="K270:K276" si="56">D270+F270+G270+H270+I270+J270</f>
        <v>0</v>
      </c>
    </row>
    <row r="271" ht="13.5" customHeight="1">
      <c r="A271" s="26" t="s">
        <v>34</v>
      </c>
      <c r="B271" s="27"/>
      <c r="C271" s="28"/>
      <c r="D271" s="21"/>
      <c r="E271" s="36"/>
      <c r="F271" s="36"/>
      <c r="G271" s="22"/>
      <c r="H271" s="21"/>
      <c r="I271" s="21"/>
      <c r="J271" s="29"/>
      <c r="K271" s="25">
        <f t="shared" si="56"/>
        <v>0</v>
      </c>
    </row>
    <row r="272" ht="13.5" customHeight="1">
      <c r="A272" s="18" t="s">
        <v>35</v>
      </c>
      <c r="B272" s="30">
        <v>2.3</v>
      </c>
      <c r="C272" s="31" t="s">
        <v>36</v>
      </c>
      <c r="D272" s="21"/>
      <c r="E272" s="36"/>
      <c r="F272" s="36"/>
      <c r="G272" s="32"/>
      <c r="I272" s="21"/>
      <c r="J272" s="24"/>
      <c r="K272" s="25">
        <f t="shared" si="56"/>
        <v>0</v>
      </c>
    </row>
    <row r="273" ht="13.5" customHeight="1">
      <c r="A273" s="26" t="s">
        <v>37</v>
      </c>
      <c r="B273" s="33"/>
      <c r="C273" s="34"/>
      <c r="D273" s="21"/>
      <c r="E273" s="36"/>
      <c r="F273" s="36"/>
      <c r="G273" s="22"/>
      <c r="I273" s="21"/>
      <c r="J273" s="29"/>
      <c r="K273" s="25">
        <f t="shared" si="56"/>
        <v>0</v>
      </c>
    </row>
    <row r="274" ht="15.0" customHeight="1">
      <c r="A274" s="18" t="s">
        <v>38</v>
      </c>
      <c r="B274" s="19" t="s">
        <v>39</v>
      </c>
      <c r="C274" s="19" t="s">
        <v>40</v>
      </c>
      <c r="D274" s="21"/>
      <c r="E274" s="36"/>
      <c r="F274" s="41"/>
      <c r="G274" s="32"/>
      <c r="H274" s="21"/>
      <c r="I274" s="21"/>
      <c r="J274" s="24"/>
      <c r="K274" s="25">
        <f t="shared" si="56"/>
        <v>0</v>
      </c>
    </row>
    <row r="275" ht="13.5" customHeight="1">
      <c r="A275" s="35" t="s">
        <v>41</v>
      </c>
      <c r="B275" s="27"/>
      <c r="C275" s="27"/>
      <c r="D275" s="21"/>
      <c r="E275" s="36"/>
      <c r="F275" s="37"/>
      <c r="G275" s="38"/>
      <c r="H275" s="21"/>
      <c r="I275" s="21"/>
      <c r="J275" s="39"/>
      <c r="K275" s="25">
        <f t="shared" si="56"/>
        <v>0</v>
      </c>
    </row>
    <row r="276" ht="13.5" customHeight="1">
      <c r="A276" s="40" t="s">
        <v>7</v>
      </c>
      <c r="B276" s="40"/>
      <c r="C276" s="40"/>
      <c r="D276" s="10">
        <f t="shared" ref="D276:J276" si="57">SUM(D270:D275)</f>
        <v>0</v>
      </c>
      <c r="E276" s="10">
        <f t="shared" si="57"/>
        <v>0</v>
      </c>
      <c r="F276" s="10">
        <f t="shared" si="57"/>
        <v>0</v>
      </c>
      <c r="G276" s="10">
        <f t="shared" si="57"/>
        <v>0</v>
      </c>
      <c r="H276" s="10">
        <f t="shared" si="57"/>
        <v>0</v>
      </c>
      <c r="I276" s="10">
        <f t="shared" si="57"/>
        <v>0</v>
      </c>
      <c r="J276" s="10">
        <f t="shared" si="57"/>
        <v>0</v>
      </c>
      <c r="K276" s="25">
        <f t="shared" si="56"/>
        <v>0</v>
      </c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 ht="13.5" customHeight="1">
      <c r="A278" s="48"/>
    </row>
    <row r="279" ht="13.5" customHeight="1">
      <c r="A279" s="14" t="s">
        <v>25</v>
      </c>
      <c r="B279" s="14" t="s">
        <v>1</v>
      </c>
      <c r="C279" s="14" t="s">
        <v>27</v>
      </c>
      <c r="D279" s="15" t="s">
        <v>2</v>
      </c>
      <c r="E279" s="10" t="s">
        <v>325</v>
      </c>
      <c r="F279" s="16" t="s">
        <v>3</v>
      </c>
      <c r="G279" s="14" t="s">
        <v>4</v>
      </c>
      <c r="H279" s="15" t="s">
        <v>5</v>
      </c>
      <c r="I279" s="15" t="s">
        <v>29</v>
      </c>
      <c r="J279" s="14" t="s">
        <v>30</v>
      </c>
      <c r="K279" s="17" t="s">
        <v>7</v>
      </c>
    </row>
    <row r="280" ht="13.5" customHeight="1">
      <c r="A280" s="18" t="s">
        <v>31</v>
      </c>
      <c r="B280" s="19">
        <v>1.0</v>
      </c>
      <c r="C280" s="20" t="s">
        <v>33</v>
      </c>
      <c r="D280" s="21"/>
      <c r="E280" s="36"/>
      <c r="F280" s="36"/>
      <c r="G280" s="32"/>
      <c r="H280" s="21"/>
      <c r="I280" s="21"/>
      <c r="J280" s="24"/>
      <c r="K280" s="25">
        <f t="shared" ref="K280:K286" si="58">D280+F280+G280+H280+I280+J280</f>
        <v>0</v>
      </c>
    </row>
    <row r="281" ht="13.5" customHeight="1">
      <c r="A281" s="26" t="s">
        <v>34</v>
      </c>
      <c r="B281" s="27"/>
      <c r="C281" s="28"/>
      <c r="D281" s="21"/>
      <c r="E281" s="36"/>
      <c r="F281" s="36"/>
      <c r="G281" s="22"/>
      <c r="H281" s="21"/>
      <c r="I281" s="21"/>
      <c r="J281" s="29"/>
      <c r="K281" s="25">
        <f t="shared" si="58"/>
        <v>0</v>
      </c>
    </row>
    <row r="282" ht="13.5" customHeight="1">
      <c r="A282" s="18" t="s">
        <v>35</v>
      </c>
      <c r="B282" s="30">
        <v>2.3</v>
      </c>
      <c r="C282" s="31" t="s">
        <v>36</v>
      </c>
      <c r="D282" s="21"/>
      <c r="E282" s="36"/>
      <c r="F282" s="36"/>
      <c r="G282" s="32"/>
      <c r="H282" s="21"/>
      <c r="I282" s="21"/>
      <c r="J282" s="24"/>
      <c r="K282" s="25">
        <f t="shared" si="58"/>
        <v>0</v>
      </c>
    </row>
    <row r="283" ht="13.5" customHeight="1">
      <c r="A283" s="26" t="s">
        <v>37</v>
      </c>
      <c r="B283" s="33"/>
      <c r="C283" s="34"/>
      <c r="D283" s="21"/>
      <c r="E283" s="36"/>
      <c r="F283" s="36"/>
      <c r="G283" s="22"/>
      <c r="H283" s="21"/>
      <c r="I283" s="21"/>
      <c r="J283" s="29"/>
      <c r="K283" s="25">
        <f t="shared" si="58"/>
        <v>0</v>
      </c>
    </row>
    <row r="284" ht="15.0" customHeight="1">
      <c r="A284" s="18" t="s">
        <v>38</v>
      </c>
      <c r="B284" s="19" t="s">
        <v>39</v>
      </c>
      <c r="C284" s="19" t="s">
        <v>40</v>
      </c>
      <c r="D284" s="21"/>
      <c r="E284" s="36"/>
      <c r="F284" s="41"/>
      <c r="G284" s="32"/>
      <c r="H284" s="21"/>
      <c r="I284" s="21"/>
      <c r="J284" s="24"/>
      <c r="K284" s="25">
        <f t="shared" si="58"/>
        <v>0</v>
      </c>
    </row>
    <row r="285" ht="13.5" customHeight="1">
      <c r="A285" s="35" t="s">
        <v>41</v>
      </c>
      <c r="B285" s="27"/>
      <c r="C285" s="27"/>
      <c r="D285" s="21"/>
      <c r="E285" s="36"/>
      <c r="F285" s="37"/>
      <c r="G285" s="38"/>
      <c r="H285" s="21"/>
      <c r="I285" s="21"/>
      <c r="J285" s="39"/>
      <c r="K285" s="25">
        <f t="shared" si="58"/>
        <v>0</v>
      </c>
    </row>
    <row r="286" ht="13.5" customHeight="1">
      <c r="A286" s="40" t="s">
        <v>7</v>
      </c>
      <c r="B286" s="40"/>
      <c r="C286" s="40"/>
      <c r="D286" s="10">
        <f t="shared" ref="D286:J286" si="59">SUM(D280:D285)</f>
        <v>0</v>
      </c>
      <c r="E286" s="10">
        <f t="shared" si="59"/>
        <v>0</v>
      </c>
      <c r="F286" s="10">
        <f t="shared" si="59"/>
        <v>0</v>
      </c>
      <c r="G286" s="10">
        <f t="shared" si="59"/>
        <v>0</v>
      </c>
      <c r="H286" s="10">
        <f t="shared" si="59"/>
        <v>0</v>
      </c>
      <c r="I286" s="10">
        <f t="shared" si="59"/>
        <v>0</v>
      </c>
      <c r="J286" s="10">
        <f t="shared" si="59"/>
        <v>0</v>
      </c>
      <c r="K286" s="25">
        <f t="shared" si="58"/>
        <v>0</v>
      </c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 ht="13.5" customHeight="1">
      <c r="A288" s="48"/>
    </row>
    <row r="289" ht="13.5" customHeight="1">
      <c r="A289" s="14" t="s">
        <v>25</v>
      </c>
      <c r="B289" s="14" t="s">
        <v>1</v>
      </c>
      <c r="C289" s="14" t="s">
        <v>27</v>
      </c>
      <c r="D289" s="15" t="s">
        <v>2</v>
      </c>
      <c r="E289" s="16" t="s">
        <v>28</v>
      </c>
      <c r="F289" s="16" t="s">
        <v>3</v>
      </c>
      <c r="G289" s="14" t="s">
        <v>4</v>
      </c>
      <c r="H289" s="15" t="s">
        <v>5</v>
      </c>
      <c r="I289" s="15" t="s">
        <v>29</v>
      </c>
      <c r="J289" s="14" t="s">
        <v>30</v>
      </c>
      <c r="K289" s="17" t="s">
        <v>7</v>
      </c>
    </row>
    <row r="290" ht="13.5" customHeight="1">
      <c r="A290" s="18" t="s">
        <v>31</v>
      </c>
      <c r="B290" s="19">
        <v>1.0</v>
      </c>
      <c r="C290" s="20" t="s">
        <v>33</v>
      </c>
      <c r="D290" s="21"/>
      <c r="E290" s="36"/>
      <c r="F290" s="36"/>
      <c r="G290" s="32"/>
      <c r="H290" s="21"/>
      <c r="I290" s="21"/>
      <c r="J290" s="24"/>
      <c r="K290" s="25">
        <f t="shared" ref="K290:K296" si="60">SUM(D290:J290)</f>
        <v>0</v>
      </c>
    </row>
    <row r="291" ht="13.5" customHeight="1">
      <c r="A291" s="26" t="s">
        <v>34</v>
      </c>
      <c r="B291" s="27"/>
      <c r="C291" s="28"/>
      <c r="D291" s="21"/>
      <c r="E291" s="36"/>
      <c r="F291" s="36"/>
      <c r="G291" s="22"/>
      <c r="H291" s="21"/>
      <c r="I291" s="21"/>
      <c r="J291" s="29"/>
      <c r="K291" s="25">
        <f t="shared" si="60"/>
        <v>0</v>
      </c>
    </row>
    <row r="292" ht="13.5" customHeight="1">
      <c r="A292" s="18" t="s">
        <v>35</v>
      </c>
      <c r="B292" s="30" t="s">
        <v>471</v>
      </c>
      <c r="C292" s="31" t="s">
        <v>36</v>
      </c>
      <c r="D292" s="21"/>
      <c r="E292" s="36"/>
      <c r="F292" s="36"/>
      <c r="G292" s="32"/>
      <c r="H292" s="21"/>
      <c r="I292" s="21"/>
      <c r="J292" s="24"/>
      <c r="K292" s="25">
        <f t="shared" si="60"/>
        <v>0</v>
      </c>
    </row>
    <row r="293" ht="13.5" customHeight="1">
      <c r="A293" s="26" t="s">
        <v>37</v>
      </c>
      <c r="B293" s="33"/>
      <c r="C293" s="34"/>
      <c r="D293" s="21"/>
      <c r="E293" s="36"/>
      <c r="F293" s="36"/>
      <c r="G293" s="22"/>
      <c r="H293" s="21"/>
      <c r="I293" s="21"/>
      <c r="J293" s="29"/>
      <c r="K293" s="25">
        <f t="shared" si="60"/>
        <v>0</v>
      </c>
    </row>
    <row r="294" ht="15.0" customHeight="1">
      <c r="A294" s="18" t="s">
        <v>38</v>
      </c>
      <c r="B294" s="19" t="s">
        <v>39</v>
      </c>
      <c r="C294" s="19" t="s">
        <v>40</v>
      </c>
      <c r="D294" s="21"/>
      <c r="E294" s="41"/>
      <c r="F294" s="41"/>
      <c r="G294" s="32"/>
      <c r="H294" s="21"/>
      <c r="I294" s="21"/>
      <c r="J294" s="24"/>
      <c r="K294" s="25">
        <f t="shared" si="60"/>
        <v>0</v>
      </c>
    </row>
    <row r="295" ht="13.5" customHeight="1">
      <c r="A295" s="35" t="s">
        <v>41</v>
      </c>
      <c r="B295" s="27"/>
      <c r="C295" s="27"/>
      <c r="D295" s="21"/>
      <c r="E295" s="36"/>
      <c r="F295" s="37"/>
      <c r="G295" s="38"/>
      <c r="H295" s="21"/>
      <c r="I295" s="21"/>
      <c r="J295" s="39"/>
      <c r="K295" s="25">
        <f t="shared" si="60"/>
        <v>0</v>
      </c>
    </row>
    <row r="296" ht="13.5" customHeight="1">
      <c r="A296" s="40" t="s">
        <v>7</v>
      </c>
      <c r="B296" s="40"/>
      <c r="C296" s="40"/>
      <c r="D296" s="10">
        <f t="shared" ref="D296:J296" si="61">SUM(D290:D295)</f>
        <v>0</v>
      </c>
      <c r="E296" s="10">
        <f t="shared" si="61"/>
        <v>0</v>
      </c>
      <c r="F296" s="10">
        <f t="shared" si="61"/>
        <v>0</v>
      </c>
      <c r="G296" s="10">
        <f t="shared" si="61"/>
        <v>0</v>
      </c>
      <c r="H296" s="10">
        <f t="shared" si="61"/>
        <v>0</v>
      </c>
      <c r="I296" s="10">
        <f t="shared" si="61"/>
        <v>0</v>
      </c>
      <c r="J296" s="10">
        <f t="shared" si="61"/>
        <v>0</v>
      </c>
      <c r="K296" s="25">
        <f t="shared" si="60"/>
        <v>0</v>
      </c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 ht="13.5" customHeight="1">
      <c r="A299" s="64" t="s">
        <v>503</v>
      </c>
      <c r="B299" s="65"/>
      <c r="C299" s="65"/>
      <c r="D299" s="5"/>
      <c r="E299" s="10"/>
      <c r="F299" s="10"/>
      <c r="G299" s="10"/>
      <c r="H299" s="10"/>
      <c r="I299" s="10"/>
      <c r="J299" s="10"/>
      <c r="K299" s="10"/>
    </row>
    <row r="300" ht="13.5" customHeight="1">
      <c r="A300" s="15" t="s">
        <v>25</v>
      </c>
      <c r="B300" s="15" t="s">
        <v>1</v>
      </c>
      <c r="C300" s="15" t="s">
        <v>27</v>
      </c>
      <c r="D300" s="15" t="s">
        <v>2</v>
      </c>
      <c r="E300" s="10" t="s">
        <v>28</v>
      </c>
      <c r="F300" s="16" t="s">
        <v>3</v>
      </c>
      <c r="G300" s="15" t="s">
        <v>4</v>
      </c>
      <c r="H300" s="15" t="s">
        <v>5</v>
      </c>
      <c r="I300" s="15" t="s">
        <v>29</v>
      </c>
      <c r="J300" s="15" t="s">
        <v>30</v>
      </c>
      <c r="K300" s="10" t="s">
        <v>7</v>
      </c>
    </row>
    <row r="301" ht="13.5" customHeight="1">
      <c r="A301" s="10" t="s">
        <v>31</v>
      </c>
      <c r="B301" s="19">
        <v>1.0</v>
      </c>
      <c r="C301" s="10" t="s">
        <v>33</v>
      </c>
      <c r="D301" s="21">
        <f t="shared" ref="D301:J301" si="62">D4+D14+D23+D32+D41+D50+D60+D70+D80+D90+D99+D109+D118+D127+D136+D145+D154+D163+D172+D181+D190+D200+D210+D220+D230+D240+D250+D260+D270+D280+D290</f>
        <v>8550</v>
      </c>
      <c r="E301" s="21">
        <f t="shared" si="62"/>
        <v>640</v>
      </c>
      <c r="F301" s="21">
        <f t="shared" si="62"/>
        <v>4190</v>
      </c>
      <c r="G301" s="21">
        <f t="shared" si="62"/>
        <v>0</v>
      </c>
      <c r="H301" s="21">
        <f t="shared" si="62"/>
        <v>13510</v>
      </c>
      <c r="I301" s="21">
        <f t="shared" si="62"/>
        <v>0</v>
      </c>
      <c r="J301" s="21">
        <f t="shared" si="62"/>
        <v>2090</v>
      </c>
      <c r="K301" s="10">
        <f t="shared" ref="K301:K306" si="64">SUM(D301:J301)</f>
        <v>28980</v>
      </c>
    </row>
    <row r="302" ht="13.5" customHeight="1">
      <c r="A302" s="10" t="s">
        <v>34</v>
      </c>
      <c r="B302" s="27"/>
      <c r="C302" s="10"/>
      <c r="D302" s="21">
        <f t="shared" ref="D302:J302" si="63">D5+D15+D24+D33+D42+D51+D61+D71+D81+D91+D100+D110+D119+D128+D137+D146+D155+D164+D173+D182+D191+D201+D211+D221+D231+D241+D251+D261+D271+D281+D291</f>
        <v>8020</v>
      </c>
      <c r="E302" s="21">
        <f t="shared" si="63"/>
        <v>640</v>
      </c>
      <c r="F302" s="21">
        <f t="shared" si="63"/>
        <v>4010</v>
      </c>
      <c r="G302" s="21">
        <f t="shared" si="63"/>
        <v>0</v>
      </c>
      <c r="H302" s="21">
        <f t="shared" si="63"/>
        <v>12600</v>
      </c>
      <c r="I302" s="21">
        <f t="shared" si="63"/>
        <v>0</v>
      </c>
      <c r="J302" s="21">
        <f t="shared" si="63"/>
        <v>1960</v>
      </c>
      <c r="K302" s="10">
        <f t="shared" si="64"/>
        <v>27230</v>
      </c>
    </row>
    <row r="303" ht="13.5" customHeight="1">
      <c r="A303" s="10" t="s">
        <v>35</v>
      </c>
      <c r="B303" s="67">
        <v>2.3</v>
      </c>
      <c r="C303" s="15" t="s">
        <v>36</v>
      </c>
      <c r="D303" s="21">
        <f t="shared" ref="D303:J303" si="65">D6+D16+D25+D34+D43+D52+D62+D72+D82+D92+D101+D111+D120+D129+D138+D147+D156+D165+D174+D183+D192+D202+D212+D222+D232+D242+D252+D262+D272+D282+D292</f>
        <v>8960</v>
      </c>
      <c r="E303" s="21">
        <f t="shared" si="65"/>
        <v>80</v>
      </c>
      <c r="F303" s="21">
        <f t="shared" si="65"/>
        <v>4900</v>
      </c>
      <c r="G303" s="21">
        <f t="shared" si="65"/>
        <v>0</v>
      </c>
      <c r="H303" s="21">
        <f t="shared" si="65"/>
        <v>24380</v>
      </c>
      <c r="I303" s="21">
        <f t="shared" si="65"/>
        <v>0</v>
      </c>
      <c r="J303" s="21">
        <f t="shared" si="65"/>
        <v>2360</v>
      </c>
      <c r="K303" s="10">
        <f t="shared" si="64"/>
        <v>40680</v>
      </c>
    </row>
    <row r="304" ht="13.5" customHeight="1">
      <c r="A304" s="10" t="s">
        <v>37</v>
      </c>
      <c r="B304" s="67"/>
      <c r="C304" s="15"/>
      <c r="D304" s="21">
        <f t="shared" ref="D304:J304" si="66">D7+D17+D26+D35+D44+D53+D63+D73+D83+D93+D102+D112+D121+D130+D139+D148+D157+D166+D175+D184+D193+D203+D213+D223+D233+D243+D253+D263+D273+D283+D293</f>
        <v>9020</v>
      </c>
      <c r="E304" s="21">
        <f t="shared" si="66"/>
        <v>80</v>
      </c>
      <c r="F304" s="21">
        <f t="shared" si="66"/>
        <v>4610</v>
      </c>
      <c r="G304" s="21">
        <f t="shared" si="66"/>
        <v>0</v>
      </c>
      <c r="H304" s="21">
        <f t="shared" si="66"/>
        <v>22420</v>
      </c>
      <c r="I304" s="21">
        <f t="shared" si="66"/>
        <v>0</v>
      </c>
      <c r="J304" s="21">
        <f t="shared" si="66"/>
        <v>2370</v>
      </c>
      <c r="K304" s="10">
        <f t="shared" si="64"/>
        <v>38500</v>
      </c>
    </row>
    <row r="305" ht="15.0" customHeight="1">
      <c r="A305" s="10" t="s">
        <v>38</v>
      </c>
      <c r="B305" s="66" t="s">
        <v>39</v>
      </c>
      <c r="C305" s="66" t="s">
        <v>40</v>
      </c>
      <c r="D305" s="21">
        <f t="shared" ref="D305:J305" si="67">D8+D18+D27+D36+D45+D54+D64+D74+D84+D94+D103+D113+D122+D131+D140+D149+D158+D167+D176+D185+D194+D204+D214+D224+D234+D244+D254+D264+D274+D284+D294</f>
        <v>13140</v>
      </c>
      <c r="E305" s="21">
        <f t="shared" si="67"/>
        <v>80</v>
      </c>
      <c r="F305" s="21">
        <f t="shared" si="67"/>
        <v>9330</v>
      </c>
      <c r="G305" s="21">
        <f t="shared" si="67"/>
        <v>0</v>
      </c>
      <c r="H305" s="21">
        <f t="shared" si="67"/>
        <v>149580</v>
      </c>
      <c r="I305" s="21">
        <f t="shared" si="67"/>
        <v>0</v>
      </c>
      <c r="J305" s="21">
        <f t="shared" si="67"/>
        <v>4530</v>
      </c>
      <c r="K305" s="10">
        <f t="shared" si="64"/>
        <v>176660</v>
      </c>
    </row>
    <row r="306" ht="13.5" customHeight="1">
      <c r="A306" s="10" t="s">
        <v>41</v>
      </c>
      <c r="B306" s="7"/>
      <c r="C306" s="7"/>
      <c r="D306" s="21">
        <f t="shared" ref="D306:J306" si="68">D9+D19+D28+D37+D46+D55+D65+D75+D85+D95+D104+D114+D123+D132+D141+D150+D159+D168+D177+D186+D195+D205+D215+D225+D235+D245+D255+D265+D275+D285+D295</f>
        <v>12970</v>
      </c>
      <c r="E306" s="21">
        <f t="shared" si="68"/>
        <v>80</v>
      </c>
      <c r="F306" s="21">
        <f t="shared" si="68"/>
        <v>10620</v>
      </c>
      <c r="G306" s="21">
        <f t="shared" si="68"/>
        <v>0</v>
      </c>
      <c r="H306" s="21">
        <f t="shared" si="68"/>
        <v>147960</v>
      </c>
      <c r="I306" s="21">
        <f t="shared" si="68"/>
        <v>0</v>
      </c>
      <c r="J306" s="21">
        <f t="shared" si="68"/>
        <v>4490</v>
      </c>
      <c r="K306" s="10">
        <f t="shared" si="64"/>
        <v>176120</v>
      </c>
    </row>
    <row r="307" ht="13.5" customHeight="1">
      <c r="A307" s="10" t="s">
        <v>7</v>
      </c>
      <c r="B307" s="10"/>
      <c r="C307" s="10"/>
      <c r="D307" s="21">
        <f t="shared" ref="D307:K307" si="69">SUM(D301:D306)</f>
        <v>60660</v>
      </c>
      <c r="E307" s="21">
        <f t="shared" si="69"/>
        <v>1600</v>
      </c>
      <c r="F307" s="21">
        <f t="shared" si="69"/>
        <v>37660</v>
      </c>
      <c r="G307" s="21">
        <f t="shared" si="69"/>
        <v>0</v>
      </c>
      <c r="H307" s="21">
        <f t="shared" si="69"/>
        <v>370450</v>
      </c>
      <c r="I307" s="21">
        <f t="shared" si="69"/>
        <v>0</v>
      </c>
      <c r="J307" s="21">
        <f t="shared" si="69"/>
        <v>17800</v>
      </c>
      <c r="K307" s="10">
        <f t="shared" si="69"/>
        <v>488170</v>
      </c>
    </row>
    <row r="308" ht="13.5" customHeight="1">
      <c r="A308" s="10"/>
      <c r="B308" s="10"/>
      <c r="C308" s="10"/>
      <c r="D308" s="15" t="s">
        <v>2</v>
      </c>
      <c r="E308" s="10" t="s">
        <v>28</v>
      </c>
      <c r="F308" s="16" t="s">
        <v>3</v>
      </c>
      <c r="G308" s="15" t="s">
        <v>4</v>
      </c>
      <c r="H308" s="15" t="s">
        <v>5</v>
      </c>
      <c r="I308" s="15" t="s">
        <v>29</v>
      </c>
      <c r="J308" s="15" t="s">
        <v>30</v>
      </c>
      <c r="K308" s="10" t="s">
        <v>7</v>
      </c>
    </row>
    <row r="309" ht="13.5" customHeight="1">
      <c r="A309" s="10"/>
      <c r="B309" s="66" t="s">
        <v>504</v>
      </c>
      <c r="C309" s="10" t="s">
        <v>33</v>
      </c>
      <c r="D309" s="10">
        <f t="shared" ref="D309:K309" si="70">D301+D302</f>
        <v>16570</v>
      </c>
      <c r="E309" s="10">
        <f t="shared" si="70"/>
        <v>1280</v>
      </c>
      <c r="F309" s="10">
        <f t="shared" si="70"/>
        <v>8200</v>
      </c>
      <c r="G309" s="10">
        <f t="shared" si="70"/>
        <v>0</v>
      </c>
      <c r="H309" s="10">
        <f t="shared" si="70"/>
        <v>26110</v>
      </c>
      <c r="I309" s="10">
        <f t="shared" si="70"/>
        <v>0</v>
      </c>
      <c r="J309" s="10">
        <f t="shared" si="70"/>
        <v>4050</v>
      </c>
      <c r="K309" s="10">
        <f t="shared" si="70"/>
        <v>56210</v>
      </c>
      <c r="L309" s="68"/>
    </row>
    <row r="310" ht="13.5" customHeight="1">
      <c r="A310" s="10" t="s">
        <v>7</v>
      </c>
      <c r="B310" s="7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3.5" customHeight="1">
      <c r="A311" s="10"/>
      <c r="B311" s="67">
        <v>2.0</v>
      </c>
      <c r="C311" s="15" t="s">
        <v>36</v>
      </c>
      <c r="D311" s="10">
        <f t="shared" ref="D311:J311" si="71">D303+D304</f>
        <v>17980</v>
      </c>
      <c r="E311" s="10">
        <f t="shared" si="71"/>
        <v>160</v>
      </c>
      <c r="F311" s="10">
        <f t="shared" si="71"/>
        <v>9510</v>
      </c>
      <c r="G311" s="10">
        <f t="shared" si="71"/>
        <v>0</v>
      </c>
      <c r="H311" s="10">
        <f t="shared" si="71"/>
        <v>46800</v>
      </c>
      <c r="I311" s="10">
        <f t="shared" si="71"/>
        <v>0</v>
      </c>
      <c r="J311" s="10">
        <f t="shared" si="71"/>
        <v>4730</v>
      </c>
      <c r="K311" s="10">
        <f>SUM(D311:J311)</f>
        <v>79180</v>
      </c>
    </row>
    <row r="312" ht="13.5" customHeight="1">
      <c r="A312" s="10"/>
      <c r="B312" s="67"/>
      <c r="C312" s="15"/>
      <c r="D312" s="10"/>
      <c r="E312" s="10"/>
      <c r="F312" s="10"/>
      <c r="G312" s="10"/>
      <c r="H312" s="10"/>
      <c r="I312" s="10"/>
      <c r="J312" s="10"/>
      <c r="K312" s="10"/>
    </row>
    <row r="313" ht="14.25" customHeight="1">
      <c r="A313" s="10"/>
      <c r="B313" s="66" t="s">
        <v>39</v>
      </c>
      <c r="C313" s="66" t="s">
        <v>40</v>
      </c>
      <c r="D313" s="10">
        <f t="shared" ref="D313:J313" si="72">D305+D306</f>
        <v>26110</v>
      </c>
      <c r="E313" s="10">
        <f t="shared" si="72"/>
        <v>160</v>
      </c>
      <c r="F313" s="10">
        <f t="shared" si="72"/>
        <v>19950</v>
      </c>
      <c r="G313" s="10">
        <f t="shared" si="72"/>
        <v>0</v>
      </c>
      <c r="H313" s="10">
        <f t="shared" si="72"/>
        <v>297540</v>
      </c>
      <c r="I313" s="10">
        <f t="shared" si="72"/>
        <v>0</v>
      </c>
      <c r="J313" s="10">
        <f t="shared" si="72"/>
        <v>9020</v>
      </c>
      <c r="K313" s="10">
        <f>SUM(D313:J313)</f>
        <v>352780</v>
      </c>
    </row>
    <row r="314" ht="13.5" customHeight="1">
      <c r="A314" s="10"/>
      <c r="B314" s="7"/>
      <c r="C314" s="7"/>
      <c r="D314" s="10"/>
      <c r="E314" s="10"/>
      <c r="F314" s="10"/>
      <c r="G314" s="10"/>
      <c r="H314" s="10"/>
      <c r="I314" s="10"/>
      <c r="J314" s="10"/>
      <c r="K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>
        <f>SUM(K309:K314)</f>
        <v>488170</v>
      </c>
    </row>
    <row r="316" ht="13.5" customHeight="1"/>
    <row r="317" ht="13.5" customHeight="1">
      <c r="D317" s="69"/>
    </row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2">
    <mergeCell ref="B103:B104"/>
    <mergeCell ref="C103:C104"/>
    <mergeCell ref="A107:D107"/>
    <mergeCell ref="B109:B110"/>
    <mergeCell ref="B113:B114"/>
    <mergeCell ref="C113:C114"/>
    <mergeCell ref="A116:D116"/>
    <mergeCell ref="B118:B119"/>
    <mergeCell ref="B122:B123"/>
    <mergeCell ref="C122:C123"/>
    <mergeCell ref="A125:D125"/>
    <mergeCell ref="B127:B128"/>
    <mergeCell ref="C131:C132"/>
    <mergeCell ref="A134:D134"/>
    <mergeCell ref="B131:B132"/>
    <mergeCell ref="B136:B137"/>
    <mergeCell ref="B140:B141"/>
    <mergeCell ref="C140:C141"/>
    <mergeCell ref="A143:D143"/>
    <mergeCell ref="B145:B146"/>
    <mergeCell ref="B149:B150"/>
    <mergeCell ref="C149:C150"/>
    <mergeCell ref="A152:D152"/>
    <mergeCell ref="B154:B155"/>
    <mergeCell ref="B158:B159"/>
    <mergeCell ref="C158:C159"/>
    <mergeCell ref="A161:D161"/>
    <mergeCell ref="B163:B164"/>
    <mergeCell ref="B181:B182"/>
    <mergeCell ref="B185:B186"/>
    <mergeCell ref="C185:C186"/>
    <mergeCell ref="A188:D188"/>
    <mergeCell ref="B190:B191"/>
    <mergeCell ref="C194:C195"/>
    <mergeCell ref="A198:D198"/>
    <mergeCell ref="B194:B195"/>
    <mergeCell ref="B200:B201"/>
    <mergeCell ref="B204:B205"/>
    <mergeCell ref="C204:C205"/>
    <mergeCell ref="A208:D208"/>
    <mergeCell ref="B210:B211"/>
    <mergeCell ref="B214:B215"/>
    <mergeCell ref="C214:C215"/>
    <mergeCell ref="A218:D218"/>
    <mergeCell ref="B220:B221"/>
    <mergeCell ref="B224:B225"/>
    <mergeCell ref="C224:C225"/>
    <mergeCell ref="A228:D228"/>
    <mergeCell ref="B230:B231"/>
    <mergeCell ref="B234:B235"/>
    <mergeCell ref="C234:C235"/>
    <mergeCell ref="A238:D238"/>
    <mergeCell ref="B240:B241"/>
    <mergeCell ref="B244:B245"/>
    <mergeCell ref="C244:C245"/>
    <mergeCell ref="A248:D248"/>
    <mergeCell ref="B250:B251"/>
    <mergeCell ref="B254:B255"/>
    <mergeCell ref="C254:C255"/>
    <mergeCell ref="A258:D258"/>
    <mergeCell ref="B260:B261"/>
    <mergeCell ref="B264:B265"/>
    <mergeCell ref="C264:C265"/>
    <mergeCell ref="A267:D267"/>
    <mergeCell ref="A268:D268"/>
    <mergeCell ref="B270:B271"/>
    <mergeCell ref="B274:B275"/>
    <mergeCell ref="C274:C275"/>
    <mergeCell ref="A278:D278"/>
    <mergeCell ref="B280:B281"/>
    <mergeCell ref="B301:B302"/>
    <mergeCell ref="B305:B306"/>
    <mergeCell ref="C305:C306"/>
    <mergeCell ref="B309:B310"/>
    <mergeCell ref="B313:B314"/>
    <mergeCell ref="C313:C314"/>
    <mergeCell ref="B284:B285"/>
    <mergeCell ref="C284:C285"/>
    <mergeCell ref="A288:D288"/>
    <mergeCell ref="B290:B291"/>
    <mergeCell ref="B294:B295"/>
    <mergeCell ref="C294:C295"/>
    <mergeCell ref="A299:D299"/>
    <mergeCell ref="A2:D2"/>
    <mergeCell ref="B4:B5"/>
    <mergeCell ref="B8:B9"/>
    <mergeCell ref="C8:C9"/>
    <mergeCell ref="A12:D12"/>
    <mergeCell ref="B14:B15"/>
    <mergeCell ref="B18:B19"/>
    <mergeCell ref="C18:C19"/>
    <mergeCell ref="A21:D21"/>
    <mergeCell ref="B23:B24"/>
    <mergeCell ref="B27:B28"/>
    <mergeCell ref="C27:C28"/>
    <mergeCell ref="A30:D30"/>
    <mergeCell ref="B32:B33"/>
    <mergeCell ref="B36:B37"/>
    <mergeCell ref="C36:C37"/>
    <mergeCell ref="A39:D39"/>
    <mergeCell ref="B41:B42"/>
    <mergeCell ref="B45:B46"/>
    <mergeCell ref="C45:C46"/>
    <mergeCell ref="A48:D48"/>
    <mergeCell ref="B50:B51"/>
    <mergeCell ref="B54:B55"/>
    <mergeCell ref="C54:C55"/>
    <mergeCell ref="A58:D58"/>
    <mergeCell ref="B60:B61"/>
    <mergeCell ref="C64:C65"/>
    <mergeCell ref="A68:D68"/>
    <mergeCell ref="B64:B65"/>
    <mergeCell ref="B70:B71"/>
    <mergeCell ref="B74:B75"/>
    <mergeCell ref="C74:C75"/>
    <mergeCell ref="A78:D78"/>
    <mergeCell ref="B80:B81"/>
    <mergeCell ref="B84:B85"/>
    <mergeCell ref="C84:C85"/>
    <mergeCell ref="A88:D88"/>
    <mergeCell ref="B90:B91"/>
    <mergeCell ref="B94:B95"/>
    <mergeCell ref="C94:C95"/>
    <mergeCell ref="A97:D97"/>
    <mergeCell ref="B99:B100"/>
    <mergeCell ref="B167:B168"/>
    <mergeCell ref="C167:C168"/>
    <mergeCell ref="A170:D170"/>
    <mergeCell ref="B172:B173"/>
    <mergeCell ref="B176:B177"/>
    <mergeCell ref="C176:C177"/>
    <mergeCell ref="A179:D179"/>
  </mergeCells>
  <printOptions/>
  <pageMargins bottom="0.314583333333333" footer="0.0" header="0.0" left="0.748031496062992" right="0.31496062992126" top="7.59791666666667"/>
  <pageSetup paperSize="9" orientation="portrait"/>
  <drawing r:id="rId1"/>
</worksheet>
</file>