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个人用户</author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饲养头天=当月存栏数*实际饲养日。
自然月默认30天/月</t>
        </r>
      </text>
    </comment>
    <comment ref="AZ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牛群增重年均计算公式：
牛群年平均增重=（期末称重+期间出售总重-期初称重）/期间总饲养头.天
例：（10月20日称重+1月20日-10月20日出售称重）/1月20日-10月20日总饲养头.天</t>
        </r>
      </text>
    </comment>
    <comment ref="AZ4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</t>
        </r>
        <r>
          <rPr>
            <b/>
            <sz val="11"/>
            <rFont val="宋体"/>
            <charset val="134"/>
          </rPr>
          <t>黄育肥公牛不在考核范围内牛群，所以不做增重统计</t>
        </r>
        <r>
          <rPr>
            <sz val="9"/>
            <rFont val="宋体"/>
            <charset val="134"/>
          </rPr>
          <t>；</t>
        </r>
      </text>
    </comment>
    <comment ref="A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2022.5.31日新增转群黄公牛育肥牛群38头</t>
        </r>
      </text>
    </comment>
    <comment ref="T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本批次黄育肥牛是2021下半年出生，2022年5月31日转群，共38头；</t>
        </r>
      </text>
    </comment>
    <comment ref="Y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本批次黄育肥公牛自2022年5月31日转群38头，5月31日-6月20日按照20个饲养日计算=38*20</t>
        </r>
      </text>
    </comment>
    <comment ref="AZ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</t>
        </r>
        <r>
          <rPr>
            <b/>
            <sz val="12"/>
            <rFont val="宋体"/>
            <charset val="134"/>
          </rPr>
          <t>黄育肥公牛不在考核范围内牛群，所以不做增重统计</t>
        </r>
      </text>
    </comment>
    <comment ref="J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实际称重36头。隔离栏有一头按照群体平均数计算</t>
        </r>
      </text>
    </comment>
    <comment ref="N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实际称重36头，隔离栏一头按照群体平均数计算</t>
        </r>
      </text>
    </comment>
    <comment ref="AJ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2022.8.24因死亡做保险西杂公牛一头（X2103)，总重量600kg;
2022.9.12出售2020-2021年出生自繁西杂公牛两头(X2045.X2107)，总重量1257kg
2022.9.14出售2020-2021年出生自繁西杂公牛一头(X2059)，总重600kg；
</t>
        </r>
      </text>
    </comment>
    <comment ref="AM6" authorId="0">
      <text>
        <r>
          <rPr>
            <b/>
            <sz val="10"/>
            <rFont val="宋体"/>
            <charset val="134"/>
          </rPr>
          <t>个人用户:</t>
        </r>
        <r>
          <rPr>
            <sz val="10"/>
            <rFont val="宋体"/>
            <charset val="134"/>
          </rPr>
          <t xml:space="preserve">
2022.8.20-9.20期间因出售个体大的牛只，剩下都是个体相对较小的，同时因期间外界气温与多次驱赶引起牛群应激反应，所以期间的增重有所减缓，但整体自2022年1月-9月的增重仍然达标。</t>
        </r>
      </text>
    </comment>
    <comment ref="AN6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2022.9.29出售两头（X2039、X2119）总重966kg</t>
        </r>
      </text>
    </comment>
    <comment ref="AV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2022.12.11屠宰场4头，总重2780kg
2022.12.16拉去屠宰场5头3370kg</t>
        </r>
      </text>
    </comment>
    <comment ref="A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2022.5.31新增转群西杂公牛育肥牛群38头。</t>
        </r>
      </text>
    </comment>
    <comment ref="T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本批次是2021下半年出生的西杂公牛，2022年5月31日转群，共38头；</t>
        </r>
      </text>
    </comment>
    <comment ref="Y8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本批次西杂公牛自2022年5月31日转群38头，5月31日-6月20日按照20个饲养日计算=38*20</t>
        </r>
      </text>
    </comment>
    <comment ref="L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3.9日出售1头，750kg</t>
        </r>
      </text>
    </comment>
    <comment ref="M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22头30天饲养日+1头*19日</t>
        </r>
      </text>
    </comment>
    <comment ref="N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期末总重量=群体称重+期间出售牛只重量</t>
        </r>
      </text>
    </comment>
    <comment ref="O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期间日均增重=（期末总重-期初总重）/群体饲养头天</t>
        </r>
      </text>
    </comment>
    <comment ref="P9" authorId="0">
      <text>
        <r>
          <rPr>
            <b/>
            <sz val="9"/>
            <rFont val="宋体"/>
            <charset val="134"/>
          </rPr>
          <t>4月7日出售1头，重量750kg</t>
        </r>
      </text>
    </comment>
    <comment ref="R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月末称重+出售牛重量</t>
        </r>
      </text>
    </comment>
    <comment ref="T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4月26日出售1头750kg.
4月28日1头转公牛转群母牛，300kg</t>
        </r>
      </text>
    </comment>
    <comment ref="AB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2022.7.13出售一头（A2035）体重
800kg</t>
        </r>
      </text>
    </comment>
    <comment ref="AN9" authorId="0">
      <text>
        <r>
          <rPr>
            <b/>
            <sz val="9"/>
            <rFont val="宋体"/>
            <charset val="134"/>
          </rPr>
          <t>个人用户:
2022.10.10出售一头（A09），总重880kg</t>
        </r>
      </text>
    </comment>
    <comment ref="AR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2022.11.01出售两头，总重1530kg。</t>
        </r>
      </text>
    </comment>
    <comment ref="AZ9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年度增重计算公式：年度总增重 = （期末称重 + 期间出售总重 - 期初称重）/ 期间总饲养头.天</t>
        </r>
      </text>
    </comment>
    <comment ref="A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2022.5.31新增转群安格斯公牛育肥牛群17头。</t>
        </r>
      </text>
    </comment>
    <comment ref="Y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本批次安格斯公牛自2022年5月31日转群17头，5月31日-6月20日按照20个饲养日计算=17*20</t>
        </r>
      </text>
    </comment>
    <comment ref="AF1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2022.8.10因热射病安格斯公牛A2111死亡/无害化处理，体重360kg</t>
        </r>
      </text>
    </comment>
    <comment ref="L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3月16日出售39头，总重23700</t>
        </r>
      </text>
    </comment>
    <comment ref="P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4月10日出售1头550kg；
4月14日出售26头，15900kg；
4月15日出售25头，15150kg
4月15日淘汰1头，400kg;</t>
        </r>
      </text>
    </comment>
    <comment ref="AZ13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外购西杂育肥公牛群在3月16日出售部分牛群之后，因牛群数量减少，出于生产管理需要，将三景和本部外购牛群合并饲养，所以在此不再将三景和本部外购育肥牛群分开计算。</t>
        </r>
      </text>
    </comment>
    <comment ref="H15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1月24出售4头，2550kg；
1月26出售1头675kg
1月28日胀气屠宰1头445kg</t>
        </r>
      </text>
    </comment>
    <comment ref="AB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2022.7.13出售一头，体重600kg</t>
        </r>
      </text>
    </comment>
    <comment ref="AF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2022.8.5出售一头，750kg</t>
        </r>
      </text>
    </comment>
    <comment ref="AJ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2022.9.05出售富翔公牛十头，总重6400kg；
2022.9.07出售富翔公牛五头，总重3200kg；
2022.9.08出售富翔公牛一头，总重650kg；
2022.9.09出售富翔公牛七头，总重4100kg；
2022.9.12出售富翔公牛五头，总重3143kg；
2022.9.14出售富翔公牛六头，总重3600kg；
8.20-9.20期间出售34头总重量：21093kg；</t>
        </r>
      </text>
    </comment>
    <comment ref="AM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同上，外购牛群因外界气温和多次驱赶牛群引起应激反应导致增重减缓，同时，因为外购牛群的出售时间跨度较大，不是整进整出，每次出售都是挑大个体，剩下的基本上都是生产性能稍差的牛只，所以8.20-9.20期间的增重较其他期间出现较大的区别。但请看1.20-9.20之间牛群整体增重仍然达标。</t>
        </r>
      </text>
    </comment>
    <comment ref="AN17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2022.9.29出售两头，总重1250kg
2022.10.05出售一头，总重483kg
</t>
        </r>
      </text>
    </comment>
  </commentList>
</comments>
</file>

<file path=xl/sharedStrings.xml><?xml version="1.0" encoding="utf-8"?>
<sst xmlns="http://schemas.openxmlformats.org/spreadsheetml/2006/main" count="88" uniqueCount="39">
  <si>
    <t>2022年育肥牛称重统计表</t>
  </si>
  <si>
    <t>存货名称</t>
  </si>
  <si>
    <t>年度增重总计</t>
  </si>
  <si>
    <t>分类</t>
  </si>
  <si>
    <t>数量（头）</t>
  </si>
  <si>
    <t>饲养头天（头/天）</t>
  </si>
  <si>
    <t>重量（KG）</t>
  </si>
  <si>
    <t>头均日增重（kg）</t>
  </si>
  <si>
    <t>数量  （头）</t>
  </si>
  <si>
    <t>重量 （KG）</t>
  </si>
  <si>
    <t>1.20-12.20期间平均增重（kg/头.天)</t>
  </si>
  <si>
    <t>自繁黄牛</t>
  </si>
  <si>
    <t>黄育肥牛</t>
  </si>
  <si>
    <t>黄育肥牛3-45头</t>
  </si>
  <si>
    <t>黄育肥牛      （2021下半年）</t>
  </si>
  <si>
    <t>自繁西杂</t>
  </si>
  <si>
    <t xml:space="preserve">   西杂育肥牛  （2020-2021上半年）</t>
  </si>
  <si>
    <t>2020.2021年自繁西杂公牛</t>
  </si>
  <si>
    <t>期末实际存栏重*</t>
  </si>
  <si>
    <t xml:space="preserve">   西杂育肥牛  （2021下半年）</t>
  </si>
  <si>
    <t>安格斯</t>
  </si>
  <si>
    <t>安格斯育肥牛</t>
  </si>
  <si>
    <t>自产安格斯公牛</t>
  </si>
  <si>
    <t>自繁安格斯</t>
  </si>
  <si>
    <t>安格斯育肥牛   （2021下半年）</t>
  </si>
  <si>
    <t>本部       （富翔+圣喜）</t>
  </si>
  <si>
    <t>本部（富翔+圣喜）</t>
  </si>
  <si>
    <t>外购育肥牛</t>
  </si>
  <si>
    <t>三景       （富翔+圣喜）</t>
  </si>
  <si>
    <t>三景（富翔+圣喜）</t>
  </si>
  <si>
    <t>外购育肥牛第2批</t>
  </si>
  <si>
    <t>外购合并</t>
  </si>
  <si>
    <t>外购西杂合并（本部+三景）</t>
  </si>
  <si>
    <t>合计</t>
  </si>
  <si>
    <t xml:space="preserve">         场长：</t>
  </si>
  <si>
    <t xml:space="preserve">                      </t>
  </si>
  <si>
    <t>副场长：</t>
  </si>
  <si>
    <t>制表人：</t>
  </si>
  <si>
    <t xml:space="preserve"> 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</si>
</sst>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"/>
  </numFmts>
  <fonts count="3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8" fillId="0" borderId="0"/>
  </cellStyleXfs>
  <cellXfs count="9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2" borderId="3" xfId="0" applyNumberFormat="1" applyFill="1" applyBorder="1" applyAlignment="1">
      <alignment horizontal="center" vertical="center"/>
    </xf>
    <xf numFmtId="58" fontId="0" fillId="5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58" fontId="0" fillId="5" borderId="3" xfId="0" applyNumberFormat="1" applyFill="1" applyBorder="1" applyAlignment="1">
      <alignment horizontal="center" vertical="center"/>
    </xf>
    <xf numFmtId="58" fontId="0" fillId="5" borderId="4" xfId="0" applyNumberFormat="1" applyFill="1" applyBorder="1" applyAlignment="1">
      <alignment horizontal="center" vertical="center"/>
    </xf>
    <xf numFmtId="58" fontId="0" fillId="2" borderId="4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>
      <alignment vertical="center"/>
    </xf>
    <xf numFmtId="0" fontId="0" fillId="0" borderId="7" xfId="0" applyBorder="1" applyAlignment="1">
      <alignment vertical="center"/>
    </xf>
    <xf numFmtId="1" fontId="0" fillId="0" borderId="0" xfId="0" applyNumberFormat="1">
      <alignment vertical="center"/>
    </xf>
    <xf numFmtId="1" fontId="0" fillId="2" borderId="0" xfId="0" applyNumberFormat="1" applyFill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0" fillId="3" borderId="1" xfId="0" applyNumberFormat="1" applyFill="1" applyBorder="1">
      <alignment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3" fillId="4" borderId="1" xfId="0" applyNumberFormat="1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>
      <alignment vertical="center"/>
    </xf>
    <xf numFmtId="2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3"/>
  <sheetViews>
    <sheetView tabSelected="1" workbookViewId="0">
      <pane xSplit="2" ySplit="3" topLeftCell="AJ4" activePane="bottomRight" state="frozen"/>
      <selection/>
      <selection pane="topRight"/>
      <selection pane="bottomLeft"/>
      <selection pane="bottomRight" activeCell="BC10" sqref="BC10"/>
    </sheetView>
  </sheetViews>
  <sheetFormatPr defaultColWidth="9" defaultRowHeight="13.5"/>
  <cols>
    <col min="1" max="1" width="11.125" customWidth="1"/>
    <col min="2" max="2" width="21.375" customWidth="1"/>
    <col min="3" max="3" width="0.125" customWidth="1"/>
    <col min="4" max="4" width="7.125" hidden="1" customWidth="1"/>
    <col min="5" max="5" width="10.875" customWidth="1"/>
    <col min="6" max="6" width="7.25" customWidth="1"/>
    <col min="7" max="7" width="9.125" customWidth="1"/>
    <col min="8" max="8" width="7.125" customWidth="1"/>
    <col min="9" max="9" width="10" customWidth="1"/>
    <col min="10" max="10" width="7.375" customWidth="1"/>
    <col min="11" max="11" width="9.125" customWidth="1"/>
    <col min="12" max="12" width="7.125" customWidth="1"/>
    <col min="13" max="13" width="10" customWidth="1"/>
    <col min="14" max="14" width="7.375" customWidth="1"/>
    <col min="15" max="15" width="9.125" customWidth="1"/>
    <col min="16" max="16" width="7.125" customWidth="1"/>
    <col min="17" max="17" width="10" customWidth="1"/>
    <col min="18" max="18" width="7.375" customWidth="1"/>
    <col min="19" max="19" width="9.125" customWidth="1"/>
    <col min="20" max="20" width="7.125" customWidth="1"/>
    <col min="21" max="21" width="10" customWidth="1"/>
    <col min="22" max="22" width="7.375" customWidth="1"/>
    <col min="23" max="23" width="9.125" customWidth="1"/>
    <col min="24" max="24" width="7.125" customWidth="1"/>
    <col min="25" max="25" width="10" customWidth="1"/>
    <col min="26" max="26" width="7.25" customWidth="1"/>
    <col min="27" max="27" width="9.125" customWidth="1"/>
    <col min="28" max="28" width="6.375" customWidth="1"/>
    <col min="29" max="29" width="9.5" customWidth="1"/>
    <col min="30" max="31" width="8.25" customWidth="1"/>
    <col min="32" max="32" width="6.25" customWidth="1"/>
    <col min="33" max="33" width="9.125" customWidth="1"/>
    <col min="34" max="34" width="7.25" customWidth="1"/>
    <col min="35" max="35" width="8.625" customWidth="1"/>
    <col min="36" max="36" width="7.75" customWidth="1"/>
    <col min="37" max="37" width="10" customWidth="1"/>
    <col min="38" max="38" width="8.375" customWidth="1"/>
    <col min="39" max="51" width="9.125" customWidth="1"/>
    <col min="52" max="52" width="19" customWidth="1"/>
    <col min="53" max="53" width="12.625"/>
    <col min="56" max="56" width="12.625"/>
  </cols>
  <sheetData>
    <row r="1" ht="30" customHeight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20.25" customHeight="1" spans="1:52">
      <c r="A2" s="2" t="s">
        <v>1</v>
      </c>
      <c r="B2" s="2"/>
      <c r="C2" s="3"/>
      <c r="D2" s="4">
        <v>44581</v>
      </c>
      <c r="E2" s="5"/>
      <c r="F2" s="5"/>
      <c r="G2" s="6"/>
      <c r="H2" s="7">
        <v>44612</v>
      </c>
      <c r="I2" s="39"/>
      <c r="J2" s="39"/>
      <c r="K2" s="40"/>
      <c r="L2" s="4">
        <v>44640</v>
      </c>
      <c r="M2" s="5"/>
      <c r="N2" s="5"/>
      <c r="O2" s="6"/>
      <c r="P2" s="7">
        <v>44671</v>
      </c>
      <c r="Q2" s="47"/>
      <c r="R2" s="47"/>
      <c r="S2" s="48"/>
      <c r="T2" s="4">
        <v>44707</v>
      </c>
      <c r="U2" s="49"/>
      <c r="V2" s="49"/>
      <c r="W2" s="49"/>
      <c r="X2" s="50">
        <v>44732</v>
      </c>
      <c r="Y2" s="68"/>
      <c r="Z2" s="68"/>
      <c r="AA2" s="69"/>
      <c r="AB2" s="4">
        <v>44762</v>
      </c>
      <c r="AC2" s="49"/>
      <c r="AD2" s="49"/>
      <c r="AE2" s="70"/>
      <c r="AF2" s="50">
        <v>44793</v>
      </c>
      <c r="AG2" s="68"/>
      <c r="AH2" s="68"/>
      <c r="AI2" s="69"/>
      <c r="AJ2" s="4">
        <v>44824</v>
      </c>
      <c r="AK2" s="49"/>
      <c r="AL2" s="49"/>
      <c r="AM2" s="70"/>
      <c r="AN2" s="50">
        <v>44854</v>
      </c>
      <c r="AO2" s="68"/>
      <c r="AP2" s="68"/>
      <c r="AQ2" s="69"/>
      <c r="AR2" s="50">
        <v>44885</v>
      </c>
      <c r="AS2" s="68"/>
      <c r="AT2" s="68"/>
      <c r="AU2" s="69"/>
      <c r="AV2" s="50">
        <v>44915</v>
      </c>
      <c r="AW2" s="68"/>
      <c r="AX2" s="68"/>
      <c r="AY2" s="69"/>
      <c r="AZ2" s="93" t="s">
        <v>2</v>
      </c>
    </row>
    <row r="3" ht="37.5" customHeight="1" spans="1:52">
      <c r="A3" s="3" t="s">
        <v>3</v>
      </c>
      <c r="B3" s="8"/>
      <c r="C3" s="3"/>
      <c r="D3" s="9" t="s">
        <v>4</v>
      </c>
      <c r="E3" s="10" t="s">
        <v>5</v>
      </c>
      <c r="F3" s="9" t="s">
        <v>6</v>
      </c>
      <c r="G3" s="9" t="s">
        <v>7</v>
      </c>
      <c r="H3" s="11" t="s">
        <v>4</v>
      </c>
      <c r="I3" s="11" t="s">
        <v>5</v>
      </c>
      <c r="J3" s="11" t="s">
        <v>6</v>
      </c>
      <c r="K3" s="11" t="s">
        <v>7</v>
      </c>
      <c r="L3" s="9" t="s">
        <v>4</v>
      </c>
      <c r="M3" s="9" t="s">
        <v>5</v>
      </c>
      <c r="N3" s="9" t="s">
        <v>6</v>
      </c>
      <c r="O3" s="9" t="s">
        <v>7</v>
      </c>
      <c r="P3" s="11" t="s">
        <v>4</v>
      </c>
      <c r="Q3" s="11" t="s">
        <v>5</v>
      </c>
      <c r="R3" s="11" t="s">
        <v>6</v>
      </c>
      <c r="S3" s="11" t="s">
        <v>7</v>
      </c>
      <c r="T3" s="9" t="s">
        <v>4</v>
      </c>
      <c r="U3" s="9" t="s">
        <v>5</v>
      </c>
      <c r="V3" s="9" t="s">
        <v>6</v>
      </c>
      <c r="W3" s="51" t="s">
        <v>7</v>
      </c>
      <c r="X3" s="52" t="s">
        <v>8</v>
      </c>
      <c r="Y3" s="52" t="s">
        <v>5</v>
      </c>
      <c r="Z3" s="52" t="s">
        <v>9</v>
      </c>
      <c r="AA3" s="52" t="s">
        <v>7</v>
      </c>
      <c r="AB3" s="9" t="s">
        <v>8</v>
      </c>
      <c r="AC3" s="9" t="s">
        <v>5</v>
      </c>
      <c r="AD3" s="9" t="s">
        <v>9</v>
      </c>
      <c r="AE3" s="9" t="s">
        <v>7</v>
      </c>
      <c r="AF3" s="52" t="s">
        <v>8</v>
      </c>
      <c r="AG3" s="52" t="s">
        <v>5</v>
      </c>
      <c r="AH3" s="52" t="s">
        <v>9</v>
      </c>
      <c r="AI3" s="52" t="s">
        <v>7</v>
      </c>
      <c r="AJ3" s="9" t="s">
        <v>8</v>
      </c>
      <c r="AK3" s="9" t="s">
        <v>5</v>
      </c>
      <c r="AL3" s="9" t="s">
        <v>9</v>
      </c>
      <c r="AM3" s="9" t="s">
        <v>7</v>
      </c>
      <c r="AN3" s="52" t="s">
        <v>8</v>
      </c>
      <c r="AO3" s="52" t="s">
        <v>5</v>
      </c>
      <c r="AP3" s="52" t="s">
        <v>9</v>
      </c>
      <c r="AQ3" s="52" t="s">
        <v>7</v>
      </c>
      <c r="AR3" s="52" t="s">
        <v>8</v>
      </c>
      <c r="AS3" s="52" t="s">
        <v>5</v>
      </c>
      <c r="AT3" s="52" t="s">
        <v>9</v>
      </c>
      <c r="AU3" s="52" t="s">
        <v>7</v>
      </c>
      <c r="AV3" s="52" t="s">
        <v>8</v>
      </c>
      <c r="AW3" s="52" t="s">
        <v>5</v>
      </c>
      <c r="AX3" s="52" t="s">
        <v>9</v>
      </c>
      <c r="AY3" s="52" t="s">
        <v>7</v>
      </c>
      <c r="AZ3" s="94" t="s">
        <v>10</v>
      </c>
    </row>
    <row r="4" ht="23.25" customHeight="1" spans="1:52">
      <c r="A4" s="12" t="s">
        <v>11</v>
      </c>
      <c r="B4" s="13" t="s">
        <v>12</v>
      </c>
      <c r="C4" s="3" t="s">
        <v>13</v>
      </c>
      <c r="D4" s="14"/>
      <c r="E4" s="15"/>
      <c r="F4" s="14"/>
      <c r="G4" s="14"/>
      <c r="H4" s="2">
        <v>59</v>
      </c>
      <c r="I4" s="13"/>
      <c r="J4" s="2">
        <v>20161</v>
      </c>
      <c r="K4" s="2"/>
      <c r="L4" s="14">
        <v>59</v>
      </c>
      <c r="M4" s="15"/>
      <c r="N4" s="14">
        <v>21240</v>
      </c>
      <c r="O4" s="14"/>
      <c r="P4" s="2"/>
      <c r="Q4" s="13"/>
      <c r="R4" s="2"/>
      <c r="S4" s="2"/>
      <c r="T4" s="14"/>
      <c r="U4" s="15"/>
      <c r="V4" s="14"/>
      <c r="W4" s="53"/>
      <c r="X4" s="54"/>
      <c r="Y4" s="71"/>
      <c r="Z4" s="54"/>
      <c r="AA4" s="54"/>
      <c r="AB4" s="14"/>
      <c r="AC4" s="14"/>
      <c r="AD4" s="14"/>
      <c r="AE4" s="14"/>
      <c r="AF4" s="54"/>
      <c r="AG4" s="54"/>
      <c r="AH4" s="54"/>
      <c r="AI4" s="54"/>
      <c r="AJ4" s="14"/>
      <c r="AK4" s="14"/>
      <c r="AL4" s="14"/>
      <c r="AM4" s="14"/>
      <c r="AN4" s="54"/>
      <c r="AO4" s="54"/>
      <c r="AP4" s="54"/>
      <c r="AQ4" s="54"/>
      <c r="AR4" s="54"/>
      <c r="AS4" s="54"/>
      <c r="AT4" s="54"/>
      <c r="AU4" s="54"/>
      <c r="AV4" s="86"/>
      <c r="AW4" s="54"/>
      <c r="AX4" s="54"/>
      <c r="AY4" s="54"/>
      <c r="AZ4" s="95"/>
    </row>
    <row r="5" ht="32.25" customHeight="1" spans="1:52">
      <c r="A5" s="16" t="s">
        <v>11</v>
      </c>
      <c r="B5" s="17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4">
        <v>38</v>
      </c>
      <c r="U5" s="18"/>
      <c r="V5" s="24">
        <v>4799</v>
      </c>
      <c r="W5" s="18"/>
      <c r="X5" s="24">
        <v>38</v>
      </c>
      <c r="Y5" s="25">
        <f>(X5*20)</f>
        <v>760</v>
      </c>
      <c r="Z5" s="24">
        <v>5242</v>
      </c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87"/>
      <c r="AW5" s="72"/>
      <c r="AX5" s="72"/>
      <c r="AY5" s="72"/>
      <c r="AZ5" s="96"/>
    </row>
    <row r="6" ht="29.25" customHeight="1" spans="1:54">
      <c r="A6" s="19" t="s">
        <v>15</v>
      </c>
      <c r="B6" s="20" t="s">
        <v>16</v>
      </c>
      <c r="C6" s="12" t="s">
        <v>17</v>
      </c>
      <c r="D6" s="14">
        <v>37</v>
      </c>
      <c r="E6" s="15"/>
      <c r="F6" s="14">
        <v>12850</v>
      </c>
      <c r="G6" s="14"/>
      <c r="H6" s="2">
        <v>37</v>
      </c>
      <c r="I6" s="13">
        <f>H6*30</f>
        <v>1110</v>
      </c>
      <c r="J6" s="41">
        <f>14189+14189/36</f>
        <v>14583.1388888889</v>
      </c>
      <c r="K6" s="41">
        <f>(J6-F6)/I6</f>
        <v>1.56138638638639</v>
      </c>
      <c r="L6" s="14">
        <v>37</v>
      </c>
      <c r="M6" s="15">
        <f>L6*30</f>
        <v>1110</v>
      </c>
      <c r="N6" s="42">
        <f>15345+15345/36</f>
        <v>15771.25</v>
      </c>
      <c r="O6" s="42">
        <f>(N6-J6)/M6</f>
        <v>1.07037037037037</v>
      </c>
      <c r="P6" s="2">
        <v>37</v>
      </c>
      <c r="Q6" s="13">
        <f>P6*30</f>
        <v>1110</v>
      </c>
      <c r="R6" s="2">
        <v>16960</v>
      </c>
      <c r="S6" s="55">
        <f>(R6-N6)/Q6</f>
        <v>1.07094594594595</v>
      </c>
      <c r="T6" s="14">
        <v>37</v>
      </c>
      <c r="U6" s="15">
        <f>T6*36</f>
        <v>1332</v>
      </c>
      <c r="V6" s="14">
        <v>18335</v>
      </c>
      <c r="W6" s="56">
        <f>(V6-R6)/U6</f>
        <v>1.03228228228228</v>
      </c>
      <c r="X6" s="57">
        <v>37</v>
      </c>
      <c r="Y6" s="73">
        <f>X6*24</f>
        <v>888</v>
      </c>
      <c r="Z6" s="57">
        <v>19221</v>
      </c>
      <c r="AA6" s="62">
        <f>(Z6-V6)/Y6</f>
        <v>0.997747747747748</v>
      </c>
      <c r="AB6" s="42">
        <v>37</v>
      </c>
      <c r="AC6" s="74">
        <f>AB6*30</f>
        <v>1110</v>
      </c>
      <c r="AD6" s="42">
        <v>20336</v>
      </c>
      <c r="AE6" s="45">
        <f>(AD6-Z6)/AC6</f>
        <v>1.0045045045045</v>
      </c>
      <c r="AF6" s="57">
        <v>37</v>
      </c>
      <c r="AG6" s="57">
        <f>AF6*30</f>
        <v>1110</v>
      </c>
      <c r="AH6" s="57">
        <v>21460</v>
      </c>
      <c r="AI6" s="62">
        <f>(AH6-AD6)/AG6</f>
        <v>1.01261261261261</v>
      </c>
      <c r="AJ6" s="42">
        <v>33</v>
      </c>
      <c r="AK6" s="42">
        <f>AJ6*30+1*4+2*22+1*24</f>
        <v>1062</v>
      </c>
      <c r="AL6" s="83">
        <f>AL7+600+1257+600</f>
        <v>21777</v>
      </c>
      <c r="AM6" s="45">
        <f>(AL6-AH6)/AK6</f>
        <v>0.2984934086629</v>
      </c>
      <c r="AN6" s="57">
        <v>31</v>
      </c>
      <c r="AO6" s="57">
        <f>AN6*30+2*9</f>
        <v>948</v>
      </c>
      <c r="AP6" s="57">
        <f>AP7+966</f>
        <v>20216</v>
      </c>
      <c r="AQ6" s="62">
        <f>(AP6-AL7)/AO6</f>
        <v>0.945147679324895</v>
      </c>
      <c r="AR6" s="57">
        <v>31</v>
      </c>
      <c r="AS6" s="57">
        <f>AR6*30</f>
        <v>930</v>
      </c>
      <c r="AT6" s="57">
        <v>20168</v>
      </c>
      <c r="AU6" s="62">
        <f>(AT6-AP7)/AS6</f>
        <v>0.987096774193548</v>
      </c>
      <c r="AV6" s="86">
        <v>22</v>
      </c>
      <c r="AW6" s="57">
        <f>22*30+5*26+4*21</f>
        <v>874</v>
      </c>
      <c r="AX6" s="57">
        <f>AX7+2780+3370</f>
        <v>21028</v>
      </c>
      <c r="AY6" s="62">
        <f>(AX6-AT6)/AW6</f>
        <v>0.983981693363844</v>
      </c>
      <c r="AZ6" s="97">
        <f>(AX7+600+1257+600+966+2780+3370-F6)/(I6+M6+Q6+U6+Y6+AC6+AG6+AK6+AO6+AS6+AW6)</f>
        <v>1.00146754143646</v>
      </c>
      <c r="BB6" s="82"/>
    </row>
    <row r="7" ht="23.25" customHeight="1" spans="1:55">
      <c r="A7" s="21"/>
      <c r="B7" s="22" t="s">
        <v>18</v>
      </c>
      <c r="C7" s="12"/>
      <c r="D7" s="14"/>
      <c r="E7" s="15"/>
      <c r="F7" s="14"/>
      <c r="G7" s="14"/>
      <c r="H7" s="2"/>
      <c r="I7" s="13"/>
      <c r="J7" s="41"/>
      <c r="K7" s="41"/>
      <c r="L7" s="14"/>
      <c r="M7" s="15"/>
      <c r="N7" s="42"/>
      <c r="O7" s="42"/>
      <c r="P7" s="2"/>
      <c r="Q7" s="13"/>
      <c r="R7" s="2"/>
      <c r="S7" s="55"/>
      <c r="T7" s="14"/>
      <c r="U7" s="15"/>
      <c r="V7" s="14"/>
      <c r="W7" s="56"/>
      <c r="X7" s="57"/>
      <c r="Y7" s="73"/>
      <c r="Z7" s="57"/>
      <c r="AA7" s="62"/>
      <c r="AB7" s="42"/>
      <c r="AC7" s="74"/>
      <c r="AD7" s="42"/>
      <c r="AE7" s="45"/>
      <c r="AF7" s="57"/>
      <c r="AG7" s="57"/>
      <c r="AH7" s="57"/>
      <c r="AI7" s="62"/>
      <c r="AJ7" s="42"/>
      <c r="AK7" s="45"/>
      <c r="AL7" s="84">
        <v>19320</v>
      </c>
      <c r="AM7" s="45"/>
      <c r="AN7" s="62"/>
      <c r="AO7" s="62"/>
      <c r="AP7" s="76">
        <v>19250</v>
      </c>
      <c r="AQ7" s="62"/>
      <c r="AR7" s="62"/>
      <c r="AS7" s="62"/>
      <c r="AT7" s="62"/>
      <c r="AU7" s="62"/>
      <c r="AV7" s="86"/>
      <c r="AW7" s="62"/>
      <c r="AX7" s="57">
        <v>14878</v>
      </c>
      <c r="AY7" s="62"/>
      <c r="AZ7" s="97"/>
      <c r="BC7" s="82"/>
    </row>
    <row r="8" ht="26.25" customHeight="1" spans="1:52">
      <c r="A8" s="16" t="s">
        <v>15</v>
      </c>
      <c r="B8" s="23" t="s">
        <v>19</v>
      </c>
      <c r="C8" s="16"/>
      <c r="D8" s="24"/>
      <c r="E8" s="25"/>
      <c r="F8" s="24"/>
      <c r="G8" s="24"/>
      <c r="H8" s="24"/>
      <c r="I8" s="25"/>
      <c r="J8" s="43"/>
      <c r="K8" s="43"/>
      <c r="L8" s="24"/>
      <c r="M8" s="25"/>
      <c r="N8" s="43"/>
      <c r="O8" s="43"/>
      <c r="P8" s="24"/>
      <c r="Q8" s="25"/>
      <c r="R8" s="24"/>
      <c r="S8" s="58"/>
      <c r="T8" s="24">
        <v>38</v>
      </c>
      <c r="U8" s="25"/>
      <c r="V8" s="24">
        <v>6787</v>
      </c>
      <c r="W8" s="59"/>
      <c r="X8" s="43">
        <v>38</v>
      </c>
      <c r="Y8" s="75">
        <f>X8*20</f>
        <v>760</v>
      </c>
      <c r="Z8" s="43">
        <v>7561</v>
      </c>
      <c r="AA8" s="72">
        <f>(Z8-V8)/Y8</f>
        <v>1.01842105263158</v>
      </c>
      <c r="AB8" s="43">
        <v>38</v>
      </c>
      <c r="AC8" s="75">
        <f>AB8*30</f>
        <v>1140</v>
      </c>
      <c r="AD8" s="43">
        <v>8708</v>
      </c>
      <c r="AE8" s="72">
        <f>(AD8-Z8)/AC8</f>
        <v>1.00614035087719</v>
      </c>
      <c r="AF8" s="43">
        <v>38</v>
      </c>
      <c r="AG8" s="43">
        <f>AF8*30</f>
        <v>1140</v>
      </c>
      <c r="AH8" s="43">
        <v>9850</v>
      </c>
      <c r="AI8" s="72">
        <f>(AH8-AD8)/AG8</f>
        <v>1.00175438596491</v>
      </c>
      <c r="AJ8" s="72">
        <v>38</v>
      </c>
      <c r="AK8" s="43">
        <f>AJ8*30</f>
        <v>1140</v>
      </c>
      <c r="AL8" s="43">
        <v>11000</v>
      </c>
      <c r="AM8" s="72">
        <f>(AL8-AH8)/AK8</f>
        <v>1.00877192982456</v>
      </c>
      <c r="AN8" s="43">
        <v>38</v>
      </c>
      <c r="AO8" s="43">
        <f>AN8*30</f>
        <v>1140</v>
      </c>
      <c r="AP8" s="43">
        <v>12100</v>
      </c>
      <c r="AQ8" s="72">
        <f>(AP8-AL8)/AO8</f>
        <v>0.964912280701754</v>
      </c>
      <c r="AR8" s="43">
        <v>38</v>
      </c>
      <c r="AS8" s="43">
        <f>AR8*30</f>
        <v>1140</v>
      </c>
      <c r="AT8" s="43">
        <v>13260</v>
      </c>
      <c r="AU8" s="72">
        <f>(AT8-AP8)/AS8</f>
        <v>1.01754385964912</v>
      </c>
      <c r="AV8" s="87">
        <v>38</v>
      </c>
      <c r="AW8" s="43">
        <f>AV8*30</f>
        <v>1140</v>
      </c>
      <c r="AX8" s="43">
        <v>14383</v>
      </c>
      <c r="AY8" s="72">
        <f>(AX8-AT8)/AW8</f>
        <v>0.985087719298246</v>
      </c>
      <c r="AZ8" s="97">
        <f>(AX8-V8)/(Y8+AC8+AG8+AK8+AO8+AS8+AW8)</f>
        <v>0.999473684210526</v>
      </c>
    </row>
    <row r="9" ht="23.25" customHeight="1" spans="1:52">
      <c r="A9" s="26" t="s">
        <v>20</v>
      </c>
      <c r="B9" s="8" t="s">
        <v>21</v>
      </c>
      <c r="C9" s="3" t="s">
        <v>22</v>
      </c>
      <c r="D9" s="14">
        <v>23</v>
      </c>
      <c r="E9" s="15"/>
      <c r="F9" s="14">
        <v>10838</v>
      </c>
      <c r="G9" s="14"/>
      <c r="H9" s="2">
        <v>23</v>
      </c>
      <c r="I9" s="13">
        <f>23*30</f>
        <v>690</v>
      </c>
      <c r="J9" s="2">
        <v>11630</v>
      </c>
      <c r="K9" s="44">
        <f>(J9-F9)/I9</f>
        <v>1.14782608695652</v>
      </c>
      <c r="L9" s="14">
        <v>22</v>
      </c>
      <c r="M9" s="15">
        <f>L9*30+1*19</f>
        <v>679</v>
      </c>
      <c r="N9" s="14">
        <f>11572+750</f>
        <v>12322</v>
      </c>
      <c r="O9" s="45">
        <f>(N9-J9)/M9</f>
        <v>1.01914580265096</v>
      </c>
      <c r="P9" s="2">
        <v>21</v>
      </c>
      <c r="Q9" s="13">
        <f>20*30+1*17</f>
        <v>617</v>
      </c>
      <c r="R9" s="41">
        <f>11450+750</f>
        <v>12200</v>
      </c>
      <c r="S9" s="44">
        <f>(R9-N10)/Q9</f>
        <v>1.01782820097245</v>
      </c>
      <c r="T9" s="14">
        <v>19</v>
      </c>
      <c r="U9" s="15">
        <f>19*36+1*6+1*8</f>
        <v>698</v>
      </c>
      <c r="V9" s="14">
        <f>11128+750+300</f>
        <v>12178</v>
      </c>
      <c r="W9" s="56">
        <f>(V9-R10)/U9</f>
        <v>1.04297994269341</v>
      </c>
      <c r="X9" s="57">
        <v>19</v>
      </c>
      <c r="Y9" s="73">
        <f>X9*24</f>
        <v>456</v>
      </c>
      <c r="Z9" s="57">
        <v>11586</v>
      </c>
      <c r="AA9" s="62">
        <f>(Z9-V10)/Y9</f>
        <v>1.00438596491228</v>
      </c>
      <c r="AB9" s="42">
        <v>18</v>
      </c>
      <c r="AC9" s="74">
        <f>18*30+1*23</f>
        <v>563</v>
      </c>
      <c r="AD9" s="42">
        <f>AD10+800</f>
        <v>12152</v>
      </c>
      <c r="AE9" s="45">
        <f>(AD9-Z9)/AC9</f>
        <v>1.00532859680284</v>
      </c>
      <c r="AF9" s="57">
        <v>18</v>
      </c>
      <c r="AG9" s="57">
        <f>AF9*30</f>
        <v>540</v>
      </c>
      <c r="AH9" s="57">
        <v>11892</v>
      </c>
      <c r="AI9" s="62">
        <f>(AH9-AD10)/AG9</f>
        <v>1</v>
      </c>
      <c r="AJ9" s="42">
        <v>18</v>
      </c>
      <c r="AK9" s="42">
        <f>AJ9*30</f>
        <v>540</v>
      </c>
      <c r="AL9" s="42">
        <v>12260</v>
      </c>
      <c r="AM9" s="45">
        <f>(AL9-AH9)/AK9</f>
        <v>0.681481481481481</v>
      </c>
      <c r="AN9" s="57">
        <v>17</v>
      </c>
      <c r="AO9" s="57">
        <f>AN9*30+1*20</f>
        <v>530</v>
      </c>
      <c r="AP9" s="57">
        <f>AP10+880</f>
        <v>12910</v>
      </c>
      <c r="AQ9" s="62">
        <f>(AP9-AL9)/AO9</f>
        <v>1.22641509433962</v>
      </c>
      <c r="AR9" s="57">
        <v>15</v>
      </c>
      <c r="AS9" s="57">
        <f>AR9*30+2*21</f>
        <v>492</v>
      </c>
      <c r="AT9" s="57">
        <v>12450</v>
      </c>
      <c r="AU9" s="62">
        <f>(AT9-AP10)/AS9</f>
        <v>0.853658536585366</v>
      </c>
      <c r="AV9" s="86">
        <v>15</v>
      </c>
      <c r="AW9" s="57">
        <f>AV9*30</f>
        <v>450</v>
      </c>
      <c r="AX9" s="57">
        <v>12773</v>
      </c>
      <c r="AY9" s="62">
        <f>(AX9-AT9)/AW9</f>
        <v>0.717777777777778</v>
      </c>
      <c r="AZ9" s="97">
        <f>(AX9+1050+750+750+800+880+1530-F9)/(U9+Q9+M9+I9+Y9+AC9+AG9+AK9+AO9+AS9+AW9)</f>
        <v>1.23021582733813</v>
      </c>
    </row>
    <row r="10" ht="19.5" customHeight="1" spans="1:52">
      <c r="A10" s="27"/>
      <c r="B10" s="22" t="s">
        <v>18</v>
      </c>
      <c r="C10" s="28"/>
      <c r="D10" s="29"/>
      <c r="E10" s="29"/>
      <c r="F10" s="29"/>
      <c r="G10" s="29"/>
      <c r="H10" s="30"/>
      <c r="I10" s="30"/>
      <c r="J10" s="30"/>
      <c r="K10" s="30"/>
      <c r="L10" s="29"/>
      <c r="M10" s="29"/>
      <c r="N10" s="29">
        <f>N9-750</f>
        <v>11572</v>
      </c>
      <c r="O10" s="29"/>
      <c r="P10" s="30"/>
      <c r="Q10" s="30"/>
      <c r="R10" s="60">
        <f>R9-750</f>
        <v>11450</v>
      </c>
      <c r="S10" s="30"/>
      <c r="T10" s="29"/>
      <c r="U10" s="29"/>
      <c r="V10" s="29">
        <f>V9-750-300</f>
        <v>11128</v>
      </c>
      <c r="W10" s="61"/>
      <c r="X10" s="54"/>
      <c r="Y10" s="71"/>
      <c r="Z10" s="76"/>
      <c r="AA10" s="54"/>
      <c r="AB10" s="14"/>
      <c r="AC10" s="14"/>
      <c r="AD10" s="77">
        <v>11352</v>
      </c>
      <c r="AE10" s="14"/>
      <c r="AF10" s="54"/>
      <c r="AG10" s="54"/>
      <c r="AH10" s="54"/>
      <c r="AI10" s="54"/>
      <c r="AJ10" s="14"/>
      <c r="AK10" s="14"/>
      <c r="AL10" s="14"/>
      <c r="AM10" s="14"/>
      <c r="AN10" s="54"/>
      <c r="AO10" s="54"/>
      <c r="AP10" s="88">
        <v>12030</v>
      </c>
      <c r="AQ10" s="54"/>
      <c r="AR10" s="54"/>
      <c r="AS10" s="54"/>
      <c r="AT10" s="76">
        <v>10920</v>
      </c>
      <c r="AU10" s="54"/>
      <c r="AV10" s="86"/>
      <c r="AW10" s="54"/>
      <c r="AX10" s="54"/>
      <c r="AY10" s="54"/>
      <c r="AZ10" s="95"/>
    </row>
    <row r="11" ht="25.5" customHeight="1" spans="1:55">
      <c r="A11" s="31" t="s">
        <v>23</v>
      </c>
      <c r="B11" s="17" t="s">
        <v>24</v>
      </c>
      <c r="C11" s="16"/>
      <c r="D11" s="24"/>
      <c r="E11" s="25"/>
      <c r="F11" s="24"/>
      <c r="G11" s="24"/>
      <c r="H11" s="24"/>
      <c r="I11" s="25"/>
      <c r="J11" s="43"/>
      <c r="K11" s="43"/>
      <c r="L11" s="24"/>
      <c r="M11" s="25"/>
      <c r="N11" s="43"/>
      <c r="O11" s="43"/>
      <c r="P11" s="24"/>
      <c r="Q11" s="25"/>
      <c r="R11" s="24"/>
      <c r="S11" s="58"/>
      <c r="T11" s="24">
        <v>17</v>
      </c>
      <c r="U11" s="25"/>
      <c r="V11" s="24">
        <v>3007</v>
      </c>
      <c r="W11" s="59"/>
      <c r="X11" s="43">
        <v>17</v>
      </c>
      <c r="Y11" s="75">
        <f>X11*20</f>
        <v>340</v>
      </c>
      <c r="Z11" s="43">
        <v>3351</v>
      </c>
      <c r="AA11" s="72">
        <f>(Z11-V11)/Y11</f>
        <v>1.01176470588235</v>
      </c>
      <c r="AB11" s="43">
        <v>17</v>
      </c>
      <c r="AC11" s="75">
        <f>AB11*30</f>
        <v>510</v>
      </c>
      <c r="AD11" s="43">
        <v>3871</v>
      </c>
      <c r="AE11" s="72">
        <f>(AD11-Z11)/AC11</f>
        <v>1.01960784313725</v>
      </c>
      <c r="AF11" s="43">
        <v>16</v>
      </c>
      <c r="AG11" s="43">
        <f>16*30+1*20</f>
        <v>500</v>
      </c>
      <c r="AH11" s="43">
        <v>4380</v>
      </c>
      <c r="AI11" s="72">
        <f>(AH11-AD11)/AG11</f>
        <v>1.018</v>
      </c>
      <c r="AJ11" s="43">
        <v>16</v>
      </c>
      <c r="AK11" s="43">
        <f>AJ11*30</f>
        <v>480</v>
      </c>
      <c r="AL11" s="43">
        <v>4498</v>
      </c>
      <c r="AM11" s="72">
        <f>(AL11-AH12)/AK11</f>
        <v>0.995833333333333</v>
      </c>
      <c r="AN11" s="43">
        <v>16</v>
      </c>
      <c r="AO11" s="43">
        <f>16*30</f>
        <v>480</v>
      </c>
      <c r="AP11" s="43">
        <v>5010</v>
      </c>
      <c r="AQ11" s="72">
        <f>(AP11-AL11)/AO11</f>
        <v>1.06666666666667</v>
      </c>
      <c r="AR11" s="43">
        <v>16</v>
      </c>
      <c r="AS11" s="43">
        <f>AR11*30</f>
        <v>480</v>
      </c>
      <c r="AT11" s="43">
        <v>5500</v>
      </c>
      <c r="AU11" s="72">
        <f>(AT11-AP11)/AS11</f>
        <v>1.02083333333333</v>
      </c>
      <c r="AV11" s="87">
        <v>16</v>
      </c>
      <c r="AW11" s="43">
        <f>AV11*30</f>
        <v>480</v>
      </c>
      <c r="AX11" s="43">
        <v>6012</v>
      </c>
      <c r="AY11" s="72">
        <f>(AX11-AT11)/AW11</f>
        <v>1.06666666666667</v>
      </c>
      <c r="AZ11" s="97">
        <f>(AX11+360-V11)/(Y11+AC11+AG11+AK11+AO11+AS11+AW11)</f>
        <v>1.02905198776758</v>
      </c>
      <c r="BC11" s="82"/>
    </row>
    <row r="12" ht="23.25" customHeight="1" spans="1:54">
      <c r="A12" s="32"/>
      <c r="B12" s="33" t="s">
        <v>18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5">
        <f>AH11-360</f>
        <v>4020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89"/>
      <c r="AW12" s="18"/>
      <c r="AX12" s="18"/>
      <c r="AY12" s="18"/>
      <c r="AZ12" s="97"/>
      <c r="BB12" s="82"/>
    </row>
    <row r="13" ht="23.25" customHeight="1" spans="1:55">
      <c r="A13" s="11" t="s">
        <v>25</v>
      </c>
      <c r="B13" s="8" t="s">
        <v>26</v>
      </c>
      <c r="C13" s="3" t="s">
        <v>27</v>
      </c>
      <c r="D13" s="14">
        <v>95</v>
      </c>
      <c r="E13" s="15"/>
      <c r="F13" s="14">
        <v>41594</v>
      </c>
      <c r="G13" s="14"/>
      <c r="H13" s="2">
        <v>95</v>
      </c>
      <c r="I13" s="13">
        <f>H13*30</f>
        <v>2850</v>
      </c>
      <c r="J13" s="2">
        <v>44539</v>
      </c>
      <c r="K13" s="44">
        <f>(J13-F13)/I13</f>
        <v>1.03333333333333</v>
      </c>
      <c r="L13" s="14">
        <v>56</v>
      </c>
      <c r="M13" s="15">
        <f>56*30+39*26</f>
        <v>2694</v>
      </c>
      <c r="N13" s="14">
        <f>23555+23700</f>
        <v>47255</v>
      </c>
      <c r="O13" s="45">
        <f>(N13-J13)/M13</f>
        <v>1.00816629547142</v>
      </c>
      <c r="P13" s="2">
        <v>87</v>
      </c>
      <c r="Q13" s="13">
        <f>87*30+1*20+26*24+25*25+1*25</f>
        <v>3904</v>
      </c>
      <c r="R13" s="2">
        <f>41550+550+7900+8000+7050+8100+400</f>
        <v>73550</v>
      </c>
      <c r="S13" s="44">
        <f>(R13-N14-N16)/Q13</f>
        <v>1.02715163934426</v>
      </c>
      <c r="T13" s="14"/>
      <c r="U13" s="15"/>
      <c r="V13" s="14"/>
      <c r="W13" s="56"/>
      <c r="X13" s="62"/>
      <c r="Y13" s="78"/>
      <c r="Z13" s="62"/>
      <c r="AA13" s="62"/>
      <c r="AB13" s="45"/>
      <c r="AC13" s="45"/>
      <c r="AD13" s="45"/>
      <c r="AE13" s="45"/>
      <c r="AF13" s="62"/>
      <c r="AG13" s="62"/>
      <c r="AH13" s="62"/>
      <c r="AI13" s="62"/>
      <c r="AJ13" s="45"/>
      <c r="AK13" s="45"/>
      <c r="AL13" s="45"/>
      <c r="AM13" s="45"/>
      <c r="AN13" s="62"/>
      <c r="AO13" s="62"/>
      <c r="AP13" s="62"/>
      <c r="AQ13" s="62"/>
      <c r="AR13" s="62"/>
      <c r="AS13" s="62"/>
      <c r="AT13" s="62"/>
      <c r="AU13" s="62"/>
      <c r="AV13" s="86"/>
      <c r="AW13" s="62"/>
      <c r="AX13" s="62"/>
      <c r="AY13" s="62"/>
      <c r="AZ13" s="95"/>
      <c r="BC13" s="82"/>
    </row>
    <row r="14" ht="23.25" customHeight="1" spans="1:55">
      <c r="A14" s="11"/>
      <c r="B14" s="22" t="s">
        <v>18</v>
      </c>
      <c r="C14" s="22"/>
      <c r="D14" s="29"/>
      <c r="E14" s="29"/>
      <c r="F14" s="29"/>
      <c r="G14" s="29"/>
      <c r="H14" s="30"/>
      <c r="I14" s="30"/>
      <c r="J14" s="30"/>
      <c r="K14" s="30"/>
      <c r="L14" s="29"/>
      <c r="M14" s="29"/>
      <c r="N14" s="29">
        <v>23555</v>
      </c>
      <c r="O14" s="29"/>
      <c r="P14" s="30"/>
      <c r="Q14" s="30"/>
      <c r="R14" s="30">
        <v>41550</v>
      </c>
      <c r="S14" s="30"/>
      <c r="T14" s="29"/>
      <c r="U14" s="29"/>
      <c r="V14" s="29"/>
      <c r="W14" s="63"/>
      <c r="X14" s="64"/>
      <c r="Y14" s="64"/>
      <c r="Z14" s="64"/>
      <c r="AA14" s="64"/>
      <c r="AB14" s="29"/>
      <c r="AC14" s="29"/>
      <c r="AD14" s="29"/>
      <c r="AE14" s="29"/>
      <c r="AF14" s="64"/>
      <c r="AG14" s="64"/>
      <c r="AH14" s="64"/>
      <c r="AI14" s="64"/>
      <c r="AJ14" s="29"/>
      <c r="AK14" s="29"/>
      <c r="AL14" s="29"/>
      <c r="AM14" s="29"/>
      <c r="AN14" s="64"/>
      <c r="AO14" s="64"/>
      <c r="AP14" s="64"/>
      <c r="AQ14" s="64"/>
      <c r="AR14" s="64"/>
      <c r="AS14" s="64"/>
      <c r="AT14" s="64"/>
      <c r="AU14" s="64"/>
      <c r="AV14" s="90"/>
      <c r="AW14" s="64"/>
      <c r="AX14" s="64"/>
      <c r="AY14" s="64"/>
      <c r="AZ14" s="95"/>
      <c r="BC14" s="82"/>
    </row>
    <row r="15" ht="23.25" customHeight="1" spans="1:52">
      <c r="A15" s="11" t="s">
        <v>28</v>
      </c>
      <c r="B15" s="8" t="s">
        <v>29</v>
      </c>
      <c r="C15" s="3" t="s">
        <v>30</v>
      </c>
      <c r="D15" s="14">
        <v>90</v>
      </c>
      <c r="E15" s="15"/>
      <c r="F15" s="14">
        <v>40365</v>
      </c>
      <c r="G15" s="14"/>
      <c r="H15" s="2">
        <v>84</v>
      </c>
      <c r="I15" s="13">
        <f>84*30+4*4+1*6+1*8</f>
        <v>2550</v>
      </c>
      <c r="J15" s="2">
        <f>42818+2550+675+445</f>
        <v>46488</v>
      </c>
      <c r="K15" s="44">
        <f>(J15-F15)/I15</f>
        <v>2.40117647058824</v>
      </c>
      <c r="L15" s="14">
        <v>84</v>
      </c>
      <c r="M15" s="15">
        <f>L15*30</f>
        <v>2520</v>
      </c>
      <c r="N15" s="14">
        <v>45985</v>
      </c>
      <c r="O15" s="45">
        <f>(N15-J16)/M15</f>
        <v>1.25674603174603</v>
      </c>
      <c r="P15" s="2"/>
      <c r="Q15" s="13"/>
      <c r="R15" s="2"/>
      <c r="S15" s="2"/>
      <c r="T15" s="14"/>
      <c r="U15" s="15"/>
      <c r="V15" s="14"/>
      <c r="W15" s="53"/>
      <c r="X15" s="54"/>
      <c r="Y15" s="71"/>
      <c r="Z15" s="54"/>
      <c r="AA15" s="54"/>
      <c r="AB15" s="14"/>
      <c r="AC15" s="14"/>
      <c r="AD15" s="14"/>
      <c r="AE15" s="14"/>
      <c r="AF15" s="54"/>
      <c r="AG15" s="54"/>
      <c r="AH15" s="54"/>
      <c r="AI15" s="54"/>
      <c r="AJ15" s="14"/>
      <c r="AK15" s="14"/>
      <c r="AL15" s="14"/>
      <c r="AM15" s="14"/>
      <c r="AN15" s="54"/>
      <c r="AO15" s="54"/>
      <c r="AP15" s="54"/>
      <c r="AQ15" s="54"/>
      <c r="AR15" s="54"/>
      <c r="AS15" s="54"/>
      <c r="AT15" s="54"/>
      <c r="AU15" s="54"/>
      <c r="AV15" s="86"/>
      <c r="AW15" s="54"/>
      <c r="AX15" s="54"/>
      <c r="AY15" s="54"/>
      <c r="AZ15" s="95"/>
    </row>
    <row r="16" ht="23.25" customHeight="1" spans="1:52">
      <c r="A16" s="11"/>
      <c r="B16" s="22" t="s">
        <v>18</v>
      </c>
      <c r="C16" s="22"/>
      <c r="D16" s="29"/>
      <c r="E16" s="29"/>
      <c r="F16" s="29"/>
      <c r="G16" s="29"/>
      <c r="H16" s="30"/>
      <c r="I16" s="30"/>
      <c r="J16" s="30">
        <f>43263-445</f>
        <v>42818</v>
      </c>
      <c r="K16" s="30"/>
      <c r="L16" s="29"/>
      <c r="M16" s="29"/>
      <c r="N16" s="29">
        <v>45985</v>
      </c>
      <c r="O16" s="29"/>
      <c r="P16" s="30"/>
      <c r="Q16" s="30"/>
      <c r="R16" s="30"/>
      <c r="S16" s="30"/>
      <c r="T16" s="29"/>
      <c r="U16" s="29"/>
      <c r="V16" s="29"/>
      <c r="W16" s="63"/>
      <c r="X16" s="64"/>
      <c r="Y16" s="64"/>
      <c r="Z16" s="64"/>
      <c r="AA16" s="64"/>
      <c r="AB16" s="29"/>
      <c r="AC16" s="29"/>
      <c r="AD16" s="29"/>
      <c r="AE16" s="29"/>
      <c r="AF16" s="64"/>
      <c r="AG16" s="64"/>
      <c r="AH16" s="64"/>
      <c r="AI16" s="64"/>
      <c r="AJ16" s="29"/>
      <c r="AK16" s="29"/>
      <c r="AL16" s="29"/>
      <c r="AM16" s="29"/>
      <c r="AN16" s="64"/>
      <c r="AO16" s="64"/>
      <c r="AP16" s="64"/>
      <c r="AQ16" s="64"/>
      <c r="AR16" s="64"/>
      <c r="AS16" s="64"/>
      <c r="AT16" s="64"/>
      <c r="AU16" s="64"/>
      <c r="AV16" s="90"/>
      <c r="AW16" s="64"/>
      <c r="AX16" s="64"/>
      <c r="AY16" s="64"/>
      <c r="AZ16" s="95"/>
    </row>
    <row r="17" ht="23.25" customHeight="1" spans="1:52">
      <c r="A17" s="11" t="s">
        <v>31</v>
      </c>
      <c r="B17" s="34" t="s">
        <v>32</v>
      </c>
      <c r="C17" s="34"/>
      <c r="D17" s="35">
        <f>D15+D13</f>
        <v>185</v>
      </c>
      <c r="E17" s="35">
        <f>E13+E15</f>
        <v>0</v>
      </c>
      <c r="F17" s="35">
        <f>F13+F15</f>
        <v>81959</v>
      </c>
      <c r="G17" s="35"/>
      <c r="H17" s="35">
        <f>H13+H15</f>
        <v>179</v>
      </c>
      <c r="I17" s="35">
        <f>I13+I15</f>
        <v>5400</v>
      </c>
      <c r="J17" s="35">
        <f>J13+J15</f>
        <v>91027</v>
      </c>
      <c r="K17" s="35"/>
      <c r="L17" s="35">
        <f>L13+L15</f>
        <v>140</v>
      </c>
      <c r="M17" s="35">
        <f>M13+M15</f>
        <v>5214</v>
      </c>
      <c r="N17" s="35">
        <f>N13+N15</f>
        <v>93240</v>
      </c>
      <c r="O17" s="35"/>
      <c r="P17" s="35">
        <f>P13</f>
        <v>87</v>
      </c>
      <c r="Q17" s="65">
        <f>87*30+1*20+26*24+25*25+1*25</f>
        <v>3904</v>
      </c>
      <c r="R17" s="35">
        <f>41550+550+7900+8000+7050+8100+400</f>
        <v>73550</v>
      </c>
      <c r="S17" s="66">
        <f>(R17-N18)/Q17</f>
        <v>1.02715163934426</v>
      </c>
      <c r="T17" s="35">
        <v>87</v>
      </c>
      <c r="U17" s="65">
        <f>T17*36</f>
        <v>3132</v>
      </c>
      <c r="V17" s="35">
        <v>44710</v>
      </c>
      <c r="W17" s="66">
        <f>(V17-R18)/U17</f>
        <v>1.00893997445722</v>
      </c>
      <c r="X17" s="67">
        <v>87</v>
      </c>
      <c r="Y17" s="79">
        <f>X17*24</f>
        <v>2088</v>
      </c>
      <c r="Z17" s="67">
        <v>46788</v>
      </c>
      <c r="AA17" s="66">
        <f>(Z17-V17)/Y17</f>
        <v>0.995210727969349</v>
      </c>
      <c r="AB17" s="67">
        <v>86</v>
      </c>
      <c r="AC17" s="67">
        <f>86*30+1*23</f>
        <v>2603</v>
      </c>
      <c r="AD17" s="67">
        <f>AD18+600</f>
        <v>49406</v>
      </c>
      <c r="AE17" s="66">
        <f>(AD17-Z17)/AC17</f>
        <v>1.00576258163657</v>
      </c>
      <c r="AF17" s="67">
        <v>85</v>
      </c>
      <c r="AG17" s="67">
        <f>85*30+1*20</f>
        <v>2570</v>
      </c>
      <c r="AH17" s="67">
        <v>51390</v>
      </c>
      <c r="AI17" s="66">
        <f>(AH17-AD18)/AG17</f>
        <v>1.00544747081712</v>
      </c>
      <c r="AJ17" s="67">
        <v>51</v>
      </c>
      <c r="AK17" s="67">
        <f>AJ17*30+10*15+5*17+1*18+7*19+5*22+6*24</f>
        <v>2170</v>
      </c>
      <c r="AL17" s="67">
        <f>AL18+21093</f>
        <v>49613</v>
      </c>
      <c r="AM17" s="66">
        <f>(AL17-AH18)/AK17</f>
        <v>-0.473271889400922</v>
      </c>
      <c r="AN17" s="67">
        <v>48</v>
      </c>
      <c r="AO17" s="67">
        <f>AN17*30+2*9+1*15</f>
        <v>1473</v>
      </c>
      <c r="AP17" s="67">
        <f>AP18+1250+483</f>
        <v>29653</v>
      </c>
      <c r="AQ17" s="66">
        <f>(AP17-AL18)/AO17</f>
        <v>0.76917854718262</v>
      </c>
      <c r="AR17" s="67">
        <v>48</v>
      </c>
      <c r="AS17" s="67">
        <f>AR17*30</f>
        <v>1440</v>
      </c>
      <c r="AT17" s="67">
        <v>29060</v>
      </c>
      <c r="AU17" s="66">
        <f>(AT17-AP18)/AS17</f>
        <v>0.791666666666667</v>
      </c>
      <c r="AV17" s="91">
        <v>48</v>
      </c>
      <c r="AW17" s="67">
        <f>AV17*30</f>
        <v>1440</v>
      </c>
      <c r="AX17" s="67">
        <v>30580</v>
      </c>
      <c r="AY17" s="66">
        <f>(AX17-AT17)/AW17</f>
        <v>1.05555555555556</v>
      </c>
      <c r="AZ17" s="97">
        <f>(AX17+550+15900+15150+400+23700+2550+675+445+600+750+21093+1250+483-F17)/(I17+M17+Q17+U17+Y17+AC17+AG17+AK17+AO17+AS17+AW17)</f>
        <v>1.02331869949736</v>
      </c>
    </row>
    <row r="18" ht="23.25" customHeight="1" spans="1:52">
      <c r="A18" s="11"/>
      <c r="B18" s="36" t="s">
        <v>18</v>
      </c>
      <c r="C18" s="34" t="s">
        <v>33</v>
      </c>
      <c r="D18" s="36"/>
      <c r="E18" s="36"/>
      <c r="F18" s="36"/>
      <c r="G18" s="36"/>
      <c r="H18" s="36"/>
      <c r="I18" s="36"/>
      <c r="J18" s="36">
        <f>J17-2550-675-445</f>
        <v>87357</v>
      </c>
      <c r="K18" s="36"/>
      <c r="L18" s="36"/>
      <c r="M18" s="36"/>
      <c r="N18" s="36">
        <f>N14+N16</f>
        <v>69540</v>
      </c>
      <c r="O18" s="36"/>
      <c r="P18" s="36"/>
      <c r="Q18" s="36"/>
      <c r="R18" s="36">
        <v>41550</v>
      </c>
      <c r="S18" s="36"/>
      <c r="T18" s="36"/>
      <c r="U18" s="36"/>
      <c r="V18" s="36">
        <v>44710</v>
      </c>
      <c r="W18" s="36"/>
      <c r="X18" s="36"/>
      <c r="Y18" s="36"/>
      <c r="Z18" s="80"/>
      <c r="AA18" s="36"/>
      <c r="AB18" s="36"/>
      <c r="AC18" s="36"/>
      <c r="AD18" s="80">
        <v>48806</v>
      </c>
      <c r="AE18" s="36"/>
      <c r="AF18" s="36"/>
      <c r="AG18" s="36"/>
      <c r="AH18" s="80">
        <f>AH17-750</f>
        <v>50640</v>
      </c>
      <c r="AI18" s="36"/>
      <c r="AJ18" s="36"/>
      <c r="AK18" s="36"/>
      <c r="AL18" s="36">
        <v>28520</v>
      </c>
      <c r="AM18" s="36"/>
      <c r="AN18" s="36"/>
      <c r="AO18" s="36"/>
      <c r="AP18" s="36">
        <v>27920</v>
      </c>
      <c r="AQ18" s="36"/>
      <c r="AR18" s="36"/>
      <c r="AS18" s="36"/>
      <c r="AT18" s="36"/>
      <c r="AU18" s="36"/>
      <c r="AV18" s="92"/>
      <c r="AW18" s="36"/>
      <c r="AX18" s="36"/>
      <c r="AY18" s="36"/>
      <c r="AZ18" s="98"/>
    </row>
    <row r="19" ht="36" customHeight="1" spans="1:52">
      <c r="A19" s="37" t="s">
        <v>34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 t="s">
        <v>35</v>
      </c>
      <c r="Z19" s="37"/>
      <c r="AA19" s="37"/>
      <c r="AB19" s="37"/>
      <c r="AC19" s="37"/>
      <c r="AD19" s="37"/>
      <c r="AF19" s="81" t="s">
        <v>36</v>
      </c>
      <c r="AG19" s="81"/>
      <c r="AH19" s="81"/>
      <c r="AI19" s="81"/>
      <c r="AJ19" s="81"/>
      <c r="AL19" s="81"/>
      <c r="AM19" s="81" t="s">
        <v>37</v>
      </c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ht="36" customHeight="1" spans="1:5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</row>
    <row r="21" spans="10:54">
      <c r="J21" s="46"/>
      <c r="K21" s="46"/>
      <c r="Q21" s="46"/>
      <c r="S21" t="s">
        <v>38</v>
      </c>
      <c r="BB21" s="82"/>
    </row>
    <row r="22" spans="29:29">
      <c r="AC22" s="82"/>
    </row>
    <row r="23" spans="52:52">
      <c r="AZ23" s="82"/>
    </row>
  </sheetData>
  <mergeCells count="24">
    <mergeCell ref="A1:AZ1"/>
    <mergeCell ref="A2:B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19:X19"/>
    <mergeCell ref="Y19:AD19"/>
    <mergeCell ref="A20:AZ20"/>
    <mergeCell ref="A6:A7"/>
    <mergeCell ref="A9:A10"/>
    <mergeCell ref="A11:A12"/>
    <mergeCell ref="A13:A14"/>
    <mergeCell ref="A15:A16"/>
    <mergeCell ref="A17:A18"/>
    <mergeCell ref="AZ11:AZ12"/>
  </mergeCells>
  <pageMargins left="0.25" right="0.25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个人用户</dc:creator>
  <cp:lastModifiedBy>Administrator</cp:lastModifiedBy>
  <dcterms:created xsi:type="dcterms:W3CDTF">2022-06-25T01:07:00Z</dcterms:created>
  <cp:lastPrinted>2022-10-14T01:29:00Z</cp:lastPrinted>
  <dcterms:modified xsi:type="dcterms:W3CDTF">2022-12-30T01:05:30Z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411EF9EF3874465EBD04B68DB7D07D10</vt:lpwstr>
  </property>
  <property fmtid="{D5CDD505-2E9C-101B-9397-08002B2CF9AE}" pid="3" name="KSOProductBuildVer">
    <vt:lpwstr>2052-11.1.0.12980</vt:lpwstr>
  </property>
</Properties>
</file>