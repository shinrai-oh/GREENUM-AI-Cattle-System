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10331"/>
  </bookViews>
  <sheets>
    <sheet name="Sheet1" sheetId="18" r:id="rId1"/>
  </sheets>
  <definedNames>
    <definedName name="_xlnm.Print_Area" localSheetId="0">Sheet1!$L$229:$U$267</definedName>
  </definedNames>
  <calcPr calcId="144525"/>
</workbook>
</file>

<file path=xl/comments1.xml><?xml version="1.0" encoding="utf-8"?>
<comments xmlns="http://schemas.openxmlformats.org/spreadsheetml/2006/main">
  <authors>
    <author>DELL</author>
  </authors>
  <commentList>
    <comment ref="M93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21.12月生2头1公1母</t>
        </r>
      </text>
    </comment>
    <comment ref="N94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2021.10.24出1头用自繁1批x9094代替.12.24拉4头去屠宰场共5头
</t>
        </r>
      </text>
    </comment>
    <comment ref="O94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1.28拉1头去屠宰场</t>
        </r>
      </text>
    </comment>
    <comment ref="M144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外售</t>
        </r>
      </text>
    </comment>
    <comment ref="N144" authorId="0">
      <text>
        <r>
          <rPr>
            <b/>
            <sz val="9"/>
            <rFont val="宋体"/>
            <charset val="134"/>
          </rPr>
          <t>DELL:拉回公司</t>
        </r>
      </text>
    </comment>
    <comment ref="O144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拉回公司</t>
        </r>
      </text>
    </comment>
    <comment ref="M152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西杂育肥3批</t>
        </r>
      </text>
    </comment>
    <comment ref="O152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育肥黄牛3批17头本月卖4头余13头加上4批44头</t>
        </r>
      </text>
    </comment>
    <comment ref="Q152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1批4头+2批15头</t>
        </r>
      </text>
    </comment>
    <comment ref="X152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西杂育肥3批</t>
        </r>
      </text>
    </comment>
    <comment ref="Z152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育肥黄牛3批17头本月卖4头余13头加上4批44头</t>
        </r>
      </text>
    </comment>
    <comment ref="AB152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1批4头+2批15头</t>
        </r>
      </text>
    </comment>
    <comment ref="G155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A2101应该是母牛转出</t>
        </r>
      </text>
    </comment>
    <comment ref="M158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富翔30+天一67+1批63</t>
        </r>
      </text>
    </comment>
    <comment ref="N158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1批54+2批54</t>
        </r>
      </text>
    </comment>
    <comment ref="X158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富翔30+天一67+1批63</t>
        </r>
      </text>
    </comment>
    <comment ref="Y158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1批54+2批54</t>
        </r>
      </text>
    </comment>
    <comment ref="M164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（95.97）80+1批36+2批35</t>
        </r>
      </text>
    </comment>
    <comment ref="N164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3批38+4批27</t>
        </r>
      </text>
    </comment>
    <comment ref="X164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（95.97）80+1批36+2批35</t>
        </r>
      </text>
    </comment>
    <comment ref="Y164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3批38+4批27</t>
        </r>
      </text>
    </comment>
    <comment ref="M170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老牛66+1批20</t>
        </r>
      </text>
    </comment>
    <comment ref="N170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2批11</t>
        </r>
      </text>
    </comment>
    <comment ref="X170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老牛66+1批20</t>
        </r>
      </text>
    </comment>
    <comment ref="Y170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2批11</t>
        </r>
      </text>
    </comment>
    <comment ref="D172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A2101母牛从公牛转入</t>
        </r>
      </text>
    </comment>
    <comment ref="N178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x1025公牛号母牛身转入
</t>
        </r>
      </text>
    </comment>
    <comment ref="O178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B2144母牛号公牛身转入公牛/本月入库7头
</t>
        </r>
      </text>
    </comment>
    <comment ref="Y178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x1025公牛号母牛身转入
</t>
        </r>
      </text>
    </comment>
    <comment ref="Z178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B2144母牛号公牛身转入公牛/本月入库7头
</t>
        </r>
      </text>
    </comment>
    <comment ref="M179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x1025公牛号母牛身转出
/转群出38</t>
        </r>
      </text>
    </comment>
    <comment ref="N179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转出48</t>
        </r>
      </text>
    </comment>
    <comment ref="O179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转出38</t>
        </r>
      </text>
    </comment>
    <comment ref="P179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B2144母牛号公牛身转入公牛
/转出42</t>
        </r>
      </text>
    </comment>
    <comment ref="Q179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转出17</t>
        </r>
      </text>
    </comment>
    <comment ref="R179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转出15</t>
        </r>
      </text>
    </comment>
    <comment ref="X179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x1025公牛号母牛身转出
/转群出38</t>
        </r>
      </text>
    </comment>
    <comment ref="Y179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转出48</t>
        </r>
      </text>
    </comment>
    <comment ref="Z179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转出38</t>
        </r>
      </text>
    </comment>
    <comment ref="AA179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B2144母牛号公牛身转入公牛
/转出42</t>
        </r>
      </text>
    </comment>
    <comment ref="AB179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转出17</t>
        </r>
      </text>
    </comment>
    <comment ref="AC179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转出15</t>
        </r>
      </text>
    </comment>
  </commentList>
</comments>
</file>

<file path=xl/sharedStrings.xml><?xml version="1.0" encoding="utf-8"?>
<sst xmlns="http://schemas.openxmlformats.org/spreadsheetml/2006/main" count="1075" uniqueCount="93">
  <si>
    <t>广西农垦绿姆山牛业有限公司2021年11月牛群盘点表</t>
  </si>
  <si>
    <t>广西农垦绿姆山牛业有限公司2021年12月牛群盘点表</t>
  </si>
  <si>
    <t>公牛</t>
  </si>
  <si>
    <t>名称</t>
  </si>
  <si>
    <t>西杂育肥2批</t>
  </si>
  <si>
    <t>西杂育肥3批</t>
  </si>
  <si>
    <t>黄牛育肥3批</t>
  </si>
  <si>
    <t>黄牛育肥4批</t>
  </si>
  <si>
    <t>安格斯育肥1批</t>
  </si>
  <si>
    <t>安格斯育肥2批</t>
  </si>
  <si>
    <t>圣喜西杂公牛</t>
  </si>
  <si>
    <t>富翔西杂公牛</t>
  </si>
  <si>
    <t>合计</t>
  </si>
  <si>
    <t>月初头数</t>
  </si>
  <si>
    <t>本月增加</t>
  </si>
  <si>
    <t>本月减少</t>
  </si>
  <si>
    <t>月末合计</t>
  </si>
  <si>
    <t>西杂母牛</t>
  </si>
  <si>
    <t>富翔</t>
  </si>
  <si>
    <t>天一</t>
  </si>
  <si>
    <t>西杂育成母牛1批</t>
  </si>
  <si>
    <t>西杂育成母牛2批</t>
  </si>
  <si>
    <t>西杂育成母牛3批</t>
  </si>
  <si>
    <t>西杂公牛犊</t>
  </si>
  <si>
    <t>西杂母牛犊</t>
  </si>
  <si>
    <t>黄牛</t>
  </si>
  <si>
    <t>母黄牛95.97批</t>
  </si>
  <si>
    <t>黄育成母牛1批</t>
  </si>
  <si>
    <t>黄育成母牛2批</t>
  </si>
  <si>
    <t>黄育成母牛3批</t>
  </si>
  <si>
    <t>黄育成母牛4批</t>
  </si>
  <si>
    <t>黄公犊牛</t>
  </si>
  <si>
    <t>黄母牛犊</t>
  </si>
  <si>
    <t>安格斯母牛</t>
  </si>
  <si>
    <t>安格斯育成母牛1批</t>
  </si>
  <si>
    <t>安格斯育成母牛2批</t>
  </si>
  <si>
    <t>安公牛犊</t>
  </si>
  <si>
    <t>安母牛犊</t>
  </si>
  <si>
    <t>场汇总</t>
  </si>
  <si>
    <t>西杂公牛</t>
  </si>
  <si>
    <t>黄育肥公牛</t>
  </si>
  <si>
    <t>安格斯育肥公牛</t>
  </si>
  <si>
    <t>黄母牛</t>
  </si>
  <si>
    <t>大牛合计</t>
  </si>
  <si>
    <t>场月初合计</t>
  </si>
  <si>
    <t>本月总增</t>
  </si>
  <si>
    <t>本月总减</t>
  </si>
  <si>
    <t>月末总数</t>
  </si>
  <si>
    <t>西杂公犊</t>
  </si>
  <si>
    <t>西杂母犊</t>
  </si>
  <si>
    <t>黄公犊</t>
  </si>
  <si>
    <t>黄母犊</t>
  </si>
  <si>
    <t>安格斯公犊</t>
  </si>
  <si>
    <t>安格斯母犊</t>
  </si>
  <si>
    <t>牛犊合计</t>
  </si>
  <si>
    <t>场月末合计</t>
  </si>
  <si>
    <t xml:space="preserve">   主管：</t>
  </si>
  <si>
    <t xml:space="preserve">    会计：</t>
  </si>
  <si>
    <t xml:space="preserve">   盘点人：</t>
  </si>
  <si>
    <t>制表人：</t>
  </si>
  <si>
    <t>广西农垦绿姆山牛业有限公司2021年11月牛群盘点表（三景）</t>
  </si>
  <si>
    <t>广西农垦绿姆山牛业有限公司2021年12月牛群盘点表（三景）</t>
  </si>
  <si>
    <t>备注</t>
  </si>
  <si>
    <t>广西农垦绿姆山牛业有限公司2022年1月牛群盘点表</t>
  </si>
  <si>
    <t>广西农垦绿姆山牛业有限公司2022年2月牛群盘点表</t>
  </si>
  <si>
    <t>犊牛</t>
  </si>
  <si>
    <t>广西农垦绿姆山牛业有限公司2022年1月牛群盘点表（三景）</t>
  </si>
  <si>
    <t>广西农垦绿姆山牛业有限公司2022年2月牛群盘点表（三景）</t>
  </si>
  <si>
    <t>广西农垦绿姆山牛业有限公司2022年3月牛群盘点表</t>
  </si>
  <si>
    <t>广西农垦绿姆山牛业有限公司2022年4月牛群盘点表</t>
  </si>
  <si>
    <t>广西农垦绿姆山牛业有限公司2022年3月牛群盘点表（三景）</t>
  </si>
  <si>
    <t>广西农垦绿姆山牛业有限公司2022年4月牛群盘点表（三景）</t>
  </si>
  <si>
    <t>广西农垦绿姆山牛业有限公司2022年5月牛群盘点表</t>
  </si>
  <si>
    <t>广西农垦绿姆山牛业有限公司2022年6月牛群盘点表</t>
  </si>
  <si>
    <t>西杂后期育肥公牛牛</t>
  </si>
  <si>
    <t>西杂前期育肥公牛</t>
  </si>
  <si>
    <t>黄牛后期育肥公牛</t>
  </si>
  <si>
    <t>黄牛前期育肥公牛</t>
  </si>
  <si>
    <t>安格斯育肥后期公牛</t>
  </si>
  <si>
    <t>安格斯前期育肥公牛</t>
  </si>
  <si>
    <t>西杂成母牛</t>
  </si>
  <si>
    <t>西杂育成母牛</t>
  </si>
  <si>
    <t>黄牛成母牛</t>
  </si>
  <si>
    <t>黄牛育成母牛</t>
  </si>
  <si>
    <t>安格斯成母牛</t>
  </si>
  <si>
    <t>安格斯育成母牛</t>
  </si>
  <si>
    <t>新进安格斯母牛</t>
  </si>
  <si>
    <t>广西农垦绿姆山牛业有限公司2022年7月牛群盘点表</t>
  </si>
  <si>
    <t>广西农垦绿姆山牛业有限公司2022年8月牛群盘点表</t>
  </si>
  <si>
    <t>西杂后期育肥公牛</t>
  </si>
  <si>
    <t>广西农垦绿姆山牛业有限公司2022年9月牛群盘点表</t>
  </si>
  <si>
    <t>广西农垦绿姆山牛业有限公司2022年10月牛群盘点表</t>
  </si>
  <si>
    <t>广西农垦绿姆山牛业有限公司2022年11月牛群盘点表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</si>
</sst>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2"/>
      <name val="宋体"/>
      <charset val="134"/>
    </font>
    <font>
      <b/>
      <sz val="10"/>
      <color theme="1"/>
      <name val="宋体"/>
      <charset val="134"/>
      <scheme val="minor"/>
    </font>
    <font>
      <b/>
      <sz val="8"/>
      <color theme="1"/>
      <name val="宋体"/>
      <charset val="134"/>
      <scheme val="minor"/>
    </font>
    <font>
      <b/>
      <sz val="8"/>
      <name val="宋体"/>
      <charset val="134"/>
      <scheme val="minor"/>
    </font>
    <font>
      <b/>
      <sz val="8"/>
      <name val="宋体"/>
      <charset val="134"/>
    </font>
    <font>
      <b/>
      <sz val="12"/>
      <color theme="1"/>
      <name val="宋体"/>
      <charset val="134"/>
      <scheme val="minor"/>
    </font>
    <font>
      <b/>
      <sz val="12"/>
      <name val="宋体"/>
      <charset val="134"/>
    </font>
    <font>
      <b/>
      <sz val="12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indexed="8"/>
      <name val="宋体"/>
      <charset val="134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4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8" borderId="7" applyNumberFormat="0" applyFont="0" applyAlignment="0" applyProtection="0">
      <alignment vertical="center"/>
    </xf>
    <xf numFmtId="0" fontId="16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4" fillId="12" borderId="6" applyNumberFormat="0" applyAlignment="0" applyProtection="0">
      <alignment vertical="center"/>
    </xf>
    <xf numFmtId="0" fontId="0" fillId="0" borderId="0">
      <alignment vertical="center"/>
    </xf>
    <xf numFmtId="0" fontId="25" fillId="13" borderId="11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28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9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0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6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31" fontId="2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31" fontId="5" fillId="0" borderId="0" xfId="0" applyNumberFormat="1" applyFont="1" applyFill="1" applyAlignment="1">
      <alignment horizontal="center" vertical="center"/>
    </xf>
    <xf numFmtId="0" fontId="0" fillId="0" borderId="1" xfId="0" applyBorder="1">
      <alignment vertical="center"/>
    </xf>
    <xf numFmtId="0" fontId="8" fillId="0" borderId="0" xfId="0" applyFont="1" applyFill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</cellXfs>
  <cellStyles count="74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常规 6" xfId="14"/>
    <cellStyle name="60% - 强调文字颜色 2" xfId="15" builtinId="36"/>
    <cellStyle name="标题 4" xfId="16" builtinId="19"/>
    <cellStyle name="警告文本" xfId="17" builtinId="11"/>
    <cellStyle name="常规 25" xfId="18"/>
    <cellStyle name="标题" xfId="19" builtinId="15"/>
    <cellStyle name="解释性文本" xfId="20" builtinId="53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常规 26" xfId="28"/>
    <cellStyle name="检查单元格" xfId="29" builtinId="23"/>
    <cellStyle name="20% - 强调文字颜色 6" xfId="30" builtinId="50"/>
    <cellStyle name="强调文字颜色 2" xfId="31" builtinId="33"/>
    <cellStyle name="链接单元格" xfId="32" builtinId="24"/>
    <cellStyle name="汇总" xfId="33" builtinId="25"/>
    <cellStyle name="常规 27" xfId="34"/>
    <cellStyle name="好" xfId="35" builtinId="26"/>
    <cellStyle name="常规 16" xfId="36"/>
    <cellStyle name="常规 21" xfId="37"/>
    <cellStyle name="适中" xfId="38" builtinId="28"/>
    <cellStyle name="20% - 强调文字颜色 5" xfId="39" builtinId="46"/>
    <cellStyle name="强调文字颜色 1" xfId="40" builtinId="29"/>
    <cellStyle name="20% - 强调文字颜色 1" xfId="41" builtinId="30"/>
    <cellStyle name="40% - 强调文字颜色 1" xfId="42" builtinId="31"/>
    <cellStyle name="20% - 强调文字颜色 2" xfId="43" builtinId="34"/>
    <cellStyle name="40% - 强调文字颜色 2" xfId="44" builtinId="35"/>
    <cellStyle name="强调文字颜色 3" xfId="45" builtinId="37"/>
    <cellStyle name="强调文字颜色 4" xfId="46" builtinId="41"/>
    <cellStyle name="20% - 强调文字颜色 4" xfId="47" builtinId="42"/>
    <cellStyle name="40% - 强调文字颜色 4" xfId="48" builtinId="43"/>
    <cellStyle name="强调文字颜色 5" xfId="49" builtinId="45"/>
    <cellStyle name="40% - 强调文字颜色 5" xfId="50" builtinId="47"/>
    <cellStyle name="60% - 强调文字颜色 5" xfId="51" builtinId="48"/>
    <cellStyle name="强调文字颜色 6" xfId="52" builtinId="49"/>
    <cellStyle name="常规 10" xfId="53"/>
    <cellStyle name="40% - 强调文字颜色 6" xfId="54" builtinId="51"/>
    <cellStyle name="60% - 强调文字颜色 6" xfId="55" builtinId="52"/>
    <cellStyle name="常规 11" xfId="56"/>
    <cellStyle name="常规 14" xfId="57"/>
    <cellStyle name="常规 15" xfId="58"/>
    <cellStyle name="常规 20" xfId="59"/>
    <cellStyle name="常规 17" xfId="60"/>
    <cellStyle name="常规 22" xfId="61"/>
    <cellStyle name="常规 18" xfId="62"/>
    <cellStyle name="常规 23" xfId="63"/>
    <cellStyle name="常规 2" xfId="64"/>
    <cellStyle name="常规 24" xfId="65"/>
    <cellStyle name="常规 28" xfId="66"/>
    <cellStyle name="常规 29" xfId="67"/>
    <cellStyle name="常规 3" xfId="68"/>
    <cellStyle name="常规 4" xfId="69"/>
    <cellStyle name="常规 5" xfId="70"/>
    <cellStyle name="常规 7" xfId="71"/>
    <cellStyle name="常规 8" xfId="72"/>
    <cellStyle name="常规 9" xfId="73"/>
  </cellStyles>
  <tableStyles count="0" defaultTableStyle="TableStyleMedium2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07"/>
  <sheetViews>
    <sheetView tabSelected="1" topLeftCell="B253" workbookViewId="0">
      <selection activeCell="Q308" sqref="Q308"/>
    </sheetView>
  </sheetViews>
  <sheetFormatPr defaultColWidth="8.8" defaultRowHeight="15.6"/>
  <cols>
    <col min="1" max="1" width="10.5" customWidth="1"/>
    <col min="2" max="10" width="7.8" customWidth="1"/>
    <col min="13" max="21" width="7.3" customWidth="1"/>
  </cols>
  <sheetData>
    <row r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4"/>
      <c r="L1" s="1" t="s">
        <v>1</v>
      </c>
      <c r="M1" s="1"/>
      <c r="N1" s="1"/>
      <c r="O1" s="1"/>
      <c r="P1" s="1"/>
      <c r="Q1" s="1"/>
      <c r="R1" s="1"/>
      <c r="S1" s="1"/>
      <c r="T1" s="1"/>
      <c r="U1" s="4"/>
    </row>
    <row r="2" spans="1:21">
      <c r="A2" s="2"/>
      <c r="B2" s="2" t="s">
        <v>2</v>
      </c>
      <c r="C2" s="2"/>
      <c r="D2" s="2"/>
      <c r="E2" s="2"/>
      <c r="F2" s="2"/>
      <c r="G2" s="2"/>
      <c r="H2" s="2"/>
      <c r="I2" s="2"/>
      <c r="J2" s="4"/>
      <c r="L2" s="2"/>
      <c r="M2" s="2" t="s">
        <v>2</v>
      </c>
      <c r="N2" s="2"/>
      <c r="O2" s="2"/>
      <c r="P2" s="2"/>
      <c r="Q2" s="2"/>
      <c r="R2" s="2"/>
      <c r="S2" s="2"/>
      <c r="T2" s="2"/>
      <c r="U2" s="4"/>
    </row>
    <row r="3" ht="19.2" spans="1:21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10" t="s">
        <v>11</v>
      </c>
      <c r="J3" s="10" t="s">
        <v>12</v>
      </c>
      <c r="L3" s="3" t="s">
        <v>3</v>
      </c>
      <c r="M3" s="3" t="s">
        <v>4</v>
      </c>
      <c r="N3" s="3" t="s">
        <v>5</v>
      </c>
      <c r="O3" s="3" t="s">
        <v>6</v>
      </c>
      <c r="P3" s="3" t="s">
        <v>7</v>
      </c>
      <c r="Q3" s="3" t="s">
        <v>8</v>
      </c>
      <c r="R3" s="3" t="s">
        <v>9</v>
      </c>
      <c r="S3" s="3" t="s">
        <v>10</v>
      </c>
      <c r="T3" s="10" t="s">
        <v>11</v>
      </c>
      <c r="U3" s="10" t="s">
        <v>12</v>
      </c>
    </row>
    <row r="4" spans="1:21">
      <c r="A4" s="3" t="s">
        <v>13</v>
      </c>
      <c r="B4" s="3">
        <v>33</v>
      </c>
      <c r="C4" s="4">
        <v>38</v>
      </c>
      <c r="D4" s="5">
        <v>40</v>
      </c>
      <c r="E4" s="4">
        <v>44</v>
      </c>
      <c r="F4" s="3">
        <v>7</v>
      </c>
      <c r="G4" s="4">
        <v>16</v>
      </c>
      <c r="H4" s="3"/>
      <c r="I4" s="10"/>
      <c r="J4" s="9">
        <f>SUM(B4:I4)</f>
        <v>178</v>
      </c>
      <c r="L4" s="3" t="s">
        <v>13</v>
      </c>
      <c r="M4" s="3">
        <v>27</v>
      </c>
      <c r="N4" s="4">
        <v>38</v>
      </c>
      <c r="O4" s="5">
        <v>38</v>
      </c>
      <c r="P4" s="4">
        <v>44</v>
      </c>
      <c r="Q4" s="3">
        <v>7</v>
      </c>
      <c r="R4" s="4">
        <v>16</v>
      </c>
      <c r="S4" s="3">
        <v>49</v>
      </c>
      <c r="T4" s="10">
        <v>48</v>
      </c>
      <c r="U4" s="9">
        <f t="shared" ref="U4:U7" si="0">SUM(M4:T4)</f>
        <v>267</v>
      </c>
    </row>
    <row r="5" spans="1:21">
      <c r="A5" s="3" t="s">
        <v>14</v>
      </c>
      <c r="B5" s="3"/>
      <c r="C5" s="3"/>
      <c r="D5" s="3"/>
      <c r="E5" s="5"/>
      <c r="F5" s="4"/>
      <c r="G5" s="3"/>
      <c r="H5" s="3">
        <v>52</v>
      </c>
      <c r="I5" s="3">
        <v>48</v>
      </c>
      <c r="J5" s="9">
        <f>SUM(B5:I5)</f>
        <v>100</v>
      </c>
      <c r="L5" s="3" t="s">
        <v>14</v>
      </c>
      <c r="M5" s="3"/>
      <c r="N5" s="3"/>
      <c r="O5" s="3"/>
      <c r="P5" s="5"/>
      <c r="Q5" s="4"/>
      <c r="R5" s="3"/>
      <c r="S5" s="3"/>
      <c r="T5" s="3"/>
      <c r="U5" s="9">
        <f t="shared" si="0"/>
        <v>0</v>
      </c>
    </row>
    <row r="6" spans="1:21">
      <c r="A6" s="3" t="s">
        <v>15</v>
      </c>
      <c r="B6" s="6">
        <v>6</v>
      </c>
      <c r="C6" s="6"/>
      <c r="D6" s="6">
        <v>2</v>
      </c>
      <c r="E6" s="6"/>
      <c r="F6" s="3"/>
      <c r="G6" s="3"/>
      <c r="H6" s="3">
        <v>3</v>
      </c>
      <c r="I6" s="10">
        <v>0</v>
      </c>
      <c r="J6" s="9">
        <f>SUM(B6:I6)</f>
        <v>11</v>
      </c>
      <c r="L6" s="3" t="s">
        <v>15</v>
      </c>
      <c r="M6" s="6">
        <v>1</v>
      </c>
      <c r="N6" s="6"/>
      <c r="O6" s="6">
        <v>2</v>
      </c>
      <c r="P6" s="6"/>
      <c r="Q6" s="3"/>
      <c r="R6" s="3"/>
      <c r="S6" s="3">
        <v>2</v>
      </c>
      <c r="T6" s="10"/>
      <c r="U6" s="9">
        <f t="shared" si="0"/>
        <v>5</v>
      </c>
    </row>
    <row r="7" spans="1:21">
      <c r="A7" s="3" t="s">
        <v>16</v>
      </c>
      <c r="B7" s="3">
        <f>B4+B5-B6</f>
        <v>27</v>
      </c>
      <c r="C7" s="3">
        <f t="shared" ref="C7:I7" si="1">C4+C5-C6</f>
        <v>38</v>
      </c>
      <c r="D7" s="3">
        <f t="shared" si="1"/>
        <v>38</v>
      </c>
      <c r="E7" s="3">
        <f t="shared" si="1"/>
        <v>44</v>
      </c>
      <c r="F7" s="3">
        <f t="shared" si="1"/>
        <v>7</v>
      </c>
      <c r="G7" s="3">
        <f t="shared" si="1"/>
        <v>16</v>
      </c>
      <c r="H7" s="3">
        <f t="shared" si="1"/>
        <v>49</v>
      </c>
      <c r="I7" s="3">
        <f t="shared" si="1"/>
        <v>48</v>
      </c>
      <c r="J7" s="9">
        <f>SUM(B7:I7)</f>
        <v>267</v>
      </c>
      <c r="L7" s="3" t="s">
        <v>16</v>
      </c>
      <c r="M7" s="3">
        <f t="shared" ref="M7:T7" si="2">M4+M5-M6</f>
        <v>26</v>
      </c>
      <c r="N7" s="3">
        <f t="shared" si="2"/>
        <v>38</v>
      </c>
      <c r="O7" s="3">
        <f t="shared" si="2"/>
        <v>36</v>
      </c>
      <c r="P7" s="3">
        <f t="shared" si="2"/>
        <v>44</v>
      </c>
      <c r="Q7" s="3">
        <f t="shared" si="2"/>
        <v>7</v>
      </c>
      <c r="R7" s="3">
        <f t="shared" si="2"/>
        <v>16</v>
      </c>
      <c r="S7" s="3">
        <f t="shared" si="2"/>
        <v>47</v>
      </c>
      <c r="T7" s="3">
        <f t="shared" si="2"/>
        <v>48</v>
      </c>
      <c r="U7" s="9">
        <f t="shared" si="0"/>
        <v>262</v>
      </c>
    </row>
    <row r="8" spans="1:21">
      <c r="A8" s="7"/>
      <c r="B8" s="8" t="s">
        <v>17</v>
      </c>
      <c r="C8" s="8"/>
      <c r="D8" s="7"/>
      <c r="E8" s="7"/>
      <c r="F8" s="7"/>
      <c r="G8" s="7"/>
      <c r="H8" s="7"/>
      <c r="I8" s="7"/>
      <c r="J8" s="9"/>
      <c r="L8" s="7"/>
      <c r="M8" s="8" t="s">
        <v>17</v>
      </c>
      <c r="N8" s="8"/>
      <c r="O8" s="7"/>
      <c r="P8" s="7"/>
      <c r="Q8" s="7"/>
      <c r="R8" s="7"/>
      <c r="S8" s="7"/>
      <c r="T8" s="7"/>
      <c r="U8" s="9"/>
    </row>
    <row r="9" ht="19.2" spans="1:21">
      <c r="A9" s="3" t="s">
        <v>3</v>
      </c>
      <c r="B9" s="3" t="s">
        <v>18</v>
      </c>
      <c r="C9" s="3" t="s">
        <v>19</v>
      </c>
      <c r="D9" s="3" t="s">
        <v>20</v>
      </c>
      <c r="E9" s="3" t="s">
        <v>21</v>
      </c>
      <c r="F9" s="3" t="s">
        <v>22</v>
      </c>
      <c r="G9" s="3" t="s">
        <v>23</v>
      </c>
      <c r="H9" s="3" t="s">
        <v>24</v>
      </c>
      <c r="I9" s="10"/>
      <c r="J9" s="10" t="s">
        <v>12</v>
      </c>
      <c r="L9" s="3" t="s">
        <v>3</v>
      </c>
      <c r="M9" s="3" t="s">
        <v>18</v>
      </c>
      <c r="N9" s="3" t="s">
        <v>19</v>
      </c>
      <c r="O9" s="3" t="s">
        <v>20</v>
      </c>
      <c r="P9" s="3" t="s">
        <v>21</v>
      </c>
      <c r="Q9" s="3" t="s">
        <v>22</v>
      </c>
      <c r="R9" s="3" t="s">
        <v>23</v>
      </c>
      <c r="S9" s="3" t="s">
        <v>24</v>
      </c>
      <c r="T9" s="10"/>
      <c r="U9" s="10" t="s">
        <v>12</v>
      </c>
    </row>
    <row r="10" spans="1:21">
      <c r="A10" s="3" t="s">
        <v>13</v>
      </c>
      <c r="B10" s="5">
        <v>31</v>
      </c>
      <c r="C10" s="5">
        <v>70</v>
      </c>
      <c r="D10" s="5">
        <v>64</v>
      </c>
      <c r="E10" s="9">
        <v>55</v>
      </c>
      <c r="F10" s="9">
        <v>54</v>
      </c>
      <c r="G10" s="5">
        <v>24</v>
      </c>
      <c r="H10" s="5">
        <v>14</v>
      </c>
      <c r="I10" s="10"/>
      <c r="J10" s="9">
        <f>SUM(B10:I10)</f>
        <v>312</v>
      </c>
      <c r="L10" s="3" t="s">
        <v>13</v>
      </c>
      <c r="M10" s="5">
        <v>31</v>
      </c>
      <c r="N10" s="5">
        <v>69</v>
      </c>
      <c r="O10" s="5">
        <v>63</v>
      </c>
      <c r="P10" s="9">
        <v>55</v>
      </c>
      <c r="Q10" s="9">
        <v>54</v>
      </c>
      <c r="R10" s="5">
        <v>40</v>
      </c>
      <c r="S10" s="5">
        <v>32</v>
      </c>
      <c r="T10" s="10"/>
      <c r="U10" s="9">
        <f t="shared" ref="U10:U13" si="3">SUM(M10:T10)</f>
        <v>344</v>
      </c>
    </row>
    <row r="11" spans="1:21">
      <c r="A11" s="3" t="s">
        <v>14</v>
      </c>
      <c r="B11" s="3"/>
      <c r="C11" s="3"/>
      <c r="D11" s="9"/>
      <c r="E11" s="9"/>
      <c r="F11" s="9"/>
      <c r="G11" s="3">
        <v>16</v>
      </c>
      <c r="H11" s="3">
        <v>18</v>
      </c>
      <c r="I11" s="10"/>
      <c r="J11" s="9">
        <f>SUM(B11:I11)</f>
        <v>34</v>
      </c>
      <c r="L11" s="3" t="s">
        <v>14</v>
      </c>
      <c r="M11" s="3"/>
      <c r="N11" s="3"/>
      <c r="O11" s="9"/>
      <c r="P11" s="9"/>
      <c r="Q11" s="9"/>
      <c r="R11" s="3">
        <v>6</v>
      </c>
      <c r="S11" s="3">
        <v>7</v>
      </c>
      <c r="T11" s="10"/>
      <c r="U11" s="9">
        <f t="shared" si="3"/>
        <v>13</v>
      </c>
    </row>
    <row r="12" spans="1:21">
      <c r="A12" s="3" t="s">
        <v>15</v>
      </c>
      <c r="B12" s="3"/>
      <c r="C12" s="3">
        <v>1</v>
      </c>
      <c r="D12" s="9">
        <v>1</v>
      </c>
      <c r="E12" s="9"/>
      <c r="F12" s="9"/>
      <c r="G12" s="3"/>
      <c r="H12" s="3"/>
      <c r="I12" s="10"/>
      <c r="J12" s="9">
        <f>SUM(B12:I12)</f>
        <v>2</v>
      </c>
      <c r="L12" s="3" t="s">
        <v>15</v>
      </c>
      <c r="M12" s="3">
        <v>1</v>
      </c>
      <c r="N12" s="3"/>
      <c r="O12" s="9"/>
      <c r="P12" s="9">
        <v>1</v>
      </c>
      <c r="Q12" s="9"/>
      <c r="R12" s="3"/>
      <c r="S12" s="3"/>
      <c r="T12" s="10"/>
      <c r="U12" s="9">
        <f t="shared" si="3"/>
        <v>2</v>
      </c>
    </row>
    <row r="13" spans="1:21">
      <c r="A13" s="3" t="s">
        <v>16</v>
      </c>
      <c r="B13" s="5">
        <f t="shared" ref="B13:H13" si="4">B10+B11-B12</f>
        <v>31</v>
      </c>
      <c r="C13" s="5">
        <f t="shared" si="4"/>
        <v>69</v>
      </c>
      <c r="D13" s="5">
        <f t="shared" si="4"/>
        <v>63</v>
      </c>
      <c r="E13" s="5">
        <f t="shared" si="4"/>
        <v>55</v>
      </c>
      <c r="F13" s="5">
        <f t="shared" si="4"/>
        <v>54</v>
      </c>
      <c r="G13" s="5">
        <f t="shared" si="4"/>
        <v>40</v>
      </c>
      <c r="H13" s="5">
        <f t="shared" si="4"/>
        <v>32</v>
      </c>
      <c r="I13" s="10"/>
      <c r="J13" s="9">
        <f>SUM(B13:I13)</f>
        <v>344</v>
      </c>
      <c r="L13" s="3" t="s">
        <v>16</v>
      </c>
      <c r="M13" s="5">
        <f t="shared" ref="M13:S13" si="5">M10+M11-M12</f>
        <v>30</v>
      </c>
      <c r="N13" s="5">
        <f t="shared" si="5"/>
        <v>69</v>
      </c>
      <c r="O13" s="5">
        <f t="shared" si="5"/>
        <v>63</v>
      </c>
      <c r="P13" s="5">
        <f t="shared" si="5"/>
        <v>54</v>
      </c>
      <c r="Q13" s="5">
        <f t="shared" si="5"/>
        <v>54</v>
      </c>
      <c r="R13" s="5">
        <f t="shared" si="5"/>
        <v>46</v>
      </c>
      <c r="S13" s="5">
        <f t="shared" si="5"/>
        <v>39</v>
      </c>
      <c r="T13" s="10"/>
      <c r="U13" s="9">
        <f t="shared" si="3"/>
        <v>355</v>
      </c>
    </row>
    <row r="14" spans="1:21">
      <c r="A14" s="7"/>
      <c r="B14" s="7" t="s">
        <v>25</v>
      </c>
      <c r="C14" s="7"/>
      <c r="D14" s="7"/>
      <c r="E14" s="7"/>
      <c r="F14" s="7"/>
      <c r="G14" s="7"/>
      <c r="H14" s="7"/>
      <c r="I14" s="7"/>
      <c r="J14" s="9"/>
      <c r="L14" s="7"/>
      <c r="M14" s="7" t="s">
        <v>25</v>
      </c>
      <c r="N14" s="7"/>
      <c r="O14" s="7"/>
      <c r="P14" s="7"/>
      <c r="Q14" s="7"/>
      <c r="R14" s="7"/>
      <c r="S14" s="7"/>
      <c r="T14" s="7"/>
      <c r="U14" s="9"/>
    </row>
    <row r="15" ht="19.2" spans="1:21">
      <c r="A15" s="3" t="s">
        <v>3</v>
      </c>
      <c r="B15" s="3" t="s">
        <v>26</v>
      </c>
      <c r="C15" s="3" t="s">
        <v>27</v>
      </c>
      <c r="D15" s="3" t="s">
        <v>28</v>
      </c>
      <c r="E15" s="3" t="s">
        <v>29</v>
      </c>
      <c r="F15" s="3" t="s">
        <v>30</v>
      </c>
      <c r="G15" s="3" t="s">
        <v>31</v>
      </c>
      <c r="H15" s="3" t="s">
        <v>32</v>
      </c>
      <c r="I15" s="26"/>
      <c r="J15" s="10" t="s">
        <v>12</v>
      </c>
      <c r="L15" s="3" t="s">
        <v>3</v>
      </c>
      <c r="M15" s="3" t="s">
        <v>26</v>
      </c>
      <c r="N15" s="3" t="s">
        <v>27</v>
      </c>
      <c r="O15" s="3" t="s">
        <v>28</v>
      </c>
      <c r="P15" s="3" t="s">
        <v>29</v>
      </c>
      <c r="Q15" s="3" t="s">
        <v>30</v>
      </c>
      <c r="R15" s="3" t="s">
        <v>31</v>
      </c>
      <c r="S15" s="3" t="s">
        <v>32</v>
      </c>
      <c r="T15" s="26"/>
      <c r="U15" s="10" t="s">
        <v>12</v>
      </c>
    </row>
    <row r="16" spans="1:21">
      <c r="A16" s="3" t="s">
        <v>13</v>
      </c>
      <c r="B16" s="5" t="e">
        <f>#REF!+#REF!-#REF!</f>
        <v>#REF!</v>
      </c>
      <c r="C16" s="5" t="e">
        <f>#REF!+#REF!-#REF!</f>
        <v>#REF!</v>
      </c>
      <c r="D16" s="5" t="e">
        <f>#REF!+#REF!-#REF!</f>
        <v>#REF!</v>
      </c>
      <c r="E16" s="5" t="e">
        <f>#REF!+#REF!-#REF!</f>
        <v>#REF!</v>
      </c>
      <c r="F16" s="5" t="e">
        <f>#REF!+#REF!-#REF!</f>
        <v>#REF!</v>
      </c>
      <c r="G16" s="5" t="e">
        <f>#REF!+#REF!-#REF!</f>
        <v>#REF!</v>
      </c>
      <c r="H16" s="5" t="e">
        <f>#REF!+#REF!-#REF!</f>
        <v>#REF!</v>
      </c>
      <c r="I16" s="10"/>
      <c r="J16" s="9" t="e">
        <f>SUM(B16:I16)</f>
        <v>#REF!</v>
      </c>
      <c r="L16" s="3" t="s">
        <v>13</v>
      </c>
      <c r="M16" s="5">
        <v>88</v>
      </c>
      <c r="N16" s="5">
        <v>36</v>
      </c>
      <c r="O16" s="5">
        <v>35</v>
      </c>
      <c r="P16" s="5">
        <v>38</v>
      </c>
      <c r="Q16" s="5">
        <v>27</v>
      </c>
      <c r="R16" s="5">
        <v>24</v>
      </c>
      <c r="S16" s="5">
        <v>32</v>
      </c>
      <c r="T16" s="10"/>
      <c r="U16" s="9">
        <f t="shared" ref="U16:U19" si="6">SUM(M16:T16)</f>
        <v>280</v>
      </c>
    </row>
    <row r="17" spans="1:21">
      <c r="A17" s="3" t="s">
        <v>14</v>
      </c>
      <c r="B17" s="3"/>
      <c r="C17" s="3"/>
      <c r="D17" s="3"/>
      <c r="E17" s="9"/>
      <c r="F17" s="9"/>
      <c r="G17" s="3">
        <v>6</v>
      </c>
      <c r="H17" s="3">
        <v>7</v>
      </c>
      <c r="I17" s="10"/>
      <c r="J17" s="9">
        <f>SUM(B17:I17)</f>
        <v>13</v>
      </c>
      <c r="L17" s="3" t="s">
        <v>14</v>
      </c>
      <c r="M17" s="3"/>
      <c r="N17" s="3"/>
      <c r="O17" s="3"/>
      <c r="P17" s="9"/>
      <c r="Q17" s="9"/>
      <c r="R17" s="3">
        <v>3</v>
      </c>
      <c r="S17" s="3">
        <v>6</v>
      </c>
      <c r="T17" s="10"/>
      <c r="U17" s="9">
        <f t="shared" si="6"/>
        <v>9</v>
      </c>
    </row>
    <row r="18" spans="1:21">
      <c r="A18" s="3" t="s">
        <v>15</v>
      </c>
      <c r="B18" s="3"/>
      <c r="C18" s="3"/>
      <c r="D18" s="3"/>
      <c r="E18" s="9"/>
      <c r="F18" s="9"/>
      <c r="G18" s="3"/>
      <c r="H18" s="3"/>
      <c r="I18" s="10"/>
      <c r="J18" s="9">
        <f>SUM(B18:I18)</f>
        <v>0</v>
      </c>
      <c r="L18" s="3" t="s">
        <v>15</v>
      </c>
      <c r="M18" s="3">
        <v>6</v>
      </c>
      <c r="N18" s="3"/>
      <c r="O18" s="3"/>
      <c r="P18" s="9"/>
      <c r="Q18" s="9"/>
      <c r="R18" s="3"/>
      <c r="S18" s="3"/>
      <c r="T18" s="10"/>
      <c r="U18" s="9">
        <f t="shared" si="6"/>
        <v>6</v>
      </c>
    </row>
    <row r="19" spans="1:21">
      <c r="A19" s="3" t="s">
        <v>16</v>
      </c>
      <c r="B19" s="5" t="e">
        <f>B16+B17-B18</f>
        <v>#REF!</v>
      </c>
      <c r="C19" s="5" t="e">
        <f t="shared" ref="C19:I19" si="7">C16+C17-C18</f>
        <v>#REF!</v>
      </c>
      <c r="D19" s="5" t="e">
        <f t="shared" si="7"/>
        <v>#REF!</v>
      </c>
      <c r="E19" s="5" t="e">
        <f t="shared" si="7"/>
        <v>#REF!</v>
      </c>
      <c r="F19" s="5" t="e">
        <f t="shared" si="7"/>
        <v>#REF!</v>
      </c>
      <c r="G19" s="5" t="e">
        <f t="shared" si="7"/>
        <v>#REF!</v>
      </c>
      <c r="H19" s="5" t="e">
        <f t="shared" si="7"/>
        <v>#REF!</v>
      </c>
      <c r="I19" s="5">
        <f t="shared" si="7"/>
        <v>0</v>
      </c>
      <c r="J19" s="9" t="e">
        <f>SUM(B19:I19)</f>
        <v>#REF!</v>
      </c>
      <c r="L19" s="3" t="s">
        <v>16</v>
      </c>
      <c r="M19" s="5">
        <f t="shared" ref="M19:T19" si="8">M16+M17-M18</f>
        <v>82</v>
      </c>
      <c r="N19" s="5">
        <f t="shared" si="8"/>
        <v>36</v>
      </c>
      <c r="O19" s="5">
        <f t="shared" si="8"/>
        <v>35</v>
      </c>
      <c r="P19" s="5">
        <f t="shared" si="8"/>
        <v>38</v>
      </c>
      <c r="Q19" s="5">
        <f t="shared" si="8"/>
        <v>27</v>
      </c>
      <c r="R19" s="5">
        <f t="shared" si="8"/>
        <v>27</v>
      </c>
      <c r="S19" s="5">
        <f t="shared" si="8"/>
        <v>38</v>
      </c>
      <c r="T19" s="5">
        <f t="shared" si="8"/>
        <v>0</v>
      </c>
      <c r="U19" s="9">
        <f t="shared" si="6"/>
        <v>283</v>
      </c>
    </row>
    <row r="20" ht="19.2" spans="1:21">
      <c r="A20" s="7"/>
      <c r="B20" s="7" t="s">
        <v>33</v>
      </c>
      <c r="C20" s="3" t="s">
        <v>34</v>
      </c>
      <c r="D20" s="3" t="s">
        <v>35</v>
      </c>
      <c r="E20" s="7" t="s">
        <v>36</v>
      </c>
      <c r="F20" s="7" t="s">
        <v>37</v>
      </c>
      <c r="G20" s="7"/>
      <c r="H20" s="7"/>
      <c r="I20" s="7"/>
      <c r="J20" s="10" t="s">
        <v>12</v>
      </c>
      <c r="L20" s="7"/>
      <c r="M20" s="7" t="s">
        <v>33</v>
      </c>
      <c r="N20" s="3" t="s">
        <v>34</v>
      </c>
      <c r="O20" s="3" t="s">
        <v>35</v>
      </c>
      <c r="P20" s="7" t="s">
        <v>36</v>
      </c>
      <c r="Q20" s="7" t="s">
        <v>37</v>
      </c>
      <c r="R20" s="7"/>
      <c r="S20" s="7"/>
      <c r="T20" s="7"/>
      <c r="U20" s="10" t="s">
        <v>12</v>
      </c>
    </row>
    <row r="21" spans="1:21">
      <c r="A21" s="3" t="s">
        <v>13</v>
      </c>
      <c r="B21" s="10">
        <v>74</v>
      </c>
      <c r="C21" s="9">
        <v>20</v>
      </c>
      <c r="D21" s="9">
        <v>10</v>
      </c>
      <c r="E21" s="11">
        <v>6</v>
      </c>
      <c r="F21" s="3">
        <v>9</v>
      </c>
      <c r="G21" s="3"/>
      <c r="H21" s="3"/>
      <c r="I21" s="10"/>
      <c r="J21" s="9">
        <f>SUM(B21:I21)</f>
        <v>119</v>
      </c>
      <c r="L21" s="3" t="s">
        <v>13</v>
      </c>
      <c r="M21" s="10">
        <v>74</v>
      </c>
      <c r="N21" s="9">
        <v>20</v>
      </c>
      <c r="O21" s="9">
        <v>10</v>
      </c>
      <c r="P21" s="11">
        <v>12</v>
      </c>
      <c r="Q21" s="3">
        <v>13</v>
      </c>
      <c r="R21" s="3"/>
      <c r="S21" s="3"/>
      <c r="T21" s="10"/>
      <c r="U21" s="9">
        <f t="shared" ref="U21:U24" si="9">SUM(M21:T21)</f>
        <v>129</v>
      </c>
    </row>
    <row r="22" spans="1:21">
      <c r="A22" s="3" t="s">
        <v>14</v>
      </c>
      <c r="B22" s="10"/>
      <c r="C22" s="9"/>
      <c r="D22" s="9"/>
      <c r="E22" s="11">
        <v>6</v>
      </c>
      <c r="F22" s="3">
        <v>4</v>
      </c>
      <c r="G22" s="3"/>
      <c r="H22" s="3"/>
      <c r="I22" s="10"/>
      <c r="J22" s="9">
        <f>SUM(B22:I22)</f>
        <v>10</v>
      </c>
      <c r="L22" s="3" t="s">
        <v>14</v>
      </c>
      <c r="M22" s="10"/>
      <c r="N22" s="9"/>
      <c r="O22" s="9"/>
      <c r="P22" s="11">
        <v>2</v>
      </c>
      <c r="Q22" s="3">
        <v>2</v>
      </c>
      <c r="R22" s="3"/>
      <c r="S22" s="3"/>
      <c r="T22" s="10"/>
      <c r="U22" s="9">
        <f t="shared" si="9"/>
        <v>4</v>
      </c>
    </row>
    <row r="23" spans="1:21">
      <c r="A23" s="3" t="s">
        <v>15</v>
      </c>
      <c r="B23" s="10"/>
      <c r="C23" s="9"/>
      <c r="D23" s="9"/>
      <c r="E23" s="11"/>
      <c r="F23" s="3"/>
      <c r="G23" s="3"/>
      <c r="H23" s="3"/>
      <c r="I23" s="10"/>
      <c r="J23" s="9">
        <f>SUM(B23:I23)</f>
        <v>0</v>
      </c>
      <c r="L23" s="3" t="s">
        <v>15</v>
      </c>
      <c r="M23" s="10">
        <v>3</v>
      </c>
      <c r="N23" s="9"/>
      <c r="O23" s="9"/>
      <c r="P23" s="11"/>
      <c r="Q23" s="3">
        <v>1</v>
      </c>
      <c r="R23" s="3"/>
      <c r="S23" s="3"/>
      <c r="T23" s="10"/>
      <c r="U23" s="9">
        <f t="shared" si="9"/>
        <v>4</v>
      </c>
    </row>
    <row r="24" spans="1:21">
      <c r="A24" s="3" t="s">
        <v>16</v>
      </c>
      <c r="B24" s="10">
        <f t="shared" ref="B24:F24" si="10">B21+B22-B23</f>
        <v>74</v>
      </c>
      <c r="C24" s="10">
        <f t="shared" si="10"/>
        <v>20</v>
      </c>
      <c r="D24" s="10">
        <f t="shared" si="10"/>
        <v>10</v>
      </c>
      <c r="E24" s="10">
        <f t="shared" si="10"/>
        <v>12</v>
      </c>
      <c r="F24" s="10">
        <f t="shared" si="10"/>
        <v>13</v>
      </c>
      <c r="G24" s="5"/>
      <c r="H24" s="5"/>
      <c r="I24" s="10"/>
      <c r="J24" s="9">
        <f>SUM(B24:I24)</f>
        <v>129</v>
      </c>
      <c r="L24" s="3" t="s">
        <v>16</v>
      </c>
      <c r="M24" s="10">
        <f t="shared" ref="M24:Q24" si="11">M21+M22-M23</f>
        <v>71</v>
      </c>
      <c r="N24" s="10">
        <f t="shared" si="11"/>
        <v>20</v>
      </c>
      <c r="O24" s="10">
        <f t="shared" si="11"/>
        <v>10</v>
      </c>
      <c r="P24" s="10">
        <f t="shared" si="11"/>
        <v>14</v>
      </c>
      <c r="Q24" s="10">
        <f t="shared" si="11"/>
        <v>14</v>
      </c>
      <c r="R24" s="5"/>
      <c r="S24" s="5"/>
      <c r="T24" s="10"/>
      <c r="U24" s="9">
        <f t="shared" si="9"/>
        <v>129</v>
      </c>
    </row>
    <row r="25" spans="1:21">
      <c r="A25" s="7"/>
      <c r="B25" s="7" t="s">
        <v>38</v>
      </c>
      <c r="C25" s="7"/>
      <c r="D25" s="7"/>
      <c r="E25" s="7"/>
      <c r="F25" s="7"/>
      <c r="G25" s="7"/>
      <c r="H25" s="7"/>
      <c r="I25" s="7"/>
      <c r="J25" s="4"/>
      <c r="L25" s="7"/>
      <c r="M25" s="7" t="s">
        <v>38</v>
      </c>
      <c r="N25" s="7"/>
      <c r="O25" s="7"/>
      <c r="P25" s="7"/>
      <c r="Q25" s="7"/>
      <c r="R25" s="7"/>
      <c r="S25" s="7"/>
      <c r="T25" s="7"/>
      <c r="U25" s="4"/>
    </row>
    <row r="26" ht="19.2" spans="1:21">
      <c r="A26" s="3"/>
      <c r="B26" s="3" t="s">
        <v>39</v>
      </c>
      <c r="C26" s="3" t="s">
        <v>40</v>
      </c>
      <c r="D26" s="3" t="s">
        <v>41</v>
      </c>
      <c r="E26" s="3" t="s">
        <v>17</v>
      </c>
      <c r="F26" s="3" t="s">
        <v>42</v>
      </c>
      <c r="G26" s="3" t="s">
        <v>33</v>
      </c>
      <c r="H26" s="9"/>
      <c r="I26" s="3" t="s">
        <v>43</v>
      </c>
      <c r="J26" s="3" t="s">
        <v>44</v>
      </c>
      <c r="L26" s="3"/>
      <c r="M26" s="3" t="s">
        <v>39</v>
      </c>
      <c r="N26" s="3" t="s">
        <v>40</v>
      </c>
      <c r="O26" s="3" t="s">
        <v>41</v>
      </c>
      <c r="P26" s="3" t="s">
        <v>17</v>
      </c>
      <c r="Q26" s="3" t="s">
        <v>42</v>
      </c>
      <c r="R26" s="3" t="s">
        <v>33</v>
      </c>
      <c r="S26" s="9"/>
      <c r="T26" s="3" t="s">
        <v>43</v>
      </c>
      <c r="U26" s="3" t="s">
        <v>44</v>
      </c>
    </row>
    <row r="27" spans="1:21">
      <c r="A27" s="3" t="s">
        <v>13</v>
      </c>
      <c r="B27" s="3">
        <v>71</v>
      </c>
      <c r="C27" s="3">
        <v>84</v>
      </c>
      <c r="D27" s="3">
        <v>23</v>
      </c>
      <c r="E27" s="3">
        <v>274</v>
      </c>
      <c r="F27" s="3">
        <v>224</v>
      </c>
      <c r="G27" s="3">
        <v>104</v>
      </c>
      <c r="H27" s="9"/>
      <c r="I27" s="3">
        <f>SUM(B27:G27)</f>
        <v>780</v>
      </c>
      <c r="J27" s="3">
        <f>I27+I32</f>
        <v>876</v>
      </c>
      <c r="L27" s="3" t="s">
        <v>13</v>
      </c>
      <c r="M27" s="3">
        <v>162</v>
      </c>
      <c r="N27" s="3">
        <v>82</v>
      </c>
      <c r="O27" s="3">
        <v>23</v>
      </c>
      <c r="P27" s="3">
        <v>272</v>
      </c>
      <c r="Q27" s="3">
        <v>224</v>
      </c>
      <c r="R27" s="3">
        <v>104</v>
      </c>
      <c r="S27" s="9"/>
      <c r="T27" s="3">
        <f>SUM(M27:R27)</f>
        <v>867</v>
      </c>
      <c r="U27" s="3">
        <f>T27+T32</f>
        <v>1020</v>
      </c>
    </row>
    <row r="28" spans="1:21">
      <c r="A28" s="3" t="s">
        <v>45</v>
      </c>
      <c r="B28" s="3">
        <v>101</v>
      </c>
      <c r="C28" s="3"/>
      <c r="D28" s="3"/>
      <c r="E28" s="3"/>
      <c r="F28" s="3"/>
      <c r="G28" s="3"/>
      <c r="H28" s="3"/>
      <c r="I28" s="3"/>
      <c r="J28" s="3"/>
      <c r="L28" s="3" t="s">
        <v>45</v>
      </c>
      <c r="M28" s="3"/>
      <c r="N28" s="3"/>
      <c r="O28" s="3"/>
      <c r="P28" s="3"/>
      <c r="Q28" s="3"/>
      <c r="R28" s="3"/>
      <c r="S28" s="3"/>
      <c r="T28" s="3"/>
      <c r="U28" s="3"/>
    </row>
    <row r="29" spans="1:21">
      <c r="A29" s="3" t="s">
        <v>46</v>
      </c>
      <c r="B29" s="3">
        <v>10</v>
      </c>
      <c r="C29" s="3">
        <v>2</v>
      </c>
      <c r="D29" s="3"/>
      <c r="E29" s="3">
        <v>2</v>
      </c>
      <c r="F29" s="3"/>
      <c r="G29" s="9"/>
      <c r="H29" s="3"/>
      <c r="I29" s="3"/>
      <c r="J29" s="3"/>
      <c r="L29" s="3" t="s">
        <v>46</v>
      </c>
      <c r="M29" s="3">
        <v>3</v>
      </c>
      <c r="N29" s="3">
        <v>2</v>
      </c>
      <c r="O29" s="3"/>
      <c r="P29" s="3">
        <v>2</v>
      </c>
      <c r="Q29" s="3">
        <v>6</v>
      </c>
      <c r="R29" s="9">
        <v>3</v>
      </c>
      <c r="S29" s="3"/>
      <c r="T29" s="3"/>
      <c r="U29" s="3"/>
    </row>
    <row r="30" spans="1:21">
      <c r="A30" s="3" t="s">
        <v>47</v>
      </c>
      <c r="B30" s="3">
        <f>B27+B28-B29</f>
        <v>162</v>
      </c>
      <c r="C30" s="3">
        <f t="shared" ref="B30:G30" si="12">C27+C28-C29</f>
        <v>82</v>
      </c>
      <c r="D30" s="3">
        <f t="shared" si="12"/>
        <v>23</v>
      </c>
      <c r="E30" s="3">
        <f t="shared" si="12"/>
        <v>272</v>
      </c>
      <c r="F30" s="3">
        <f t="shared" si="12"/>
        <v>224</v>
      </c>
      <c r="G30" s="3">
        <f t="shared" si="12"/>
        <v>104</v>
      </c>
      <c r="H30" s="3"/>
      <c r="I30" s="3">
        <f t="shared" ref="I30:I35" si="13">SUM(B30:H30)</f>
        <v>867</v>
      </c>
      <c r="J30" s="3"/>
      <c r="L30" s="3" t="s">
        <v>47</v>
      </c>
      <c r="M30" s="3">
        <f t="shared" ref="M30:R30" si="14">M27+M28-M29</f>
        <v>159</v>
      </c>
      <c r="N30" s="3">
        <f t="shared" si="14"/>
        <v>80</v>
      </c>
      <c r="O30" s="3">
        <f t="shared" si="14"/>
        <v>23</v>
      </c>
      <c r="P30" s="3">
        <f t="shared" si="14"/>
        <v>270</v>
      </c>
      <c r="Q30" s="3">
        <f t="shared" si="14"/>
        <v>218</v>
      </c>
      <c r="R30" s="3">
        <f t="shared" si="14"/>
        <v>101</v>
      </c>
      <c r="S30" s="3"/>
      <c r="T30" s="3">
        <f t="shared" ref="T30:T35" si="15">SUM(M30:S30)</f>
        <v>851</v>
      </c>
      <c r="U30" s="3"/>
    </row>
    <row r="31" ht="19.2" spans="1:21">
      <c r="A31" s="3"/>
      <c r="B31" s="3" t="s">
        <v>48</v>
      </c>
      <c r="C31" s="3" t="s">
        <v>49</v>
      </c>
      <c r="D31" s="3" t="s">
        <v>50</v>
      </c>
      <c r="E31" s="3" t="s">
        <v>51</v>
      </c>
      <c r="F31" s="3" t="s">
        <v>52</v>
      </c>
      <c r="G31" s="3" t="s">
        <v>53</v>
      </c>
      <c r="H31" s="9"/>
      <c r="I31" s="3" t="s">
        <v>54</v>
      </c>
      <c r="J31" s="3" t="s">
        <v>55</v>
      </c>
      <c r="L31" s="3"/>
      <c r="M31" s="3" t="s">
        <v>48</v>
      </c>
      <c r="N31" s="3" t="s">
        <v>49</v>
      </c>
      <c r="O31" s="3" t="s">
        <v>50</v>
      </c>
      <c r="P31" s="3" t="s">
        <v>51</v>
      </c>
      <c r="Q31" s="3" t="s">
        <v>52</v>
      </c>
      <c r="R31" s="3" t="s">
        <v>53</v>
      </c>
      <c r="S31" s="9"/>
      <c r="T31" s="3" t="s">
        <v>54</v>
      </c>
      <c r="U31" s="3" t="s">
        <v>55</v>
      </c>
    </row>
    <row r="32" spans="1:21">
      <c r="A32" s="3" t="s">
        <v>13</v>
      </c>
      <c r="B32" s="3">
        <v>24</v>
      </c>
      <c r="C32" s="3">
        <v>14</v>
      </c>
      <c r="D32" s="3">
        <v>18</v>
      </c>
      <c r="E32" s="3">
        <v>25</v>
      </c>
      <c r="F32" s="3">
        <v>6</v>
      </c>
      <c r="G32" s="3">
        <v>9</v>
      </c>
      <c r="H32" s="9"/>
      <c r="I32" s="3">
        <f t="shared" si="13"/>
        <v>96</v>
      </c>
      <c r="J32" s="3"/>
      <c r="L32" s="3" t="s">
        <v>13</v>
      </c>
      <c r="M32" s="3">
        <v>40</v>
      </c>
      <c r="N32" s="3">
        <v>32</v>
      </c>
      <c r="O32" s="3">
        <v>24</v>
      </c>
      <c r="P32" s="3">
        <v>32</v>
      </c>
      <c r="Q32" s="3">
        <v>12</v>
      </c>
      <c r="R32" s="3">
        <v>13</v>
      </c>
      <c r="S32" s="9"/>
      <c r="T32" s="3">
        <f t="shared" si="15"/>
        <v>153</v>
      </c>
      <c r="U32" s="3"/>
    </row>
    <row r="33" spans="1:21">
      <c r="A33" s="3" t="s">
        <v>45</v>
      </c>
      <c r="B33" s="3">
        <v>16</v>
      </c>
      <c r="C33" s="3">
        <v>18</v>
      </c>
      <c r="D33" s="3">
        <v>6</v>
      </c>
      <c r="E33" s="3">
        <v>7</v>
      </c>
      <c r="F33" s="3">
        <v>6</v>
      </c>
      <c r="G33" s="3">
        <v>4</v>
      </c>
      <c r="H33" s="3"/>
      <c r="I33" s="3"/>
      <c r="J33" s="3"/>
      <c r="L33" s="3" t="s">
        <v>45</v>
      </c>
      <c r="M33" s="3">
        <v>6</v>
      </c>
      <c r="N33" s="3">
        <v>7</v>
      </c>
      <c r="O33" s="3">
        <v>3</v>
      </c>
      <c r="P33" s="3">
        <v>6</v>
      </c>
      <c r="Q33" s="3">
        <v>2</v>
      </c>
      <c r="R33" s="3">
        <v>2</v>
      </c>
      <c r="S33" s="3"/>
      <c r="T33" s="3"/>
      <c r="U33" s="3"/>
    </row>
    <row r="34" spans="1:21">
      <c r="A34" s="3" t="s">
        <v>46</v>
      </c>
      <c r="B34" s="3"/>
      <c r="C34" s="3"/>
      <c r="D34" s="3"/>
      <c r="E34" s="3"/>
      <c r="F34" s="3"/>
      <c r="G34" s="3"/>
      <c r="H34" s="3"/>
      <c r="I34" s="3"/>
      <c r="J34" s="3"/>
      <c r="L34" s="3" t="s">
        <v>46</v>
      </c>
      <c r="M34" s="3"/>
      <c r="N34" s="3"/>
      <c r="O34" s="3"/>
      <c r="P34" s="3"/>
      <c r="Q34" s="3"/>
      <c r="R34" s="3">
        <v>1</v>
      </c>
      <c r="S34" s="3"/>
      <c r="T34" s="3"/>
      <c r="U34" s="3"/>
    </row>
    <row r="35" spans="1:21">
      <c r="A35" s="3" t="s">
        <v>47</v>
      </c>
      <c r="B35" s="3">
        <f t="shared" ref="B35:G35" si="16">B32+B33-B34</f>
        <v>40</v>
      </c>
      <c r="C35" s="3">
        <f t="shared" si="16"/>
        <v>32</v>
      </c>
      <c r="D35" s="3">
        <f t="shared" si="16"/>
        <v>24</v>
      </c>
      <c r="E35" s="3">
        <f t="shared" si="16"/>
        <v>32</v>
      </c>
      <c r="F35" s="3">
        <f t="shared" si="16"/>
        <v>12</v>
      </c>
      <c r="G35" s="3">
        <f t="shared" si="16"/>
        <v>13</v>
      </c>
      <c r="H35" s="3"/>
      <c r="I35" s="3">
        <f t="shared" si="13"/>
        <v>153</v>
      </c>
      <c r="J35" s="3">
        <f>I30+I35</f>
        <v>1020</v>
      </c>
      <c r="L35" s="3" t="s">
        <v>47</v>
      </c>
      <c r="M35" s="3">
        <f t="shared" ref="M35:R35" si="17">M32+M33-M34</f>
        <v>46</v>
      </c>
      <c r="N35" s="3">
        <f t="shared" si="17"/>
        <v>39</v>
      </c>
      <c r="O35" s="3">
        <f t="shared" si="17"/>
        <v>27</v>
      </c>
      <c r="P35" s="3">
        <f t="shared" si="17"/>
        <v>38</v>
      </c>
      <c r="Q35" s="3">
        <f t="shared" si="17"/>
        <v>14</v>
      </c>
      <c r="R35" s="3">
        <f t="shared" si="17"/>
        <v>14</v>
      </c>
      <c r="S35" s="3"/>
      <c r="T35" s="3">
        <f t="shared" si="15"/>
        <v>178</v>
      </c>
      <c r="U35" s="3">
        <f>T30+T35</f>
        <v>1029</v>
      </c>
    </row>
    <row r="36" spans="1:21">
      <c r="A36" s="12"/>
      <c r="B36" s="12"/>
      <c r="C36" s="7"/>
      <c r="D36" s="7"/>
      <c r="E36" s="7"/>
      <c r="F36" s="7"/>
      <c r="G36" s="7"/>
      <c r="H36" s="7"/>
      <c r="I36" s="7"/>
      <c r="J36" s="7"/>
      <c r="L36" s="12"/>
      <c r="M36" s="12"/>
      <c r="N36" s="7"/>
      <c r="O36" s="7"/>
      <c r="P36" s="7"/>
      <c r="Q36" s="7"/>
      <c r="R36" s="7"/>
      <c r="S36" s="7"/>
      <c r="T36" s="7"/>
      <c r="U36" s="7"/>
    </row>
    <row r="37" spans="1:21">
      <c r="A37" s="13" t="s">
        <v>56</v>
      </c>
      <c r="B37" s="13"/>
      <c r="C37" s="2"/>
      <c r="D37" s="2" t="s">
        <v>57</v>
      </c>
      <c r="E37" s="2"/>
      <c r="F37" s="2" t="s">
        <v>58</v>
      </c>
      <c r="G37" s="4"/>
      <c r="H37" s="14"/>
      <c r="I37" s="14" t="s">
        <v>59</v>
      </c>
      <c r="J37" s="4"/>
      <c r="L37" s="13" t="s">
        <v>56</v>
      </c>
      <c r="M37" s="13"/>
      <c r="N37" s="2"/>
      <c r="O37" s="2" t="s">
        <v>57</v>
      </c>
      <c r="P37" s="2"/>
      <c r="Q37" s="2" t="s">
        <v>58</v>
      </c>
      <c r="R37" s="4"/>
      <c r="S37" s="14"/>
      <c r="T37" s="14" t="s">
        <v>59</v>
      </c>
      <c r="U37" s="4"/>
    </row>
    <row r="38" spans="1:21">
      <c r="A38" s="4"/>
      <c r="B38" s="4"/>
      <c r="C38" s="4"/>
      <c r="D38" s="4"/>
      <c r="E38" s="4"/>
      <c r="F38" s="4"/>
      <c r="G38" s="15">
        <v>44520</v>
      </c>
      <c r="H38" s="15"/>
      <c r="I38" s="4"/>
      <c r="J38" s="4"/>
      <c r="L38" s="4"/>
      <c r="M38" s="4"/>
      <c r="N38" s="4"/>
      <c r="O38" s="4"/>
      <c r="P38" s="4"/>
      <c r="Q38" s="4"/>
      <c r="R38" s="15">
        <v>44550</v>
      </c>
      <c r="S38" s="15"/>
      <c r="T38" s="4"/>
      <c r="U38" s="4"/>
    </row>
    <row r="39" spans="1:21">
      <c r="A39" s="16" t="s">
        <v>60</v>
      </c>
      <c r="B39" s="16"/>
      <c r="C39" s="16"/>
      <c r="D39" s="16"/>
      <c r="E39" s="16"/>
      <c r="F39" s="16"/>
      <c r="G39" s="17"/>
      <c r="H39" s="4"/>
      <c r="I39" s="4"/>
      <c r="J39" s="4"/>
      <c r="L39" s="27" t="s">
        <v>61</v>
      </c>
      <c r="M39" s="27"/>
      <c r="N39" s="27"/>
      <c r="O39" s="27"/>
      <c r="P39" s="27"/>
      <c r="Q39" s="27"/>
      <c r="R39" s="17"/>
      <c r="S39" s="4"/>
      <c r="T39" s="4"/>
      <c r="U39" s="4"/>
    </row>
    <row r="40" spans="1:21">
      <c r="A40" s="16"/>
      <c r="B40" s="16"/>
      <c r="C40" s="16"/>
      <c r="D40" s="16"/>
      <c r="E40" s="16"/>
      <c r="F40" s="16"/>
      <c r="G40" s="17"/>
      <c r="H40" s="4"/>
      <c r="I40" s="4"/>
      <c r="J40" s="4"/>
      <c r="L40" s="16"/>
      <c r="M40" s="16"/>
      <c r="N40" s="16"/>
      <c r="O40" s="16"/>
      <c r="P40" s="16"/>
      <c r="Q40" s="16"/>
      <c r="R40" s="17"/>
      <c r="S40" s="4"/>
      <c r="T40" s="4"/>
      <c r="U40" s="4"/>
    </row>
    <row r="41" ht="31.2" spans="1:21">
      <c r="A41" s="18" t="s">
        <v>3</v>
      </c>
      <c r="B41" s="18" t="s">
        <v>42</v>
      </c>
      <c r="C41" s="18" t="s">
        <v>10</v>
      </c>
      <c r="D41" s="18" t="s">
        <v>11</v>
      </c>
      <c r="E41" s="18"/>
      <c r="F41" s="19" t="s">
        <v>12</v>
      </c>
      <c r="G41" s="20" t="s">
        <v>62</v>
      </c>
      <c r="H41" s="4"/>
      <c r="I41" s="4"/>
      <c r="J41" s="4"/>
      <c r="L41" s="18" t="s">
        <v>3</v>
      </c>
      <c r="M41" s="18" t="s">
        <v>42</v>
      </c>
      <c r="N41" s="18" t="s">
        <v>10</v>
      </c>
      <c r="O41" s="18" t="s">
        <v>11</v>
      </c>
      <c r="P41" s="18"/>
      <c r="Q41" s="19" t="s">
        <v>12</v>
      </c>
      <c r="R41" s="20" t="s">
        <v>62</v>
      </c>
      <c r="S41" s="4"/>
      <c r="T41" s="4"/>
      <c r="U41" s="4"/>
    </row>
    <row r="42" ht="31.2" spans="1:21">
      <c r="A42" s="18" t="s">
        <v>13</v>
      </c>
      <c r="B42" s="18">
        <v>9</v>
      </c>
      <c r="C42" s="17">
        <v>46</v>
      </c>
      <c r="D42" s="21">
        <v>45</v>
      </c>
      <c r="E42" s="18"/>
      <c r="F42" s="19">
        <f t="shared" ref="F42:F45" si="18">SUM(B42:E42)</f>
        <v>100</v>
      </c>
      <c r="G42" s="22"/>
      <c r="H42" s="4"/>
      <c r="I42" s="4"/>
      <c r="J42" s="4"/>
      <c r="L42" s="18" t="s">
        <v>13</v>
      </c>
      <c r="M42" s="18">
        <v>9</v>
      </c>
      <c r="N42" s="17">
        <v>46</v>
      </c>
      <c r="O42" s="21">
        <v>45</v>
      </c>
      <c r="P42" s="18"/>
      <c r="Q42" s="19">
        <f t="shared" ref="Q42:Q45" si="19">SUM(M42:P42)</f>
        <v>100</v>
      </c>
      <c r="R42" s="22"/>
      <c r="S42" s="4"/>
      <c r="T42" s="4"/>
      <c r="U42" s="4"/>
    </row>
    <row r="43" ht="31.2" spans="1:21">
      <c r="A43" s="18" t="s">
        <v>14</v>
      </c>
      <c r="B43" s="18"/>
      <c r="C43" s="18"/>
      <c r="D43" s="18"/>
      <c r="E43" s="18"/>
      <c r="F43" s="18">
        <f t="shared" si="18"/>
        <v>0</v>
      </c>
      <c r="G43" s="22"/>
      <c r="H43" s="4"/>
      <c r="I43" s="4"/>
      <c r="J43" s="4"/>
      <c r="L43" s="18" t="s">
        <v>14</v>
      </c>
      <c r="M43" s="18"/>
      <c r="N43" s="18"/>
      <c r="O43" s="18"/>
      <c r="P43" s="18"/>
      <c r="Q43" s="18">
        <f t="shared" si="19"/>
        <v>0</v>
      </c>
      <c r="R43" s="22"/>
      <c r="S43" s="4"/>
      <c r="T43" s="4"/>
      <c r="U43" s="4"/>
    </row>
    <row r="44" ht="31.2" spans="1:21">
      <c r="A44" s="18" t="s">
        <v>15</v>
      </c>
      <c r="B44" s="23"/>
      <c r="C44" s="23"/>
      <c r="D44" s="23"/>
      <c r="E44" s="18"/>
      <c r="F44" s="19">
        <f t="shared" si="18"/>
        <v>0</v>
      </c>
      <c r="G44" s="22"/>
      <c r="H44" s="4"/>
      <c r="I44" s="4"/>
      <c r="J44" s="4"/>
      <c r="L44" s="18" t="s">
        <v>15</v>
      </c>
      <c r="M44" s="23"/>
      <c r="N44" s="23"/>
      <c r="O44" s="23"/>
      <c r="P44" s="18"/>
      <c r="Q44" s="19">
        <f t="shared" si="19"/>
        <v>0</v>
      </c>
      <c r="R44" s="22"/>
      <c r="S44" s="4"/>
      <c r="T44" s="4"/>
      <c r="U44" s="4"/>
    </row>
    <row r="45" ht="31.2" spans="1:21">
      <c r="A45" s="18" t="s">
        <v>16</v>
      </c>
      <c r="B45" s="18">
        <f>B42+B43-B44</f>
        <v>9</v>
      </c>
      <c r="C45" s="18">
        <f>C42+C43-C44</f>
        <v>46</v>
      </c>
      <c r="D45" s="18">
        <f>D42+D43-D44</f>
        <v>45</v>
      </c>
      <c r="E45" s="18"/>
      <c r="F45" s="19">
        <f t="shared" si="18"/>
        <v>100</v>
      </c>
      <c r="G45" s="22"/>
      <c r="H45" s="4"/>
      <c r="I45" s="4"/>
      <c r="J45" s="4"/>
      <c r="L45" s="18" t="s">
        <v>16</v>
      </c>
      <c r="M45" s="18">
        <f t="shared" ref="M45:O45" si="20">M42+M43-M44</f>
        <v>9</v>
      </c>
      <c r="N45" s="18">
        <f t="shared" si="20"/>
        <v>46</v>
      </c>
      <c r="O45" s="18">
        <f t="shared" si="20"/>
        <v>45</v>
      </c>
      <c r="P45" s="18"/>
      <c r="Q45" s="19">
        <f t="shared" si="19"/>
        <v>100</v>
      </c>
      <c r="R45" s="22"/>
      <c r="S45" s="4"/>
      <c r="T45" s="4"/>
      <c r="U45" s="4"/>
    </row>
    <row r="46" spans="1:21">
      <c r="A46" s="17"/>
      <c r="B46" s="17"/>
      <c r="C46" s="17"/>
      <c r="D46" s="17"/>
      <c r="E46" s="17"/>
      <c r="F46" s="17"/>
      <c r="G46" s="17"/>
      <c r="H46" s="4"/>
      <c r="I46" s="4"/>
      <c r="J46" s="4"/>
      <c r="L46" s="17"/>
      <c r="M46" s="17"/>
      <c r="N46" s="17"/>
      <c r="O46" s="17"/>
      <c r="P46" s="17"/>
      <c r="Q46" s="17"/>
      <c r="R46" s="17"/>
      <c r="S46" s="4"/>
      <c r="T46" s="4"/>
      <c r="U46" s="4"/>
    </row>
    <row r="47" spans="1:21">
      <c r="A47" s="24" t="s">
        <v>56</v>
      </c>
      <c r="B47" s="24"/>
      <c r="C47" s="16" t="s">
        <v>57</v>
      </c>
      <c r="D47" s="17"/>
      <c r="E47" s="16" t="s">
        <v>58</v>
      </c>
      <c r="F47" s="17"/>
      <c r="G47" s="17"/>
      <c r="H47" s="4"/>
      <c r="I47" s="4"/>
      <c r="J47" s="4"/>
      <c r="L47" s="24" t="s">
        <v>56</v>
      </c>
      <c r="M47" s="24"/>
      <c r="N47" s="16" t="s">
        <v>57</v>
      </c>
      <c r="O47" s="17"/>
      <c r="P47" s="16" t="s">
        <v>58</v>
      </c>
      <c r="Q47" s="17"/>
      <c r="R47" s="17"/>
      <c r="S47" s="4"/>
      <c r="T47" s="4"/>
      <c r="U47" s="4"/>
    </row>
    <row r="48" spans="1:21">
      <c r="A48" s="17"/>
      <c r="B48" s="17"/>
      <c r="C48" s="17"/>
      <c r="D48" s="25">
        <v>44520</v>
      </c>
      <c r="E48" s="25"/>
      <c r="F48" s="17"/>
      <c r="G48" s="17"/>
      <c r="H48" s="4"/>
      <c r="I48" s="4"/>
      <c r="J48" s="4"/>
      <c r="L48" s="17"/>
      <c r="M48" s="17"/>
      <c r="N48" s="17"/>
      <c r="O48" s="25">
        <v>44550</v>
      </c>
      <c r="P48" s="25"/>
      <c r="Q48" s="17"/>
      <c r="R48" s="17"/>
      <c r="S48" s="4"/>
      <c r="T48" s="4"/>
      <c r="U48" s="4"/>
    </row>
    <row r="51" spans="1:20">
      <c r="A51" s="1" t="s">
        <v>63</v>
      </c>
      <c r="B51" s="1"/>
      <c r="C51" s="1"/>
      <c r="D51" s="1"/>
      <c r="E51" s="1"/>
      <c r="F51" s="1"/>
      <c r="G51" s="1"/>
      <c r="H51" s="1"/>
      <c r="I51" s="1"/>
      <c r="J51" s="4"/>
      <c r="L51" s="1" t="s">
        <v>64</v>
      </c>
      <c r="M51" s="1"/>
      <c r="N51" s="1"/>
      <c r="O51" s="1"/>
      <c r="P51" s="1"/>
      <c r="Q51" s="1"/>
      <c r="R51" s="1"/>
      <c r="S51" s="1"/>
      <c r="T51" s="1"/>
    </row>
    <row r="52" spans="1:12">
      <c r="A52" s="2"/>
      <c r="B52" s="2" t="s">
        <v>2</v>
      </c>
      <c r="C52" s="2"/>
      <c r="D52" s="2"/>
      <c r="E52" s="2"/>
      <c r="F52" s="2"/>
      <c r="G52" s="2"/>
      <c r="H52" s="2"/>
      <c r="I52" s="2"/>
      <c r="J52" s="4"/>
      <c r="L52" s="2" t="s">
        <v>2</v>
      </c>
    </row>
    <row r="53" ht="19.2" spans="1:21">
      <c r="A53" s="3" t="s">
        <v>3</v>
      </c>
      <c r="B53" s="3" t="s">
        <v>4</v>
      </c>
      <c r="C53" s="3" t="s">
        <v>5</v>
      </c>
      <c r="D53" s="3" t="s">
        <v>6</v>
      </c>
      <c r="E53" s="3" t="s">
        <v>7</v>
      </c>
      <c r="F53" s="3" t="s">
        <v>8</v>
      </c>
      <c r="G53" s="3" t="s">
        <v>9</v>
      </c>
      <c r="H53" s="3" t="s">
        <v>10</v>
      </c>
      <c r="I53" s="10" t="s">
        <v>11</v>
      </c>
      <c r="J53" s="10" t="s">
        <v>12</v>
      </c>
      <c r="L53" s="3" t="s">
        <v>3</v>
      </c>
      <c r="M53" s="3" t="s">
        <v>4</v>
      </c>
      <c r="N53" s="3" t="s">
        <v>5</v>
      </c>
      <c r="O53" s="3" t="s">
        <v>6</v>
      </c>
      <c r="P53" s="3" t="s">
        <v>7</v>
      </c>
      <c r="Q53" s="3" t="s">
        <v>8</v>
      </c>
      <c r="R53" s="3" t="s">
        <v>9</v>
      </c>
      <c r="S53" s="3" t="s">
        <v>10</v>
      </c>
      <c r="T53" s="3" t="s">
        <v>11</v>
      </c>
      <c r="U53" s="3" t="s">
        <v>12</v>
      </c>
    </row>
    <row r="54" spans="1:21">
      <c r="A54" s="3" t="s">
        <v>13</v>
      </c>
      <c r="B54" s="3">
        <v>26</v>
      </c>
      <c r="C54" s="4">
        <v>38</v>
      </c>
      <c r="D54" s="5">
        <v>36</v>
      </c>
      <c r="E54" s="4">
        <v>44</v>
      </c>
      <c r="F54" s="3">
        <v>7</v>
      </c>
      <c r="G54" s="4">
        <v>16</v>
      </c>
      <c r="H54" s="3">
        <v>47</v>
      </c>
      <c r="I54" s="10">
        <v>48</v>
      </c>
      <c r="J54" s="9">
        <f t="shared" ref="J54:J57" si="21">SUM(B54:I54)</f>
        <v>262</v>
      </c>
      <c r="L54" s="3" t="s">
        <v>13</v>
      </c>
      <c r="M54" s="26">
        <v>16</v>
      </c>
      <c r="N54" s="26">
        <v>38</v>
      </c>
      <c r="O54" s="26">
        <v>28</v>
      </c>
      <c r="P54" s="3">
        <v>44</v>
      </c>
      <c r="Q54" s="3">
        <v>7</v>
      </c>
      <c r="R54" s="26">
        <v>16</v>
      </c>
      <c r="S54" s="26">
        <v>47</v>
      </c>
      <c r="T54" s="26">
        <v>48</v>
      </c>
      <c r="U54" s="26">
        <f>SUM(M54:T54)</f>
        <v>244</v>
      </c>
    </row>
    <row r="55" spans="1:21">
      <c r="A55" s="3" t="s">
        <v>14</v>
      </c>
      <c r="B55" s="3"/>
      <c r="C55" s="3"/>
      <c r="D55" s="3"/>
      <c r="E55" s="5"/>
      <c r="F55" s="4"/>
      <c r="G55" s="3"/>
      <c r="H55" s="3"/>
      <c r="I55" s="3"/>
      <c r="J55" s="9">
        <f t="shared" si="21"/>
        <v>0</v>
      </c>
      <c r="L55" s="3" t="s">
        <v>14</v>
      </c>
      <c r="M55" s="26"/>
      <c r="N55" s="26"/>
      <c r="O55" s="26"/>
      <c r="P55" s="26"/>
      <c r="Q55" s="26"/>
      <c r="R55" s="26"/>
      <c r="S55" s="26"/>
      <c r="T55" s="26"/>
      <c r="U55" s="26"/>
    </row>
    <row r="56" spans="1:21">
      <c r="A56" s="3" t="s">
        <v>15</v>
      </c>
      <c r="B56" s="6">
        <v>10</v>
      </c>
      <c r="C56" s="6"/>
      <c r="D56" s="6">
        <v>8</v>
      </c>
      <c r="E56" s="6"/>
      <c r="F56" s="3"/>
      <c r="G56" s="3"/>
      <c r="H56" s="3"/>
      <c r="I56" s="10"/>
      <c r="J56" s="9">
        <f t="shared" si="21"/>
        <v>18</v>
      </c>
      <c r="L56" s="3" t="s">
        <v>15</v>
      </c>
      <c r="M56" s="26">
        <v>12</v>
      </c>
      <c r="N56" s="26">
        <v>1</v>
      </c>
      <c r="O56" s="26"/>
      <c r="P56" s="26"/>
      <c r="Q56" s="26"/>
      <c r="R56" s="26"/>
      <c r="S56" s="26">
        <v>1</v>
      </c>
      <c r="T56" s="26"/>
      <c r="U56" s="26">
        <f>SUM(M56:T56)</f>
        <v>14</v>
      </c>
    </row>
    <row r="57" spans="1:21">
      <c r="A57" s="3" t="s">
        <v>16</v>
      </c>
      <c r="B57" s="3">
        <f t="shared" ref="B57:I57" si="22">B54+B55-B56</f>
        <v>16</v>
      </c>
      <c r="C57" s="3">
        <f t="shared" si="22"/>
        <v>38</v>
      </c>
      <c r="D57" s="3">
        <f t="shared" si="22"/>
        <v>28</v>
      </c>
      <c r="E57" s="3">
        <f t="shared" si="22"/>
        <v>44</v>
      </c>
      <c r="F57" s="3">
        <f t="shared" si="22"/>
        <v>7</v>
      </c>
      <c r="G57" s="3">
        <f t="shared" si="22"/>
        <v>16</v>
      </c>
      <c r="H57" s="3">
        <f t="shared" si="22"/>
        <v>47</v>
      </c>
      <c r="I57" s="3">
        <f t="shared" si="22"/>
        <v>48</v>
      </c>
      <c r="J57" s="9">
        <f t="shared" si="21"/>
        <v>244</v>
      </c>
      <c r="L57" s="3" t="s">
        <v>16</v>
      </c>
      <c r="M57" s="26">
        <f>M54+M55-M56</f>
        <v>4</v>
      </c>
      <c r="N57" s="26">
        <f t="shared" ref="N57:U57" si="23">N54+N55-N56</f>
        <v>37</v>
      </c>
      <c r="O57" s="26">
        <f t="shared" si="23"/>
        <v>28</v>
      </c>
      <c r="P57" s="26">
        <f t="shared" si="23"/>
        <v>44</v>
      </c>
      <c r="Q57" s="26">
        <f t="shared" si="23"/>
        <v>7</v>
      </c>
      <c r="R57" s="26">
        <f t="shared" si="23"/>
        <v>16</v>
      </c>
      <c r="S57" s="26">
        <f t="shared" si="23"/>
        <v>46</v>
      </c>
      <c r="T57" s="26">
        <f t="shared" si="23"/>
        <v>48</v>
      </c>
      <c r="U57" s="26">
        <f t="shared" si="23"/>
        <v>230</v>
      </c>
    </row>
    <row r="58" spans="1:13">
      <c r="A58" s="7"/>
      <c r="B58" s="8" t="s">
        <v>17</v>
      </c>
      <c r="C58" s="8"/>
      <c r="D58" s="7"/>
      <c r="E58" s="7"/>
      <c r="F58" s="7"/>
      <c r="G58" s="7"/>
      <c r="H58" s="7"/>
      <c r="I58" s="7"/>
      <c r="J58" s="9"/>
      <c r="L58" s="28" t="s">
        <v>17</v>
      </c>
      <c r="M58" s="28"/>
    </row>
    <row r="59" ht="19.2" spans="1:21">
      <c r="A59" s="3" t="s">
        <v>3</v>
      </c>
      <c r="B59" s="3" t="s">
        <v>18</v>
      </c>
      <c r="C59" s="3" t="s">
        <v>19</v>
      </c>
      <c r="D59" s="3" t="s">
        <v>20</v>
      </c>
      <c r="E59" s="3" t="s">
        <v>21</v>
      </c>
      <c r="F59" s="3" t="s">
        <v>22</v>
      </c>
      <c r="G59" s="3" t="s">
        <v>23</v>
      </c>
      <c r="H59" s="3" t="s">
        <v>24</v>
      </c>
      <c r="I59" s="10"/>
      <c r="J59" s="10" t="s">
        <v>12</v>
      </c>
      <c r="L59" s="3" t="s">
        <v>3</v>
      </c>
      <c r="M59" s="3" t="s">
        <v>18</v>
      </c>
      <c r="N59" s="3" t="s">
        <v>19</v>
      </c>
      <c r="O59" s="3" t="s">
        <v>20</v>
      </c>
      <c r="P59" s="3" t="s">
        <v>21</v>
      </c>
      <c r="Q59" s="3" t="s">
        <v>22</v>
      </c>
      <c r="R59" s="26"/>
      <c r="S59" s="3"/>
      <c r="T59" s="26"/>
      <c r="U59" s="3" t="s">
        <v>12</v>
      </c>
    </row>
    <row r="60" spans="1:21">
      <c r="A60" s="3" t="s">
        <v>13</v>
      </c>
      <c r="B60" s="5">
        <v>30</v>
      </c>
      <c r="C60" s="5">
        <v>69</v>
      </c>
      <c r="D60" s="5">
        <v>63</v>
      </c>
      <c r="E60" s="9">
        <v>54</v>
      </c>
      <c r="F60" s="9">
        <v>54</v>
      </c>
      <c r="G60" s="5">
        <v>46</v>
      </c>
      <c r="H60" s="5">
        <v>39</v>
      </c>
      <c r="I60" s="10"/>
      <c r="J60" s="9">
        <v>355</v>
      </c>
      <c r="L60" s="3" t="s">
        <v>13</v>
      </c>
      <c r="M60" s="26">
        <v>30</v>
      </c>
      <c r="N60" s="26">
        <v>68</v>
      </c>
      <c r="O60" s="26">
        <v>63</v>
      </c>
      <c r="P60" s="26">
        <v>54</v>
      </c>
      <c r="Q60" s="26">
        <v>54</v>
      </c>
      <c r="R60" s="26"/>
      <c r="S60" s="26"/>
      <c r="T60" s="26"/>
      <c r="U60" s="26">
        <f>SUM(M60:T60)</f>
        <v>269</v>
      </c>
    </row>
    <row r="61" spans="1:21">
      <c r="A61" s="3" t="s">
        <v>14</v>
      </c>
      <c r="B61" s="3"/>
      <c r="C61" s="3"/>
      <c r="D61" s="9"/>
      <c r="E61" s="9"/>
      <c r="F61" s="9"/>
      <c r="G61" s="3"/>
      <c r="H61" s="3"/>
      <c r="I61" s="10"/>
      <c r="J61" s="9">
        <f t="shared" ref="J60:J63" si="24">SUM(B61:I61)</f>
        <v>0</v>
      </c>
      <c r="L61" s="3" t="s">
        <v>14</v>
      </c>
      <c r="M61" s="26"/>
      <c r="N61" s="26"/>
      <c r="O61" s="26"/>
      <c r="P61" s="26"/>
      <c r="Q61" s="26"/>
      <c r="R61" s="26"/>
      <c r="S61" s="26"/>
      <c r="T61" s="26"/>
      <c r="U61" s="26"/>
    </row>
    <row r="62" spans="1:21">
      <c r="A62" s="3" t="s">
        <v>15</v>
      </c>
      <c r="B62" s="3"/>
      <c r="C62" s="3">
        <v>1</v>
      </c>
      <c r="D62" s="9"/>
      <c r="E62" s="9"/>
      <c r="F62" s="9"/>
      <c r="G62" s="3"/>
      <c r="H62" s="3">
        <v>1</v>
      </c>
      <c r="I62" s="10"/>
      <c r="J62" s="9">
        <f t="shared" si="24"/>
        <v>2</v>
      </c>
      <c r="L62" s="3" t="s">
        <v>15</v>
      </c>
      <c r="M62" s="26"/>
      <c r="N62" s="26"/>
      <c r="O62" s="26"/>
      <c r="P62" s="26"/>
      <c r="Q62" s="26"/>
      <c r="R62" s="26"/>
      <c r="S62" s="26"/>
      <c r="T62" s="26"/>
      <c r="U62" s="26"/>
    </row>
    <row r="63" spans="1:21">
      <c r="A63" s="3" t="s">
        <v>16</v>
      </c>
      <c r="B63" s="5">
        <f t="shared" ref="B63:H63" si="25">B60+B61-B62</f>
        <v>30</v>
      </c>
      <c r="C63" s="5">
        <f t="shared" si="25"/>
        <v>68</v>
      </c>
      <c r="D63" s="5">
        <f t="shared" si="25"/>
        <v>63</v>
      </c>
      <c r="E63" s="5">
        <f t="shared" si="25"/>
        <v>54</v>
      </c>
      <c r="F63" s="5">
        <f t="shared" si="25"/>
        <v>54</v>
      </c>
      <c r="G63" s="5">
        <f t="shared" si="25"/>
        <v>46</v>
      </c>
      <c r="H63" s="5">
        <f t="shared" si="25"/>
        <v>38</v>
      </c>
      <c r="I63" s="10"/>
      <c r="J63" s="9">
        <f t="shared" si="24"/>
        <v>353</v>
      </c>
      <c r="L63" s="3" t="s">
        <v>16</v>
      </c>
      <c r="M63" s="26">
        <f>M60+M61-M62</f>
        <v>30</v>
      </c>
      <c r="N63" s="26">
        <f>N60+N61-N62</f>
        <v>68</v>
      </c>
      <c r="O63" s="26">
        <f>O60+O61-O62</f>
        <v>63</v>
      </c>
      <c r="P63" s="26">
        <f>P60+P61-P62</f>
        <v>54</v>
      </c>
      <c r="Q63" s="26">
        <f>Q60+Q61-Q62</f>
        <v>54</v>
      </c>
      <c r="R63" s="26"/>
      <c r="S63" s="26"/>
      <c r="T63" s="26"/>
      <c r="U63" s="26">
        <f>SUM(M63:T63)</f>
        <v>269</v>
      </c>
    </row>
    <row r="64" spans="1:12">
      <c r="A64" s="7"/>
      <c r="B64" s="7" t="s">
        <v>25</v>
      </c>
      <c r="C64" s="7"/>
      <c r="D64" s="7"/>
      <c r="E64" s="7"/>
      <c r="F64" s="7"/>
      <c r="G64" s="7"/>
      <c r="H64" s="7"/>
      <c r="I64" s="7"/>
      <c r="J64" s="9"/>
      <c r="L64" s="7" t="s">
        <v>25</v>
      </c>
    </row>
    <row r="65" ht="19.2" spans="1:21">
      <c r="A65" s="3" t="s">
        <v>3</v>
      </c>
      <c r="B65" s="3" t="s">
        <v>26</v>
      </c>
      <c r="C65" s="3" t="s">
        <v>27</v>
      </c>
      <c r="D65" s="3" t="s">
        <v>28</v>
      </c>
      <c r="E65" s="3" t="s">
        <v>29</v>
      </c>
      <c r="F65" s="3" t="s">
        <v>30</v>
      </c>
      <c r="G65" s="3" t="s">
        <v>31</v>
      </c>
      <c r="H65" s="3" t="s">
        <v>32</v>
      </c>
      <c r="I65" s="26"/>
      <c r="J65" s="10" t="s">
        <v>12</v>
      </c>
      <c r="L65" s="3" t="s">
        <v>3</v>
      </c>
      <c r="M65" s="3" t="s">
        <v>26</v>
      </c>
      <c r="N65" s="3" t="s">
        <v>27</v>
      </c>
      <c r="O65" s="3" t="s">
        <v>28</v>
      </c>
      <c r="P65" s="3" t="s">
        <v>29</v>
      </c>
      <c r="Q65" s="3" t="s">
        <v>30</v>
      </c>
      <c r="R65" s="26"/>
      <c r="S65" s="3"/>
      <c r="T65" s="26"/>
      <c r="U65" s="3" t="s">
        <v>12</v>
      </c>
    </row>
    <row r="66" spans="1:21">
      <c r="A66" s="3" t="s">
        <v>13</v>
      </c>
      <c r="B66" s="5">
        <v>82</v>
      </c>
      <c r="C66" s="5">
        <v>36</v>
      </c>
      <c r="D66" s="5">
        <v>35</v>
      </c>
      <c r="E66" s="5">
        <v>38</v>
      </c>
      <c r="F66" s="5">
        <v>27</v>
      </c>
      <c r="G66" s="5">
        <v>27</v>
      </c>
      <c r="H66" s="5">
        <v>38</v>
      </c>
      <c r="I66" s="10">
        <v>0</v>
      </c>
      <c r="J66" s="9">
        <v>283</v>
      </c>
      <c r="L66" s="3" t="s">
        <v>13</v>
      </c>
      <c r="M66" s="26">
        <v>82</v>
      </c>
      <c r="N66" s="26">
        <v>36</v>
      </c>
      <c r="O66" s="26">
        <v>35</v>
      </c>
      <c r="P66" s="26">
        <v>38</v>
      </c>
      <c r="Q66" s="26">
        <v>27</v>
      </c>
      <c r="R66" s="26"/>
      <c r="S66" s="26"/>
      <c r="T66" s="26"/>
      <c r="U66" s="26">
        <f>SUM(M66:T66)</f>
        <v>218</v>
      </c>
    </row>
    <row r="67" spans="1:21">
      <c r="A67" s="3" t="s">
        <v>14</v>
      </c>
      <c r="B67" s="3"/>
      <c r="C67" s="3"/>
      <c r="D67" s="3"/>
      <c r="E67" s="9"/>
      <c r="F67" s="9"/>
      <c r="G67" s="3"/>
      <c r="H67" s="3"/>
      <c r="I67" s="10"/>
      <c r="J67" s="9">
        <f t="shared" ref="J66:J69" si="26">SUM(B67:I67)</f>
        <v>0</v>
      </c>
      <c r="L67" s="3" t="s">
        <v>14</v>
      </c>
      <c r="M67" s="26"/>
      <c r="N67" s="26"/>
      <c r="O67" s="26"/>
      <c r="P67" s="26"/>
      <c r="Q67" s="26"/>
      <c r="R67" s="26"/>
      <c r="S67" s="26"/>
      <c r="T67" s="26"/>
      <c r="U67" s="26"/>
    </row>
    <row r="68" spans="1:21">
      <c r="A68" s="3" t="s">
        <v>15</v>
      </c>
      <c r="B68" s="3"/>
      <c r="C68" s="3"/>
      <c r="D68" s="3"/>
      <c r="E68" s="9"/>
      <c r="F68" s="9"/>
      <c r="G68" s="3"/>
      <c r="H68" s="3"/>
      <c r="I68" s="10"/>
      <c r="J68" s="9">
        <f t="shared" si="26"/>
        <v>0</v>
      </c>
      <c r="L68" s="3" t="s">
        <v>15</v>
      </c>
      <c r="M68" s="26"/>
      <c r="N68" s="26"/>
      <c r="O68" s="26"/>
      <c r="P68" s="26"/>
      <c r="Q68" s="26"/>
      <c r="R68" s="26"/>
      <c r="S68" s="26"/>
      <c r="T68" s="26"/>
      <c r="U68" s="26"/>
    </row>
    <row r="69" spans="1:21">
      <c r="A69" s="3" t="s">
        <v>16</v>
      </c>
      <c r="B69" s="5">
        <f t="shared" ref="B69:I69" si="27">B66+B67-B68</f>
        <v>82</v>
      </c>
      <c r="C69" s="5">
        <f t="shared" si="27"/>
        <v>36</v>
      </c>
      <c r="D69" s="5">
        <f t="shared" si="27"/>
        <v>35</v>
      </c>
      <c r="E69" s="5">
        <f t="shared" si="27"/>
        <v>38</v>
      </c>
      <c r="F69" s="5">
        <f t="shared" si="27"/>
        <v>27</v>
      </c>
      <c r="G69" s="5">
        <f t="shared" si="27"/>
        <v>27</v>
      </c>
      <c r="H69" s="5">
        <f t="shared" si="27"/>
        <v>38</v>
      </c>
      <c r="I69" s="5">
        <f t="shared" si="27"/>
        <v>0</v>
      </c>
      <c r="J69" s="9">
        <f t="shared" si="26"/>
        <v>283</v>
      </c>
      <c r="L69" s="3" t="s">
        <v>16</v>
      </c>
      <c r="M69" s="26">
        <f>M66+M67-M68</f>
        <v>82</v>
      </c>
      <c r="N69" s="26">
        <f>N66+N67-N68</f>
        <v>36</v>
      </c>
      <c r="O69" s="26">
        <f>O66+O67-O68</f>
        <v>35</v>
      </c>
      <c r="P69" s="26">
        <f>P66+P67-P68</f>
        <v>38</v>
      </c>
      <c r="Q69" s="26">
        <f>Q66+Q67-Q68</f>
        <v>27</v>
      </c>
      <c r="R69" s="26"/>
      <c r="S69" s="26"/>
      <c r="T69" s="26"/>
      <c r="U69" s="26">
        <f>SUM(M69:T69)</f>
        <v>218</v>
      </c>
    </row>
    <row r="70" ht="19.2" spans="1:12">
      <c r="A70" s="7"/>
      <c r="B70" s="7" t="s">
        <v>33</v>
      </c>
      <c r="C70" s="3" t="s">
        <v>34</v>
      </c>
      <c r="D70" s="3" t="s">
        <v>35</v>
      </c>
      <c r="E70" s="7" t="s">
        <v>36</v>
      </c>
      <c r="F70" s="7" t="s">
        <v>37</v>
      </c>
      <c r="G70" s="7"/>
      <c r="H70" s="7"/>
      <c r="I70" s="7"/>
      <c r="J70" s="10" t="s">
        <v>12</v>
      </c>
      <c r="L70" s="7" t="s">
        <v>33</v>
      </c>
    </row>
    <row r="71" ht="19.2" spans="1:21">
      <c r="A71" s="3" t="s">
        <v>13</v>
      </c>
      <c r="B71" s="10">
        <v>71</v>
      </c>
      <c r="C71" s="9">
        <v>20</v>
      </c>
      <c r="D71" s="9">
        <v>10</v>
      </c>
      <c r="E71" s="11">
        <v>14</v>
      </c>
      <c r="F71" s="3">
        <v>14</v>
      </c>
      <c r="G71" s="3"/>
      <c r="H71" s="3"/>
      <c r="I71" s="10"/>
      <c r="J71" s="9">
        <f t="shared" ref="J71:J74" si="28">SUM(B71:I71)</f>
        <v>129</v>
      </c>
      <c r="L71" s="3" t="s">
        <v>3</v>
      </c>
      <c r="M71" s="3" t="s">
        <v>33</v>
      </c>
      <c r="N71" s="3" t="s">
        <v>34</v>
      </c>
      <c r="O71" s="3" t="s">
        <v>35</v>
      </c>
      <c r="P71" s="26"/>
      <c r="Q71" s="26"/>
      <c r="R71" s="26"/>
      <c r="S71" s="3"/>
      <c r="T71" s="26"/>
      <c r="U71" s="3" t="s">
        <v>12</v>
      </c>
    </row>
    <row r="72" spans="1:21">
      <c r="A72" s="3" t="s">
        <v>14</v>
      </c>
      <c r="B72" s="10"/>
      <c r="C72" s="9"/>
      <c r="D72" s="9"/>
      <c r="E72" s="11"/>
      <c r="F72" s="3"/>
      <c r="G72" s="3"/>
      <c r="H72" s="3"/>
      <c r="I72" s="10"/>
      <c r="J72" s="9">
        <f t="shared" si="28"/>
        <v>0</v>
      </c>
      <c r="L72" s="3" t="s">
        <v>13</v>
      </c>
      <c r="M72" s="3">
        <v>66</v>
      </c>
      <c r="N72" s="9">
        <v>20</v>
      </c>
      <c r="O72" s="9">
        <v>10</v>
      </c>
      <c r="P72" s="26"/>
      <c r="Q72" s="26"/>
      <c r="R72" s="26"/>
      <c r="S72" s="26"/>
      <c r="T72" s="26"/>
      <c r="U72" s="26">
        <f>SUM(M72:T72)</f>
        <v>96</v>
      </c>
    </row>
    <row r="73" spans="1:21">
      <c r="A73" s="3" t="s">
        <v>15</v>
      </c>
      <c r="B73" s="10">
        <v>5</v>
      </c>
      <c r="C73" s="9"/>
      <c r="D73" s="9"/>
      <c r="E73" s="11"/>
      <c r="F73" s="3"/>
      <c r="G73" s="3"/>
      <c r="H73" s="3"/>
      <c r="I73" s="10"/>
      <c r="J73" s="9">
        <f t="shared" si="28"/>
        <v>5</v>
      </c>
      <c r="L73" s="3" t="s">
        <v>14</v>
      </c>
      <c r="M73" s="26"/>
      <c r="N73" s="26"/>
      <c r="O73" s="26"/>
      <c r="P73" s="26"/>
      <c r="Q73" s="26"/>
      <c r="R73" s="26"/>
      <c r="S73" s="26"/>
      <c r="T73" s="26"/>
      <c r="U73" s="26"/>
    </row>
    <row r="74" spans="1:21">
      <c r="A74" s="3" t="s">
        <v>16</v>
      </c>
      <c r="B74" s="10">
        <f t="shared" ref="B74:F74" si="29">B71+B72-B73</f>
        <v>66</v>
      </c>
      <c r="C74" s="10">
        <f t="shared" si="29"/>
        <v>20</v>
      </c>
      <c r="D74" s="10">
        <f t="shared" si="29"/>
        <v>10</v>
      </c>
      <c r="E74" s="10">
        <f t="shared" si="29"/>
        <v>14</v>
      </c>
      <c r="F74" s="10">
        <f t="shared" si="29"/>
        <v>14</v>
      </c>
      <c r="G74" s="5"/>
      <c r="H74" s="5"/>
      <c r="I74" s="10"/>
      <c r="J74" s="9">
        <f t="shared" si="28"/>
        <v>124</v>
      </c>
      <c r="L74" s="3" t="s">
        <v>15</v>
      </c>
      <c r="M74" s="26"/>
      <c r="N74" s="26"/>
      <c r="O74" s="26"/>
      <c r="P74" s="26"/>
      <c r="Q74" s="26"/>
      <c r="R74" s="26"/>
      <c r="S74" s="26"/>
      <c r="T74" s="26"/>
      <c r="U74" s="26"/>
    </row>
    <row r="75" spans="1:21">
      <c r="A75" s="7"/>
      <c r="B75" s="7" t="s">
        <v>38</v>
      </c>
      <c r="C75" s="7"/>
      <c r="D75" s="7"/>
      <c r="E75" s="7"/>
      <c r="F75" s="7"/>
      <c r="G75" s="7"/>
      <c r="H75" s="7"/>
      <c r="I75" s="7"/>
      <c r="J75" s="4"/>
      <c r="L75" s="3" t="s">
        <v>16</v>
      </c>
      <c r="M75" s="26">
        <f>M72+M73-M74</f>
        <v>66</v>
      </c>
      <c r="N75" s="26">
        <f>N72+N73-N74</f>
        <v>20</v>
      </c>
      <c r="O75" s="26">
        <f>O72+O73-O74</f>
        <v>10</v>
      </c>
      <c r="P75" s="26"/>
      <c r="Q75" s="26"/>
      <c r="R75" s="26"/>
      <c r="S75" s="26"/>
      <c r="T75" s="26"/>
      <c r="U75" s="26">
        <f>SUM(M75:T75)</f>
        <v>96</v>
      </c>
    </row>
    <row r="76" ht="19.2" spans="1:12">
      <c r="A76" s="3"/>
      <c r="B76" s="3" t="s">
        <v>39</v>
      </c>
      <c r="C76" s="3" t="s">
        <v>40</v>
      </c>
      <c r="D76" s="3" t="s">
        <v>41</v>
      </c>
      <c r="E76" s="3" t="s">
        <v>17</v>
      </c>
      <c r="F76" s="3" t="s">
        <v>42</v>
      </c>
      <c r="G76" s="3" t="s">
        <v>33</v>
      </c>
      <c r="H76" s="9"/>
      <c r="I76" s="3" t="s">
        <v>43</v>
      </c>
      <c r="J76" s="3" t="s">
        <v>44</v>
      </c>
      <c r="L76" t="s">
        <v>65</v>
      </c>
    </row>
    <row r="77" ht="19.2" spans="1:21">
      <c r="A77" s="3" t="s">
        <v>13</v>
      </c>
      <c r="B77" s="3">
        <v>159</v>
      </c>
      <c r="C77" s="3">
        <v>80</v>
      </c>
      <c r="D77" s="3">
        <v>23</v>
      </c>
      <c r="E77" s="3">
        <v>270</v>
      </c>
      <c r="F77" s="3">
        <v>218</v>
      </c>
      <c r="G77" s="3">
        <v>101</v>
      </c>
      <c r="H77" s="9"/>
      <c r="I77" s="3">
        <v>851</v>
      </c>
      <c r="J77" s="3">
        <f>I77+I82</f>
        <v>1029</v>
      </c>
      <c r="L77" s="3" t="s">
        <v>3</v>
      </c>
      <c r="M77" s="3" t="s">
        <v>23</v>
      </c>
      <c r="N77" s="3" t="s">
        <v>24</v>
      </c>
      <c r="O77" s="3" t="s">
        <v>31</v>
      </c>
      <c r="P77" s="3" t="s">
        <v>32</v>
      </c>
      <c r="Q77" s="3" t="s">
        <v>36</v>
      </c>
      <c r="R77" s="3" t="s">
        <v>37</v>
      </c>
      <c r="S77" s="3"/>
      <c r="T77" s="26"/>
      <c r="U77" s="3" t="s">
        <v>12</v>
      </c>
    </row>
    <row r="78" spans="1:21">
      <c r="A78" s="3" t="s">
        <v>45</v>
      </c>
      <c r="B78" s="3"/>
      <c r="C78" s="3"/>
      <c r="D78" s="3"/>
      <c r="E78" s="3"/>
      <c r="F78" s="3"/>
      <c r="G78" s="3"/>
      <c r="H78" s="3"/>
      <c r="I78" s="3"/>
      <c r="J78" s="3"/>
      <c r="L78" s="3" t="s">
        <v>13</v>
      </c>
      <c r="M78" s="26">
        <v>46</v>
      </c>
      <c r="N78" s="26">
        <v>38</v>
      </c>
      <c r="O78" s="26">
        <v>27</v>
      </c>
      <c r="P78" s="26">
        <v>38</v>
      </c>
      <c r="Q78" s="26">
        <v>14</v>
      </c>
      <c r="R78" s="26">
        <v>14</v>
      </c>
      <c r="S78" s="26"/>
      <c r="T78" s="26"/>
      <c r="U78" s="26">
        <f>SUM(M78:T78)</f>
        <v>177</v>
      </c>
    </row>
    <row r="79" spans="1:21">
      <c r="A79" s="3" t="s">
        <v>46</v>
      </c>
      <c r="B79" s="3">
        <v>10</v>
      </c>
      <c r="C79" s="3">
        <v>8</v>
      </c>
      <c r="D79" s="3"/>
      <c r="E79" s="3">
        <v>1</v>
      </c>
      <c r="F79" s="3"/>
      <c r="G79" s="9">
        <v>5</v>
      </c>
      <c r="H79" s="3"/>
      <c r="I79" s="3"/>
      <c r="J79" s="3"/>
      <c r="L79" s="3" t="s">
        <v>14</v>
      </c>
      <c r="M79" s="26">
        <v>14</v>
      </c>
      <c r="N79" s="26">
        <v>22</v>
      </c>
      <c r="O79" s="26">
        <v>10</v>
      </c>
      <c r="P79" s="26">
        <v>14</v>
      </c>
      <c r="Q79" s="26">
        <v>4</v>
      </c>
      <c r="R79" s="26">
        <v>4</v>
      </c>
      <c r="S79" s="26"/>
      <c r="T79" s="26"/>
      <c r="U79" s="26">
        <f>SUM(M79:T79)</f>
        <v>68</v>
      </c>
    </row>
    <row r="80" spans="1:21">
      <c r="A80" s="3" t="s">
        <v>47</v>
      </c>
      <c r="B80" s="3">
        <f t="shared" ref="B80:G80" si="30">B77+B78-B79</f>
        <v>149</v>
      </c>
      <c r="C80" s="3">
        <f t="shared" si="30"/>
        <v>72</v>
      </c>
      <c r="D80" s="3">
        <f t="shared" si="30"/>
        <v>23</v>
      </c>
      <c r="E80" s="3">
        <f t="shared" si="30"/>
        <v>269</v>
      </c>
      <c r="F80" s="3">
        <f t="shared" si="30"/>
        <v>218</v>
      </c>
      <c r="G80" s="3">
        <f t="shared" si="30"/>
        <v>96</v>
      </c>
      <c r="H80" s="3"/>
      <c r="I80" s="3">
        <f t="shared" ref="I80:I85" si="31">SUM(B80:H80)</f>
        <v>827</v>
      </c>
      <c r="J80" s="3"/>
      <c r="L80" s="3" t="s">
        <v>15</v>
      </c>
      <c r="M80" s="26">
        <v>1</v>
      </c>
      <c r="N80" s="26"/>
      <c r="O80" s="26"/>
      <c r="P80" s="26"/>
      <c r="Q80" s="26"/>
      <c r="R80" s="26"/>
      <c r="S80" s="26"/>
      <c r="T80" s="26"/>
      <c r="U80" s="26">
        <f>SUM(M80:T80)</f>
        <v>1</v>
      </c>
    </row>
    <row r="81" spans="1:21">
      <c r="A81" s="3"/>
      <c r="B81" s="3" t="s">
        <v>48</v>
      </c>
      <c r="C81" s="3" t="s">
        <v>49</v>
      </c>
      <c r="D81" s="3" t="s">
        <v>50</v>
      </c>
      <c r="E81" s="3" t="s">
        <v>51</v>
      </c>
      <c r="F81" s="3" t="s">
        <v>52</v>
      </c>
      <c r="G81" s="3" t="s">
        <v>53</v>
      </c>
      <c r="H81" s="9"/>
      <c r="I81" s="3" t="s">
        <v>54</v>
      </c>
      <c r="J81" s="3" t="s">
        <v>55</v>
      </c>
      <c r="L81" s="3" t="s">
        <v>16</v>
      </c>
      <c r="M81" s="26">
        <f t="shared" ref="M81:R81" si="32">M78+M79-M80</f>
        <v>59</v>
      </c>
      <c r="N81" s="26">
        <f t="shared" si="32"/>
        <v>60</v>
      </c>
      <c r="O81" s="26">
        <f t="shared" si="32"/>
        <v>37</v>
      </c>
      <c r="P81" s="26">
        <f t="shared" si="32"/>
        <v>52</v>
      </c>
      <c r="Q81" s="26">
        <f t="shared" si="32"/>
        <v>18</v>
      </c>
      <c r="R81" s="26">
        <f t="shared" si="32"/>
        <v>18</v>
      </c>
      <c r="S81" s="26"/>
      <c r="T81" s="26"/>
      <c r="U81" s="26">
        <f>SUM(M81:T81)</f>
        <v>244</v>
      </c>
    </row>
    <row r="82" spans="1:12">
      <c r="A82" s="3" t="s">
        <v>13</v>
      </c>
      <c r="B82" s="3">
        <v>46</v>
      </c>
      <c r="C82" s="3">
        <v>39</v>
      </c>
      <c r="D82" s="3">
        <v>27</v>
      </c>
      <c r="E82" s="3">
        <v>38</v>
      </c>
      <c r="F82" s="3">
        <v>14</v>
      </c>
      <c r="G82" s="3">
        <v>14</v>
      </c>
      <c r="H82" s="9"/>
      <c r="I82" s="3">
        <f t="shared" si="31"/>
        <v>178</v>
      </c>
      <c r="J82" s="3"/>
      <c r="L82" t="s">
        <v>38</v>
      </c>
    </row>
    <row r="83" spans="1:21">
      <c r="A83" s="3" t="s">
        <v>45</v>
      </c>
      <c r="B83" s="3"/>
      <c r="C83" s="3"/>
      <c r="D83" s="3"/>
      <c r="E83" s="3"/>
      <c r="F83" s="3"/>
      <c r="G83" s="3"/>
      <c r="H83" s="3"/>
      <c r="I83" s="3"/>
      <c r="J83" s="3"/>
      <c r="L83" s="3" t="s">
        <v>13</v>
      </c>
      <c r="M83" s="26">
        <f>U54+U60+U66+U72+U78</f>
        <v>1004</v>
      </c>
      <c r="N83" s="26"/>
      <c r="O83" s="26"/>
      <c r="P83" s="26"/>
      <c r="Q83" s="26"/>
      <c r="R83" s="26"/>
      <c r="S83" s="26"/>
      <c r="T83" s="26"/>
      <c r="U83" s="26"/>
    </row>
    <row r="84" spans="1:21">
      <c r="A84" s="3" t="s">
        <v>46</v>
      </c>
      <c r="B84" s="3"/>
      <c r="C84" s="3">
        <v>1</v>
      </c>
      <c r="D84" s="3"/>
      <c r="E84" s="3"/>
      <c r="F84" s="3"/>
      <c r="G84" s="3"/>
      <c r="H84" s="3"/>
      <c r="I84" s="3"/>
      <c r="J84" s="3"/>
      <c r="L84" s="3" t="s">
        <v>45</v>
      </c>
      <c r="M84" s="26">
        <f>U55+U61+U67+U73+U79</f>
        <v>68</v>
      </c>
      <c r="N84" s="26"/>
      <c r="O84" s="26"/>
      <c r="P84" s="26"/>
      <c r="Q84" s="26"/>
      <c r="R84" s="26"/>
      <c r="S84" s="26"/>
      <c r="T84" s="26"/>
      <c r="U84" s="26"/>
    </row>
    <row r="85" spans="1:21">
      <c r="A85" s="3" t="s">
        <v>47</v>
      </c>
      <c r="B85" s="3">
        <f t="shared" ref="B85:G85" si="33">B82+B83-B84</f>
        <v>46</v>
      </c>
      <c r="C85" s="3">
        <f t="shared" si="33"/>
        <v>38</v>
      </c>
      <c r="D85" s="3">
        <f t="shared" si="33"/>
        <v>27</v>
      </c>
      <c r="E85" s="3">
        <f t="shared" si="33"/>
        <v>38</v>
      </c>
      <c r="F85" s="3">
        <f t="shared" si="33"/>
        <v>14</v>
      </c>
      <c r="G85" s="3">
        <f t="shared" si="33"/>
        <v>14</v>
      </c>
      <c r="H85" s="3"/>
      <c r="I85" s="3">
        <f t="shared" si="31"/>
        <v>177</v>
      </c>
      <c r="J85" s="3">
        <f>I80+I85</f>
        <v>1004</v>
      </c>
      <c r="L85" s="3" t="s">
        <v>46</v>
      </c>
      <c r="M85" s="26">
        <f>U56+U62+U68+U74+U80</f>
        <v>15</v>
      </c>
      <c r="N85" s="26"/>
      <c r="O85" s="26"/>
      <c r="P85" s="26"/>
      <c r="Q85" s="26"/>
      <c r="R85" s="26"/>
      <c r="S85" s="26"/>
      <c r="T85" s="26"/>
      <c r="U85" s="26"/>
    </row>
    <row r="86" spans="1:21">
      <c r="A86" s="12"/>
      <c r="B86" s="12"/>
      <c r="C86" s="7"/>
      <c r="D86" s="7"/>
      <c r="E86" s="7"/>
      <c r="F86" s="7"/>
      <c r="G86" s="7"/>
      <c r="H86" s="7"/>
      <c r="I86" s="7"/>
      <c r="J86" s="7"/>
      <c r="L86" s="3" t="s">
        <v>47</v>
      </c>
      <c r="M86" s="26">
        <f>M83+M84-M85</f>
        <v>1057</v>
      </c>
      <c r="N86" s="26"/>
      <c r="O86" s="26"/>
      <c r="P86" s="26"/>
      <c r="Q86" s="26"/>
      <c r="R86" s="26"/>
      <c r="S86" s="26"/>
      <c r="T86" s="26"/>
      <c r="U86" s="26"/>
    </row>
    <row r="87" spans="1:18">
      <c r="A87" s="13" t="s">
        <v>56</v>
      </c>
      <c r="B87" s="13"/>
      <c r="C87" s="2"/>
      <c r="D87" s="2" t="s">
        <v>57</v>
      </c>
      <c r="E87" s="2"/>
      <c r="F87" s="2" t="s">
        <v>58</v>
      </c>
      <c r="G87" s="4"/>
      <c r="H87" s="14"/>
      <c r="I87" s="14" t="s">
        <v>59</v>
      </c>
      <c r="J87" s="4"/>
      <c r="L87" s="13" t="s">
        <v>56</v>
      </c>
      <c r="M87" s="13"/>
      <c r="N87" s="2" t="s">
        <v>57</v>
      </c>
      <c r="P87" s="2" t="s">
        <v>58</v>
      </c>
      <c r="R87" s="14" t="s">
        <v>59</v>
      </c>
    </row>
    <row r="88" spans="1:20">
      <c r="A88" s="4"/>
      <c r="B88" s="4"/>
      <c r="C88" s="4"/>
      <c r="D88" s="4"/>
      <c r="E88" s="4"/>
      <c r="F88" s="4"/>
      <c r="G88" s="15">
        <v>44581</v>
      </c>
      <c r="H88" s="15"/>
      <c r="I88" s="4"/>
      <c r="J88" s="4"/>
      <c r="L88" s="4"/>
      <c r="M88" s="4"/>
      <c r="N88" s="4"/>
      <c r="O88" s="4"/>
      <c r="P88" s="4"/>
      <c r="Q88" s="4"/>
      <c r="T88" s="4"/>
    </row>
    <row r="89" spans="1:18">
      <c r="A89" s="27" t="s">
        <v>66</v>
      </c>
      <c r="B89" s="27"/>
      <c r="C89" s="27"/>
      <c r="D89" s="27"/>
      <c r="E89" s="27"/>
      <c r="F89" s="27"/>
      <c r="G89" s="17"/>
      <c r="H89" s="4"/>
      <c r="I89" s="4"/>
      <c r="J89" s="4"/>
      <c r="Q89" s="15">
        <v>44612</v>
      </c>
      <c r="R89" s="15"/>
    </row>
    <row r="90" spans="1:17">
      <c r="A90" s="16"/>
      <c r="B90" s="16"/>
      <c r="C90" s="16"/>
      <c r="D90" s="16"/>
      <c r="E90" s="16"/>
      <c r="F90" s="16"/>
      <c r="G90" s="17"/>
      <c r="H90" s="4"/>
      <c r="I90" s="4"/>
      <c r="J90" s="4"/>
      <c r="L90" s="27" t="s">
        <v>67</v>
      </c>
      <c r="M90" s="27"/>
      <c r="N90" s="27"/>
      <c r="O90" s="27"/>
      <c r="P90" s="27"/>
      <c r="Q90" s="27"/>
    </row>
    <row r="91" ht="31.2" spans="1:18">
      <c r="A91" s="18" t="s">
        <v>3</v>
      </c>
      <c r="B91" s="18" t="s">
        <v>42</v>
      </c>
      <c r="C91" s="18" t="s">
        <v>10</v>
      </c>
      <c r="D91" s="18" t="s">
        <v>11</v>
      </c>
      <c r="E91" s="18"/>
      <c r="F91" s="19" t="s">
        <v>12</v>
      </c>
      <c r="G91" s="20" t="s">
        <v>62</v>
      </c>
      <c r="H91" s="4"/>
      <c r="I91" s="4"/>
      <c r="J91" s="4"/>
      <c r="L91" s="18" t="s">
        <v>3</v>
      </c>
      <c r="M91" s="18" t="s">
        <v>42</v>
      </c>
      <c r="N91" s="18" t="s">
        <v>10</v>
      </c>
      <c r="O91" s="18" t="s">
        <v>11</v>
      </c>
      <c r="P91" s="18"/>
      <c r="Q91" s="19" t="s">
        <v>12</v>
      </c>
      <c r="R91" s="20" t="s">
        <v>62</v>
      </c>
    </row>
    <row r="92" ht="30" customHeight="1" spans="1:18">
      <c r="A92" s="18" t="s">
        <v>13</v>
      </c>
      <c r="B92" s="18">
        <v>9</v>
      </c>
      <c r="C92" s="17">
        <v>46</v>
      </c>
      <c r="D92" s="21">
        <v>45</v>
      </c>
      <c r="E92" s="18"/>
      <c r="F92" s="19">
        <f>SUM(B92:E92)</f>
        <v>100</v>
      </c>
      <c r="G92" s="22"/>
      <c r="H92" s="4"/>
      <c r="I92" s="4"/>
      <c r="J92" s="4"/>
      <c r="L92" s="18" t="s">
        <v>13</v>
      </c>
      <c r="M92" s="18">
        <v>9</v>
      </c>
      <c r="N92" s="17">
        <v>46</v>
      </c>
      <c r="O92" s="21">
        <v>45</v>
      </c>
      <c r="P92" s="18"/>
      <c r="Q92" s="19">
        <f t="shared" ref="Q92:Q94" si="34">SUM(M92:P92)</f>
        <v>100</v>
      </c>
      <c r="R92" s="22"/>
    </row>
    <row r="93" ht="30" customHeight="1" spans="1:18">
      <c r="A93" s="18" t="s">
        <v>14</v>
      </c>
      <c r="B93" s="18">
        <v>0</v>
      </c>
      <c r="C93" s="18">
        <v>0</v>
      </c>
      <c r="D93" s="18">
        <v>0</v>
      </c>
      <c r="E93" s="18"/>
      <c r="F93" s="18">
        <f>SUM(B93:E93)</f>
        <v>0</v>
      </c>
      <c r="G93" s="22"/>
      <c r="H93" s="4"/>
      <c r="I93" s="4"/>
      <c r="J93" s="4"/>
      <c r="L93" s="18" t="s">
        <v>14</v>
      </c>
      <c r="M93" s="18">
        <v>2</v>
      </c>
      <c r="N93" s="18">
        <v>0</v>
      </c>
      <c r="O93" s="18">
        <v>0</v>
      </c>
      <c r="P93" s="18"/>
      <c r="Q93" s="18">
        <f t="shared" si="34"/>
        <v>2</v>
      </c>
      <c r="R93" s="22"/>
    </row>
    <row r="94" ht="30" customHeight="1" spans="1:18">
      <c r="A94" s="18" t="s">
        <v>15</v>
      </c>
      <c r="B94" s="23">
        <v>0</v>
      </c>
      <c r="C94" s="23">
        <v>0</v>
      </c>
      <c r="D94" s="23">
        <v>0</v>
      </c>
      <c r="E94" s="18"/>
      <c r="F94" s="19">
        <f>SUM(B94:E94)</f>
        <v>0</v>
      </c>
      <c r="G94" s="22"/>
      <c r="H94" s="4"/>
      <c r="I94" s="4"/>
      <c r="J94" s="4"/>
      <c r="L94" s="18" t="s">
        <v>15</v>
      </c>
      <c r="M94" s="23">
        <v>0</v>
      </c>
      <c r="N94" s="23">
        <v>5</v>
      </c>
      <c r="O94" s="23">
        <v>1</v>
      </c>
      <c r="P94" s="18"/>
      <c r="Q94" s="19">
        <f t="shared" si="34"/>
        <v>6</v>
      </c>
      <c r="R94" s="22"/>
    </row>
    <row r="95" ht="30" customHeight="1" spans="1:18">
      <c r="A95" s="18" t="s">
        <v>16</v>
      </c>
      <c r="B95" s="23">
        <f>B92+B93-B94</f>
        <v>9</v>
      </c>
      <c r="C95" s="23">
        <f>C92+C93-C94</f>
        <v>46</v>
      </c>
      <c r="D95" s="23">
        <f>D92+D93-D94</f>
        <v>45</v>
      </c>
      <c r="E95" s="23">
        <f>E92+E93-E94</f>
        <v>0</v>
      </c>
      <c r="F95" s="23">
        <f>F92+F93-F94</f>
        <v>100</v>
      </c>
      <c r="G95" s="22"/>
      <c r="H95" s="4"/>
      <c r="I95" s="4"/>
      <c r="J95" s="4"/>
      <c r="L95" s="18" t="s">
        <v>16</v>
      </c>
      <c r="M95" s="23">
        <f t="shared" ref="M95:Q95" si="35">M92+M93-M94</f>
        <v>11</v>
      </c>
      <c r="N95" s="23">
        <f t="shared" si="35"/>
        <v>41</v>
      </c>
      <c r="O95" s="23">
        <f t="shared" si="35"/>
        <v>44</v>
      </c>
      <c r="P95" s="23">
        <f t="shared" si="35"/>
        <v>0</v>
      </c>
      <c r="Q95" s="23">
        <f t="shared" si="35"/>
        <v>96</v>
      </c>
      <c r="R95" s="22"/>
    </row>
    <row r="96" spans="1:18">
      <c r="A96" s="17"/>
      <c r="B96" s="17"/>
      <c r="C96" s="17"/>
      <c r="D96" s="17"/>
      <c r="E96" s="17"/>
      <c r="F96" s="17"/>
      <c r="G96" s="17"/>
      <c r="H96" s="4"/>
      <c r="I96" s="4"/>
      <c r="J96" s="4"/>
      <c r="L96" s="17"/>
      <c r="M96" s="17"/>
      <c r="N96" s="17"/>
      <c r="O96" s="17"/>
      <c r="P96" s="17"/>
      <c r="Q96" s="17"/>
      <c r="R96" s="17"/>
    </row>
    <row r="97" spans="1:18">
      <c r="A97" s="24" t="s">
        <v>56</v>
      </c>
      <c r="B97" s="24"/>
      <c r="C97" s="16" t="s">
        <v>57</v>
      </c>
      <c r="D97" s="17"/>
      <c r="E97" s="16" t="s">
        <v>58</v>
      </c>
      <c r="F97" s="17"/>
      <c r="G97" s="17"/>
      <c r="H97" s="4"/>
      <c r="I97" s="4"/>
      <c r="J97" s="4"/>
      <c r="L97" s="24" t="s">
        <v>56</v>
      </c>
      <c r="M97" s="24"/>
      <c r="N97" s="16" t="s">
        <v>57</v>
      </c>
      <c r="O97" s="17"/>
      <c r="P97" s="16" t="s">
        <v>58</v>
      </c>
      <c r="Q97" s="17"/>
      <c r="R97" s="17"/>
    </row>
    <row r="98" spans="1:18">
      <c r="A98" s="17"/>
      <c r="B98" s="17"/>
      <c r="D98" s="25">
        <v>44581</v>
      </c>
      <c r="E98" s="25"/>
      <c r="F98" s="17"/>
      <c r="G98" s="17"/>
      <c r="H98" s="4"/>
      <c r="I98" s="4"/>
      <c r="J98" s="4"/>
      <c r="L98" s="17"/>
      <c r="M98" s="17"/>
      <c r="O98" s="25">
        <v>44612</v>
      </c>
      <c r="P98" s="25"/>
      <c r="Q98" s="17"/>
      <c r="R98" s="17"/>
    </row>
    <row r="101" spans="1:20">
      <c r="A101" s="1" t="s">
        <v>68</v>
      </c>
      <c r="B101" s="1"/>
      <c r="C101" s="1"/>
      <c r="D101" s="1"/>
      <c r="E101" s="1"/>
      <c r="F101" s="1"/>
      <c r="G101" s="1"/>
      <c r="H101" s="1"/>
      <c r="I101" s="1"/>
      <c r="L101" s="1" t="s">
        <v>69</v>
      </c>
      <c r="M101" s="1"/>
      <c r="N101" s="1"/>
      <c r="O101" s="1"/>
      <c r="P101" s="1"/>
      <c r="Q101" s="1"/>
      <c r="R101" s="1"/>
      <c r="S101" s="1"/>
      <c r="T101" s="1"/>
    </row>
    <row r="102" spans="1:12">
      <c r="A102" s="2" t="s">
        <v>2</v>
      </c>
      <c r="L102" s="2" t="s">
        <v>2</v>
      </c>
    </row>
    <row r="103" ht="19.2" spans="1:21">
      <c r="A103" s="3" t="s">
        <v>3</v>
      </c>
      <c r="B103" s="3" t="s">
        <v>4</v>
      </c>
      <c r="C103" s="3" t="s">
        <v>5</v>
      </c>
      <c r="D103" s="3" t="s">
        <v>6</v>
      </c>
      <c r="E103" s="3" t="s">
        <v>7</v>
      </c>
      <c r="F103" s="3" t="s">
        <v>8</v>
      </c>
      <c r="G103" s="3" t="s">
        <v>9</v>
      </c>
      <c r="H103" s="3" t="s">
        <v>10</v>
      </c>
      <c r="I103" s="3" t="s">
        <v>11</v>
      </c>
      <c r="J103" s="3" t="s">
        <v>12</v>
      </c>
      <c r="L103" s="3" t="s">
        <v>3</v>
      </c>
      <c r="M103" s="3" t="s">
        <v>4</v>
      </c>
      <c r="N103" s="3" t="s">
        <v>5</v>
      </c>
      <c r="O103" s="3" t="s">
        <v>6</v>
      </c>
      <c r="P103" s="3" t="s">
        <v>7</v>
      </c>
      <c r="Q103" s="3" t="s">
        <v>8</v>
      </c>
      <c r="R103" s="3" t="s">
        <v>9</v>
      </c>
      <c r="S103" s="3" t="s">
        <v>10</v>
      </c>
      <c r="T103" s="3" t="s">
        <v>11</v>
      </c>
      <c r="U103" s="3" t="s">
        <v>12</v>
      </c>
    </row>
    <row r="104" spans="1:21">
      <c r="A104" s="3" t="s">
        <v>13</v>
      </c>
      <c r="B104" s="26">
        <v>4</v>
      </c>
      <c r="C104" s="26">
        <v>37</v>
      </c>
      <c r="D104" s="26">
        <v>28</v>
      </c>
      <c r="E104" s="3">
        <v>44</v>
      </c>
      <c r="F104" s="3">
        <v>7</v>
      </c>
      <c r="G104" s="26">
        <v>16</v>
      </c>
      <c r="H104" s="26">
        <v>46</v>
      </c>
      <c r="I104" s="26">
        <v>48</v>
      </c>
      <c r="J104" s="26">
        <f>SUM(B104:I104)</f>
        <v>230</v>
      </c>
      <c r="L104" s="3" t="s">
        <v>13</v>
      </c>
      <c r="M104" s="26">
        <v>2</v>
      </c>
      <c r="N104" s="26">
        <v>37</v>
      </c>
      <c r="O104" s="26">
        <v>28</v>
      </c>
      <c r="P104" s="3">
        <v>44</v>
      </c>
      <c r="Q104" s="3">
        <v>6</v>
      </c>
      <c r="R104" s="26">
        <v>16</v>
      </c>
      <c r="S104" s="26">
        <v>7</v>
      </c>
      <c r="T104" s="26">
        <v>48</v>
      </c>
      <c r="U104" s="26">
        <f>SUM(M104:T104)</f>
        <v>188</v>
      </c>
    </row>
    <row r="105" spans="1:21">
      <c r="A105" s="3" t="s">
        <v>14</v>
      </c>
      <c r="B105" s="26"/>
      <c r="C105" s="26"/>
      <c r="D105" s="26"/>
      <c r="E105" s="26"/>
      <c r="F105" s="26"/>
      <c r="G105" s="26"/>
      <c r="H105" s="26"/>
      <c r="I105" s="26"/>
      <c r="J105" s="26"/>
      <c r="L105" s="3" t="s">
        <v>14</v>
      </c>
      <c r="M105" s="26"/>
      <c r="N105" s="26"/>
      <c r="O105" s="26"/>
      <c r="P105" s="26"/>
      <c r="Q105" s="26"/>
      <c r="R105" s="26"/>
      <c r="S105" s="26">
        <v>41</v>
      </c>
      <c r="T105" s="26">
        <v>44</v>
      </c>
      <c r="U105" s="26">
        <f>SUM(M105:T105)</f>
        <v>85</v>
      </c>
    </row>
    <row r="106" spans="1:21">
      <c r="A106" s="3" t="s">
        <v>15</v>
      </c>
      <c r="B106" s="26">
        <v>2</v>
      </c>
      <c r="C106" s="26"/>
      <c r="D106" s="26"/>
      <c r="E106" s="26"/>
      <c r="F106" s="26">
        <v>1</v>
      </c>
      <c r="G106" s="26"/>
      <c r="H106" s="26">
        <v>39</v>
      </c>
      <c r="I106" s="26"/>
      <c r="J106" s="26">
        <f>SUM(B106:I106)</f>
        <v>42</v>
      </c>
      <c r="L106" s="3" t="s">
        <v>15</v>
      </c>
      <c r="M106" s="26">
        <v>2</v>
      </c>
      <c r="N106" s="26"/>
      <c r="O106" s="26">
        <v>4</v>
      </c>
      <c r="P106" s="26"/>
      <c r="Q106" s="26">
        <v>1</v>
      </c>
      <c r="R106" s="26"/>
      <c r="S106" s="26">
        <v>48</v>
      </c>
      <c r="T106" s="26">
        <v>5</v>
      </c>
      <c r="U106" s="26">
        <f>SUM(M106:T106)</f>
        <v>60</v>
      </c>
    </row>
    <row r="107" spans="1:21">
      <c r="A107" s="3" t="s">
        <v>16</v>
      </c>
      <c r="B107" s="26">
        <f>B104+B105-B106</f>
        <v>2</v>
      </c>
      <c r="C107" s="26">
        <f t="shared" ref="C107:I107" si="36">C104+C105-C106</f>
        <v>37</v>
      </c>
      <c r="D107" s="26">
        <f t="shared" si="36"/>
        <v>28</v>
      </c>
      <c r="E107" s="26">
        <f t="shared" si="36"/>
        <v>44</v>
      </c>
      <c r="F107" s="26">
        <f t="shared" si="36"/>
        <v>6</v>
      </c>
      <c r="G107" s="26">
        <f t="shared" si="36"/>
        <v>16</v>
      </c>
      <c r="H107" s="26">
        <f t="shared" si="36"/>
        <v>7</v>
      </c>
      <c r="I107" s="26">
        <f t="shared" si="36"/>
        <v>48</v>
      </c>
      <c r="J107" s="26">
        <f>SUM(B107:I107)</f>
        <v>188</v>
      </c>
      <c r="L107" s="3" t="s">
        <v>16</v>
      </c>
      <c r="M107" s="26">
        <f>M104+M105-M106</f>
        <v>0</v>
      </c>
      <c r="N107" s="26">
        <f t="shared" ref="N107:T107" si="37">N104+N105-N106</f>
        <v>37</v>
      </c>
      <c r="O107" s="26">
        <f t="shared" si="37"/>
        <v>24</v>
      </c>
      <c r="P107" s="26">
        <f t="shared" si="37"/>
        <v>44</v>
      </c>
      <c r="Q107" s="26">
        <f t="shared" si="37"/>
        <v>5</v>
      </c>
      <c r="R107" s="26">
        <f t="shared" si="37"/>
        <v>16</v>
      </c>
      <c r="S107" s="26">
        <f t="shared" si="37"/>
        <v>0</v>
      </c>
      <c r="T107" s="26">
        <f t="shared" si="37"/>
        <v>87</v>
      </c>
      <c r="U107" s="26">
        <f>SUM(M107:T107)</f>
        <v>213</v>
      </c>
    </row>
    <row r="108" spans="1:13">
      <c r="A108" s="28" t="s">
        <v>17</v>
      </c>
      <c r="B108" s="28"/>
      <c r="L108" s="28" t="s">
        <v>17</v>
      </c>
      <c r="M108" s="28"/>
    </row>
    <row r="109" ht="19.2" spans="1:21">
      <c r="A109" s="3" t="s">
        <v>3</v>
      </c>
      <c r="B109" s="3" t="s">
        <v>18</v>
      </c>
      <c r="C109" s="3" t="s">
        <v>19</v>
      </c>
      <c r="D109" s="3" t="s">
        <v>20</v>
      </c>
      <c r="E109" s="3" t="s">
        <v>21</v>
      </c>
      <c r="F109" s="3" t="s">
        <v>22</v>
      </c>
      <c r="G109" s="26"/>
      <c r="H109" s="3"/>
      <c r="I109" s="26"/>
      <c r="J109" s="3" t="s">
        <v>12</v>
      </c>
      <c r="L109" s="3" t="s">
        <v>3</v>
      </c>
      <c r="M109" s="3" t="s">
        <v>18</v>
      </c>
      <c r="N109" s="3" t="s">
        <v>19</v>
      </c>
      <c r="O109" s="3" t="s">
        <v>20</v>
      </c>
      <c r="P109" s="3" t="s">
        <v>21</v>
      </c>
      <c r="Q109" s="3" t="s">
        <v>22</v>
      </c>
      <c r="R109" s="26"/>
      <c r="S109" s="3"/>
      <c r="T109" s="26"/>
      <c r="U109" s="3" t="s">
        <v>12</v>
      </c>
    </row>
    <row r="110" spans="1:21">
      <c r="A110" s="3" t="s">
        <v>13</v>
      </c>
      <c r="B110" s="26">
        <v>30</v>
      </c>
      <c r="C110" s="26">
        <v>68</v>
      </c>
      <c r="D110" s="26">
        <v>63</v>
      </c>
      <c r="E110" s="26">
        <v>54</v>
      </c>
      <c r="F110" s="26">
        <v>54</v>
      </c>
      <c r="G110" s="26"/>
      <c r="H110" s="26"/>
      <c r="I110" s="26"/>
      <c r="J110" s="26">
        <f>SUM(B110:I110)</f>
        <v>269</v>
      </c>
      <c r="L110" s="3" t="s">
        <v>13</v>
      </c>
      <c r="M110" s="26">
        <v>30</v>
      </c>
      <c r="N110" s="26">
        <v>68</v>
      </c>
      <c r="O110" s="26">
        <v>63</v>
      </c>
      <c r="P110" s="26">
        <v>54</v>
      </c>
      <c r="Q110" s="26">
        <v>54</v>
      </c>
      <c r="R110" s="26"/>
      <c r="S110" s="26"/>
      <c r="T110" s="26"/>
      <c r="U110" s="26">
        <f>SUM(M110:T110)</f>
        <v>269</v>
      </c>
    </row>
    <row r="111" spans="1:21">
      <c r="A111" s="3" t="s">
        <v>14</v>
      </c>
      <c r="B111" s="26"/>
      <c r="C111" s="26"/>
      <c r="D111" s="26"/>
      <c r="E111" s="26"/>
      <c r="F111" s="26"/>
      <c r="G111" s="26"/>
      <c r="H111" s="26"/>
      <c r="I111" s="26"/>
      <c r="J111" s="26"/>
      <c r="L111" s="3" t="s">
        <v>14</v>
      </c>
      <c r="M111" s="26"/>
      <c r="N111" s="26"/>
      <c r="O111" s="26"/>
      <c r="P111" s="26"/>
      <c r="Q111" s="26"/>
      <c r="R111" s="26"/>
      <c r="S111" s="26"/>
      <c r="T111" s="26"/>
      <c r="U111" s="26"/>
    </row>
    <row r="112" spans="1:21">
      <c r="A112" s="3" t="s">
        <v>15</v>
      </c>
      <c r="B112" s="26"/>
      <c r="C112" s="26"/>
      <c r="D112" s="26"/>
      <c r="E112" s="26"/>
      <c r="F112" s="26"/>
      <c r="G112" s="26"/>
      <c r="H112" s="26"/>
      <c r="I112" s="26"/>
      <c r="J112" s="26"/>
      <c r="L112" s="3" t="s">
        <v>15</v>
      </c>
      <c r="M112" s="26"/>
      <c r="N112" s="26"/>
      <c r="O112" s="26"/>
      <c r="P112" s="26"/>
      <c r="Q112" s="26"/>
      <c r="R112" s="26"/>
      <c r="S112" s="26"/>
      <c r="T112" s="26"/>
      <c r="U112" s="26"/>
    </row>
    <row r="113" spans="1:21">
      <c r="A113" s="3" t="s">
        <v>16</v>
      </c>
      <c r="B113" s="26">
        <f>B110+B111-B112</f>
        <v>30</v>
      </c>
      <c r="C113" s="26">
        <f t="shared" ref="C113:I113" si="38">C110+C111-C112</f>
        <v>68</v>
      </c>
      <c r="D113" s="26">
        <f t="shared" si="38"/>
        <v>63</v>
      </c>
      <c r="E113" s="26">
        <f t="shared" si="38"/>
        <v>54</v>
      </c>
      <c r="F113" s="26">
        <f t="shared" si="38"/>
        <v>54</v>
      </c>
      <c r="G113" s="26">
        <f t="shared" si="38"/>
        <v>0</v>
      </c>
      <c r="H113" s="26">
        <f t="shared" si="38"/>
        <v>0</v>
      </c>
      <c r="I113" s="26">
        <f t="shared" si="38"/>
        <v>0</v>
      </c>
      <c r="J113" s="26">
        <f>SUM(B113:I113)</f>
        <v>269</v>
      </c>
      <c r="L113" s="3" t="s">
        <v>16</v>
      </c>
      <c r="M113" s="26">
        <f t="shared" ref="M113:T113" si="39">M110+M111-M112</f>
        <v>30</v>
      </c>
      <c r="N113" s="26">
        <f t="shared" si="39"/>
        <v>68</v>
      </c>
      <c r="O113" s="26">
        <f t="shared" si="39"/>
        <v>63</v>
      </c>
      <c r="P113" s="26">
        <f t="shared" si="39"/>
        <v>54</v>
      </c>
      <c r="Q113" s="26">
        <f t="shared" si="39"/>
        <v>54</v>
      </c>
      <c r="R113" s="26">
        <f t="shared" si="39"/>
        <v>0</v>
      </c>
      <c r="S113" s="26">
        <f t="shared" si="39"/>
        <v>0</v>
      </c>
      <c r="T113" s="26">
        <f t="shared" si="39"/>
        <v>0</v>
      </c>
      <c r="U113" s="26">
        <f>SUM(M113:T113)</f>
        <v>269</v>
      </c>
    </row>
    <row r="114" spans="1:12">
      <c r="A114" s="7" t="s">
        <v>25</v>
      </c>
      <c r="L114" s="7" t="s">
        <v>25</v>
      </c>
    </row>
    <row r="115" ht="19.2" spans="1:21">
      <c r="A115" s="3" t="s">
        <v>3</v>
      </c>
      <c r="B115" s="3" t="s">
        <v>26</v>
      </c>
      <c r="C115" s="3" t="s">
        <v>27</v>
      </c>
      <c r="D115" s="3" t="s">
        <v>28</v>
      </c>
      <c r="E115" s="3" t="s">
        <v>29</v>
      </c>
      <c r="F115" s="3" t="s">
        <v>30</v>
      </c>
      <c r="G115" s="26"/>
      <c r="H115" s="3"/>
      <c r="I115" s="26"/>
      <c r="J115" s="3" t="s">
        <v>12</v>
      </c>
      <c r="L115" s="3" t="s">
        <v>3</v>
      </c>
      <c r="M115" s="3" t="s">
        <v>26</v>
      </c>
      <c r="N115" s="3" t="s">
        <v>27</v>
      </c>
      <c r="O115" s="3" t="s">
        <v>28</v>
      </c>
      <c r="P115" s="3" t="s">
        <v>29</v>
      </c>
      <c r="Q115" s="3" t="s">
        <v>30</v>
      </c>
      <c r="R115" s="26"/>
      <c r="S115" s="3"/>
      <c r="T115" s="26"/>
      <c r="U115" s="3" t="s">
        <v>12</v>
      </c>
    </row>
    <row r="116" spans="1:21">
      <c r="A116" s="3" t="s">
        <v>13</v>
      </c>
      <c r="B116" s="26">
        <v>82</v>
      </c>
      <c r="C116" s="26">
        <v>36</v>
      </c>
      <c r="D116" s="26">
        <v>35</v>
      </c>
      <c r="E116" s="26">
        <v>38</v>
      </c>
      <c r="F116" s="26">
        <v>27</v>
      </c>
      <c r="G116" s="26"/>
      <c r="H116" s="26"/>
      <c r="I116" s="26"/>
      <c r="J116" s="26">
        <f>SUM(B116:I116)</f>
        <v>218</v>
      </c>
      <c r="L116" s="3" t="s">
        <v>13</v>
      </c>
      <c r="M116" s="26">
        <v>82</v>
      </c>
      <c r="N116" s="26">
        <v>36</v>
      </c>
      <c r="O116" s="26">
        <v>35</v>
      </c>
      <c r="P116" s="26">
        <v>38</v>
      </c>
      <c r="Q116" s="26">
        <v>27</v>
      </c>
      <c r="R116" s="26"/>
      <c r="S116" s="26"/>
      <c r="T116" s="26"/>
      <c r="U116" s="26">
        <f>SUM(M116:T116)</f>
        <v>218</v>
      </c>
    </row>
    <row r="117" spans="1:21">
      <c r="A117" s="3" t="s">
        <v>14</v>
      </c>
      <c r="B117" s="26"/>
      <c r="C117" s="26"/>
      <c r="D117" s="26"/>
      <c r="E117" s="26"/>
      <c r="F117" s="26"/>
      <c r="G117" s="26"/>
      <c r="H117" s="26"/>
      <c r="I117" s="26"/>
      <c r="J117" s="26"/>
      <c r="L117" s="3" t="s">
        <v>14</v>
      </c>
      <c r="M117" s="26"/>
      <c r="N117" s="26"/>
      <c r="O117" s="26"/>
      <c r="P117" s="26"/>
      <c r="Q117" s="26"/>
      <c r="R117" s="26"/>
      <c r="S117" s="26"/>
      <c r="T117" s="26"/>
      <c r="U117" s="26"/>
    </row>
    <row r="118" spans="1:21">
      <c r="A118" s="3" t="s">
        <v>15</v>
      </c>
      <c r="B118" s="26"/>
      <c r="C118" s="26"/>
      <c r="D118" s="26"/>
      <c r="E118" s="26"/>
      <c r="F118" s="26"/>
      <c r="G118" s="26"/>
      <c r="H118" s="26"/>
      <c r="I118" s="26"/>
      <c r="J118" s="26"/>
      <c r="L118" s="3" t="s">
        <v>15</v>
      </c>
      <c r="M118" s="26">
        <v>2</v>
      </c>
      <c r="N118" s="26"/>
      <c r="O118" s="26"/>
      <c r="P118" s="26"/>
      <c r="Q118" s="26"/>
      <c r="R118" s="26"/>
      <c r="S118" s="26"/>
      <c r="T118" s="26"/>
      <c r="U118" s="26">
        <f>SUM(M118:T118)</f>
        <v>2</v>
      </c>
    </row>
    <row r="119" spans="1:21">
      <c r="A119" s="3" t="s">
        <v>16</v>
      </c>
      <c r="B119" s="26">
        <f>B116+B117-B118</f>
        <v>82</v>
      </c>
      <c r="C119" s="26">
        <f t="shared" ref="C119:I119" si="40">C116+C117-C118</f>
        <v>36</v>
      </c>
      <c r="D119" s="26">
        <f t="shared" si="40"/>
        <v>35</v>
      </c>
      <c r="E119" s="26">
        <f t="shared" si="40"/>
        <v>38</v>
      </c>
      <c r="F119" s="26">
        <f t="shared" si="40"/>
        <v>27</v>
      </c>
      <c r="G119" s="26">
        <f t="shared" si="40"/>
        <v>0</v>
      </c>
      <c r="H119" s="26">
        <f t="shared" si="40"/>
        <v>0</v>
      </c>
      <c r="I119" s="26">
        <f t="shared" si="40"/>
        <v>0</v>
      </c>
      <c r="J119" s="26">
        <f>SUM(B119:I119)</f>
        <v>218</v>
      </c>
      <c r="L119" s="3" t="s">
        <v>16</v>
      </c>
      <c r="M119" s="26">
        <f t="shared" ref="M119:T119" si="41">M116+M117-M118</f>
        <v>80</v>
      </c>
      <c r="N119" s="26">
        <f t="shared" si="41"/>
        <v>36</v>
      </c>
      <c r="O119" s="26">
        <f t="shared" si="41"/>
        <v>35</v>
      </c>
      <c r="P119" s="26">
        <f t="shared" si="41"/>
        <v>38</v>
      </c>
      <c r="Q119" s="26">
        <f t="shared" si="41"/>
        <v>27</v>
      </c>
      <c r="R119" s="26">
        <f t="shared" si="41"/>
        <v>0</v>
      </c>
      <c r="S119" s="26">
        <f t="shared" si="41"/>
        <v>0</v>
      </c>
      <c r="T119" s="26">
        <f t="shared" si="41"/>
        <v>0</v>
      </c>
      <c r="U119" s="26">
        <f>SUM(M119:T119)</f>
        <v>216</v>
      </c>
    </row>
    <row r="120" spans="1:12">
      <c r="A120" s="7" t="s">
        <v>33</v>
      </c>
      <c r="L120" s="7" t="s">
        <v>33</v>
      </c>
    </row>
    <row r="121" ht="19.2" spans="1:21">
      <c r="A121" s="3" t="s">
        <v>3</v>
      </c>
      <c r="B121" s="3" t="s">
        <v>33</v>
      </c>
      <c r="C121" s="3" t="s">
        <v>34</v>
      </c>
      <c r="D121" s="3" t="s">
        <v>35</v>
      </c>
      <c r="E121" s="26"/>
      <c r="F121" s="26"/>
      <c r="G121" s="26"/>
      <c r="H121" s="3"/>
      <c r="I121" s="26"/>
      <c r="J121" s="3" t="s">
        <v>12</v>
      </c>
      <c r="L121" s="3" t="s">
        <v>3</v>
      </c>
      <c r="M121" s="3" t="s">
        <v>33</v>
      </c>
      <c r="N121" s="3" t="s">
        <v>34</v>
      </c>
      <c r="O121" s="3" t="s">
        <v>35</v>
      </c>
      <c r="P121" s="26"/>
      <c r="Q121" s="26"/>
      <c r="R121" s="26"/>
      <c r="S121" s="3"/>
      <c r="T121" s="26"/>
      <c r="U121" s="3" t="s">
        <v>12</v>
      </c>
    </row>
    <row r="122" spans="1:21">
      <c r="A122" s="3" t="s">
        <v>13</v>
      </c>
      <c r="B122" s="3">
        <v>66</v>
      </c>
      <c r="C122" s="9">
        <v>20</v>
      </c>
      <c r="D122" s="9">
        <v>10</v>
      </c>
      <c r="E122" s="26"/>
      <c r="F122" s="26"/>
      <c r="G122" s="26"/>
      <c r="H122" s="26"/>
      <c r="I122" s="26"/>
      <c r="J122" s="26">
        <f>SUM(B122:I122)</f>
        <v>96</v>
      </c>
      <c r="L122" s="3" t="s">
        <v>13</v>
      </c>
      <c r="M122" s="3">
        <v>66</v>
      </c>
      <c r="N122" s="9">
        <v>20</v>
      </c>
      <c r="O122" s="9">
        <v>10</v>
      </c>
      <c r="P122" s="26"/>
      <c r="Q122" s="26"/>
      <c r="R122" s="26"/>
      <c r="S122" s="26"/>
      <c r="T122" s="26"/>
      <c r="U122" s="26">
        <f>SUM(M122:T122)</f>
        <v>96</v>
      </c>
    </row>
    <row r="123" spans="1:21">
      <c r="A123" s="3" t="s">
        <v>14</v>
      </c>
      <c r="B123" s="26"/>
      <c r="C123" s="26"/>
      <c r="D123" s="26"/>
      <c r="E123" s="26"/>
      <c r="F123" s="26"/>
      <c r="G123" s="26"/>
      <c r="H123" s="26"/>
      <c r="I123" s="26"/>
      <c r="J123" s="26"/>
      <c r="L123" s="3" t="s">
        <v>14</v>
      </c>
      <c r="M123" s="26"/>
      <c r="N123" s="26"/>
      <c r="O123" s="26"/>
      <c r="P123" s="26"/>
      <c r="Q123" s="26"/>
      <c r="R123" s="26"/>
      <c r="S123" s="26"/>
      <c r="T123" s="26"/>
      <c r="U123" s="26"/>
    </row>
    <row r="124" spans="1:21">
      <c r="A124" s="3" t="s">
        <v>15</v>
      </c>
      <c r="B124" s="26"/>
      <c r="C124" s="26"/>
      <c r="D124" s="26"/>
      <c r="E124" s="26"/>
      <c r="F124" s="26"/>
      <c r="G124" s="26"/>
      <c r="H124" s="26"/>
      <c r="I124" s="26"/>
      <c r="J124" s="26"/>
      <c r="L124" s="3" t="s">
        <v>15</v>
      </c>
      <c r="M124" s="26"/>
      <c r="N124" s="26"/>
      <c r="O124" s="26"/>
      <c r="P124" s="26"/>
      <c r="Q124" s="26"/>
      <c r="R124" s="26"/>
      <c r="S124" s="26"/>
      <c r="T124" s="26"/>
      <c r="U124" s="26"/>
    </row>
    <row r="125" spans="1:21">
      <c r="A125" s="3" t="s">
        <v>16</v>
      </c>
      <c r="B125" s="26">
        <f>B122+B123-B124</f>
        <v>66</v>
      </c>
      <c r="C125" s="26">
        <f>C122+C123-C124</f>
        <v>20</v>
      </c>
      <c r="D125" s="26">
        <f>D122+D123-D124</f>
        <v>10</v>
      </c>
      <c r="E125" s="26"/>
      <c r="F125" s="26"/>
      <c r="G125" s="26"/>
      <c r="H125" s="26"/>
      <c r="I125" s="26"/>
      <c r="J125" s="26">
        <f t="shared" ref="J125:J131" si="42">SUM(B125:I125)</f>
        <v>96</v>
      </c>
      <c r="L125" s="3" t="s">
        <v>16</v>
      </c>
      <c r="M125" s="26">
        <f t="shared" ref="M125:O125" si="43">M122+M123-M124</f>
        <v>66</v>
      </c>
      <c r="N125" s="26">
        <f t="shared" si="43"/>
        <v>20</v>
      </c>
      <c r="O125" s="26">
        <f t="shared" si="43"/>
        <v>10</v>
      </c>
      <c r="P125" s="26"/>
      <c r="Q125" s="26"/>
      <c r="R125" s="26"/>
      <c r="S125" s="26"/>
      <c r="T125" s="26"/>
      <c r="U125" s="26">
        <f t="shared" ref="U125:U131" si="44">SUM(M125:T125)</f>
        <v>96</v>
      </c>
    </row>
    <row r="126" spans="1:12">
      <c r="A126" t="s">
        <v>65</v>
      </c>
      <c r="L126" t="s">
        <v>65</v>
      </c>
    </row>
    <row r="127" ht="19.2" spans="1:21">
      <c r="A127" s="3" t="s">
        <v>3</v>
      </c>
      <c r="B127" s="3" t="s">
        <v>23</v>
      </c>
      <c r="C127" s="3" t="s">
        <v>24</v>
      </c>
      <c r="D127" s="3" t="s">
        <v>31</v>
      </c>
      <c r="E127" s="3" t="s">
        <v>32</v>
      </c>
      <c r="F127" s="3" t="s">
        <v>36</v>
      </c>
      <c r="G127" s="3" t="s">
        <v>37</v>
      </c>
      <c r="H127" s="3"/>
      <c r="I127" s="26"/>
      <c r="J127" s="3" t="s">
        <v>12</v>
      </c>
      <c r="L127" s="3" t="s">
        <v>3</v>
      </c>
      <c r="M127" s="3" t="s">
        <v>23</v>
      </c>
      <c r="N127" s="3" t="s">
        <v>24</v>
      </c>
      <c r="O127" s="3" t="s">
        <v>31</v>
      </c>
      <c r="P127" s="3" t="s">
        <v>32</v>
      </c>
      <c r="Q127" s="3" t="s">
        <v>36</v>
      </c>
      <c r="R127" s="3" t="s">
        <v>37</v>
      </c>
      <c r="S127" s="3"/>
      <c r="T127" s="26"/>
      <c r="U127" s="3" t="s">
        <v>12</v>
      </c>
    </row>
    <row r="128" spans="1:21">
      <c r="A128" s="3" t="s">
        <v>13</v>
      </c>
      <c r="B128" s="26">
        <v>59</v>
      </c>
      <c r="C128" s="26">
        <v>60</v>
      </c>
      <c r="D128" s="26">
        <v>37</v>
      </c>
      <c r="E128" s="26">
        <v>52</v>
      </c>
      <c r="F128" s="26">
        <v>18</v>
      </c>
      <c r="G128" s="26">
        <v>18</v>
      </c>
      <c r="H128" s="26"/>
      <c r="I128" s="26"/>
      <c r="J128" s="26">
        <f t="shared" si="42"/>
        <v>244</v>
      </c>
      <c r="L128" s="3" t="s">
        <v>13</v>
      </c>
      <c r="M128" s="26">
        <v>53</v>
      </c>
      <c r="N128" s="26">
        <v>64</v>
      </c>
      <c r="O128" s="26">
        <v>40</v>
      </c>
      <c r="P128" s="26">
        <v>52</v>
      </c>
      <c r="Q128" s="26">
        <v>17</v>
      </c>
      <c r="R128" s="26">
        <v>18</v>
      </c>
      <c r="S128" s="26"/>
      <c r="T128" s="26"/>
      <c r="U128" s="26">
        <f t="shared" si="44"/>
        <v>244</v>
      </c>
    </row>
    <row r="129" spans="1:21">
      <c r="A129" s="3" t="s">
        <v>14</v>
      </c>
      <c r="B129" s="26">
        <v>5</v>
      </c>
      <c r="C129" s="26">
        <v>4</v>
      </c>
      <c r="D129" s="26">
        <v>3</v>
      </c>
      <c r="E129" s="26"/>
      <c r="F129" s="26"/>
      <c r="G129" s="26"/>
      <c r="H129" s="26"/>
      <c r="I129" s="26"/>
      <c r="J129" s="26">
        <f t="shared" si="42"/>
        <v>12</v>
      </c>
      <c r="L129" s="3" t="s">
        <v>14</v>
      </c>
      <c r="M129" s="26">
        <v>5</v>
      </c>
      <c r="N129" s="26">
        <v>2</v>
      </c>
      <c r="O129" s="26">
        <v>0</v>
      </c>
      <c r="P129" s="26">
        <v>0</v>
      </c>
      <c r="Q129" s="26">
        <v>3</v>
      </c>
      <c r="R129" s="26"/>
      <c r="S129" s="26"/>
      <c r="T129" s="26"/>
      <c r="U129" s="26">
        <f t="shared" si="44"/>
        <v>10</v>
      </c>
    </row>
    <row r="130" spans="1:21">
      <c r="A130" s="3" t="s">
        <v>15</v>
      </c>
      <c r="B130" s="26">
        <v>11</v>
      </c>
      <c r="C130" s="26"/>
      <c r="D130" s="26"/>
      <c r="E130" s="26"/>
      <c r="F130" s="26">
        <v>1</v>
      </c>
      <c r="G130" s="26"/>
      <c r="H130" s="26"/>
      <c r="I130" s="26"/>
      <c r="J130" s="26">
        <f t="shared" si="42"/>
        <v>12</v>
      </c>
      <c r="L130" s="3" t="s">
        <v>15</v>
      </c>
      <c r="M130" s="26"/>
      <c r="N130" s="26"/>
      <c r="O130" s="26"/>
      <c r="P130" s="26"/>
      <c r="Q130" s="26"/>
      <c r="R130" s="26"/>
      <c r="S130" s="26"/>
      <c r="T130" s="26"/>
      <c r="U130" s="26">
        <f t="shared" si="44"/>
        <v>0</v>
      </c>
    </row>
    <row r="131" spans="1:21">
      <c r="A131" s="3" t="s">
        <v>16</v>
      </c>
      <c r="B131" s="26">
        <f t="shared" ref="B131:G131" si="45">B128+B129-B130</f>
        <v>53</v>
      </c>
      <c r="C131" s="26">
        <f t="shared" si="45"/>
        <v>64</v>
      </c>
      <c r="D131" s="26">
        <f t="shared" si="45"/>
        <v>40</v>
      </c>
      <c r="E131" s="26">
        <f t="shared" si="45"/>
        <v>52</v>
      </c>
      <c r="F131" s="26">
        <f t="shared" si="45"/>
        <v>17</v>
      </c>
      <c r="G131" s="26">
        <f t="shared" si="45"/>
        <v>18</v>
      </c>
      <c r="H131" s="26"/>
      <c r="I131" s="26"/>
      <c r="J131" s="26">
        <f t="shared" si="42"/>
        <v>244</v>
      </c>
      <c r="L131" s="3" t="s">
        <v>16</v>
      </c>
      <c r="M131" s="26">
        <f t="shared" ref="M131:R131" si="46">M128+M129-M130</f>
        <v>58</v>
      </c>
      <c r="N131" s="26">
        <f t="shared" si="46"/>
        <v>66</v>
      </c>
      <c r="O131" s="26">
        <f t="shared" si="46"/>
        <v>40</v>
      </c>
      <c r="P131" s="26">
        <f t="shared" si="46"/>
        <v>52</v>
      </c>
      <c r="Q131" s="26">
        <f t="shared" si="46"/>
        <v>20</v>
      </c>
      <c r="R131" s="26">
        <f t="shared" si="46"/>
        <v>18</v>
      </c>
      <c r="S131" s="26"/>
      <c r="T131" s="26"/>
      <c r="U131" s="26">
        <f t="shared" si="44"/>
        <v>254</v>
      </c>
    </row>
    <row r="132" spans="1:12">
      <c r="A132" t="s">
        <v>38</v>
      </c>
      <c r="L132" t="s">
        <v>38</v>
      </c>
    </row>
    <row r="133" spans="1:21">
      <c r="A133" s="3" t="s">
        <v>13</v>
      </c>
      <c r="B133" s="26">
        <f t="shared" ref="B133:B135" si="47">J104+J110+J116+J122+J128</f>
        <v>1057</v>
      </c>
      <c r="C133" s="26"/>
      <c r="D133" s="26"/>
      <c r="E133" s="26"/>
      <c r="F133" s="26"/>
      <c r="G133" s="26"/>
      <c r="H133" s="26"/>
      <c r="I133" s="26"/>
      <c r="J133" s="26"/>
      <c r="L133" s="3" t="s">
        <v>13</v>
      </c>
      <c r="M133" s="26">
        <f t="shared" ref="M133:M135" si="48">U104+U110+U116+U122+U128</f>
        <v>1015</v>
      </c>
      <c r="N133" s="26"/>
      <c r="O133" s="26"/>
      <c r="P133" s="26"/>
      <c r="Q133" s="26"/>
      <c r="R133" s="26"/>
      <c r="S133" s="26"/>
      <c r="T133" s="26"/>
      <c r="U133" s="26"/>
    </row>
    <row r="134" spans="1:21">
      <c r="A134" s="3" t="s">
        <v>45</v>
      </c>
      <c r="B134" s="26">
        <f t="shared" si="47"/>
        <v>12</v>
      </c>
      <c r="C134" s="26"/>
      <c r="D134" s="26"/>
      <c r="E134" s="26"/>
      <c r="F134" s="26"/>
      <c r="G134" s="26"/>
      <c r="H134" s="26"/>
      <c r="I134" s="26"/>
      <c r="J134" s="26"/>
      <c r="L134" s="3" t="s">
        <v>45</v>
      </c>
      <c r="M134" s="26">
        <f t="shared" si="48"/>
        <v>95</v>
      </c>
      <c r="N134" s="26"/>
      <c r="O134" s="26"/>
      <c r="P134" s="26"/>
      <c r="Q134" s="26"/>
      <c r="R134" s="26"/>
      <c r="S134" s="26"/>
      <c r="T134" s="26"/>
      <c r="U134" s="26"/>
    </row>
    <row r="135" spans="1:21">
      <c r="A135" s="3" t="s">
        <v>46</v>
      </c>
      <c r="B135" s="26">
        <f t="shared" si="47"/>
        <v>54</v>
      </c>
      <c r="C135" s="26"/>
      <c r="D135" s="26"/>
      <c r="E135" s="26"/>
      <c r="F135" s="26"/>
      <c r="G135" s="26"/>
      <c r="H135" s="26"/>
      <c r="I135" s="26"/>
      <c r="J135" s="26"/>
      <c r="L135" s="3" t="s">
        <v>46</v>
      </c>
      <c r="M135" s="26">
        <f t="shared" si="48"/>
        <v>62</v>
      </c>
      <c r="N135" s="26"/>
      <c r="O135" s="26"/>
      <c r="P135" s="26"/>
      <c r="Q135" s="26"/>
      <c r="R135" s="26"/>
      <c r="S135" s="26"/>
      <c r="T135" s="26"/>
      <c r="U135" s="26"/>
    </row>
    <row r="136" spans="1:21">
      <c r="A136" s="3" t="s">
        <v>47</v>
      </c>
      <c r="B136" s="26">
        <f>B133+B134-B135</f>
        <v>1015</v>
      </c>
      <c r="C136" s="26"/>
      <c r="D136" s="26"/>
      <c r="E136" s="26"/>
      <c r="F136" s="26"/>
      <c r="G136" s="26"/>
      <c r="H136" s="26"/>
      <c r="I136" s="26"/>
      <c r="J136" s="26"/>
      <c r="L136" s="3" t="s">
        <v>47</v>
      </c>
      <c r="M136" s="26">
        <f>M133+M134-M135</f>
        <v>1048</v>
      </c>
      <c r="N136" s="26"/>
      <c r="O136" s="26"/>
      <c r="P136" s="26"/>
      <c r="Q136" s="26"/>
      <c r="R136" s="26"/>
      <c r="S136" s="26"/>
      <c r="T136" s="26"/>
      <c r="U136" s="26"/>
    </row>
    <row r="137" spans="1:18">
      <c r="A137" s="13" t="s">
        <v>56</v>
      </c>
      <c r="B137" s="13"/>
      <c r="C137" s="2" t="s">
        <v>57</v>
      </c>
      <c r="E137" s="2" t="s">
        <v>58</v>
      </c>
      <c r="G137" s="14" t="s">
        <v>59</v>
      </c>
      <c r="L137" s="13" t="s">
        <v>56</v>
      </c>
      <c r="M137" s="13"/>
      <c r="N137" s="2" t="s">
        <v>57</v>
      </c>
      <c r="P137" s="2" t="s">
        <v>58</v>
      </c>
      <c r="R137" s="14" t="s">
        <v>59</v>
      </c>
    </row>
    <row r="138" spans="1:20">
      <c r="A138" s="4"/>
      <c r="B138" s="4"/>
      <c r="C138" s="4"/>
      <c r="D138" s="4"/>
      <c r="E138" s="4"/>
      <c r="F138" s="4"/>
      <c r="I138" s="4"/>
      <c r="L138" s="4"/>
      <c r="M138" s="4"/>
      <c r="N138" s="4"/>
      <c r="O138" s="4"/>
      <c r="P138" s="4"/>
      <c r="Q138" s="4"/>
      <c r="T138" s="4"/>
    </row>
    <row r="139" spans="6:18">
      <c r="F139" s="15">
        <v>44640</v>
      </c>
      <c r="G139" s="15"/>
      <c r="Q139" s="15">
        <v>44671</v>
      </c>
      <c r="R139" s="15"/>
    </row>
    <row r="140" spans="1:17">
      <c r="A140" s="27" t="s">
        <v>70</v>
      </c>
      <c r="B140" s="27"/>
      <c r="C140" s="27"/>
      <c r="D140" s="27"/>
      <c r="E140" s="27"/>
      <c r="F140" s="27"/>
      <c r="L140" s="27" t="s">
        <v>71</v>
      </c>
      <c r="M140" s="27"/>
      <c r="N140" s="27"/>
      <c r="O140" s="27"/>
      <c r="P140" s="27"/>
      <c r="Q140" s="27"/>
    </row>
    <row r="141" ht="31.2" spans="1:18">
      <c r="A141" s="18" t="s">
        <v>3</v>
      </c>
      <c r="B141" s="18" t="s">
        <v>42</v>
      </c>
      <c r="C141" s="18" t="s">
        <v>10</v>
      </c>
      <c r="D141" s="18" t="s">
        <v>11</v>
      </c>
      <c r="E141" s="18"/>
      <c r="F141" s="19" t="s">
        <v>12</v>
      </c>
      <c r="G141" s="20" t="s">
        <v>62</v>
      </c>
      <c r="L141" s="18" t="s">
        <v>3</v>
      </c>
      <c r="M141" s="18" t="s">
        <v>42</v>
      </c>
      <c r="N141" s="18" t="s">
        <v>10</v>
      </c>
      <c r="O141" s="18" t="s">
        <v>11</v>
      </c>
      <c r="P141" s="18"/>
      <c r="Q141" s="19" t="s">
        <v>12</v>
      </c>
      <c r="R141" s="20" t="s">
        <v>62</v>
      </c>
    </row>
    <row r="142" ht="31.2" spans="1:18">
      <c r="A142" s="18" t="s">
        <v>13</v>
      </c>
      <c r="B142" s="18">
        <v>11</v>
      </c>
      <c r="C142" s="17">
        <v>41</v>
      </c>
      <c r="D142" s="21">
        <v>44</v>
      </c>
      <c r="E142" s="18"/>
      <c r="F142" s="19">
        <f t="shared" ref="F142:F144" si="49">SUM(B142:E142)</f>
        <v>96</v>
      </c>
      <c r="G142" s="22"/>
      <c r="L142" s="18" t="s">
        <v>13</v>
      </c>
      <c r="M142" s="18">
        <v>11</v>
      </c>
      <c r="N142" s="17">
        <v>41</v>
      </c>
      <c r="O142" s="21">
        <v>44</v>
      </c>
      <c r="P142" s="18"/>
      <c r="Q142" s="19">
        <f t="shared" ref="Q142:Q144" si="50">SUM(M142:P142)</f>
        <v>96</v>
      </c>
      <c r="R142" s="22"/>
    </row>
    <row r="143" ht="31.2" spans="1:18">
      <c r="A143" s="18" t="s">
        <v>14</v>
      </c>
      <c r="B143" s="18"/>
      <c r="C143" s="18"/>
      <c r="D143" s="18"/>
      <c r="E143" s="18"/>
      <c r="F143" s="18">
        <f t="shared" si="49"/>
        <v>0</v>
      </c>
      <c r="G143" s="22"/>
      <c r="L143" s="18" t="s">
        <v>14</v>
      </c>
      <c r="M143" s="18"/>
      <c r="N143" s="18"/>
      <c r="O143" s="18"/>
      <c r="P143" s="18"/>
      <c r="Q143" s="18">
        <f t="shared" si="50"/>
        <v>0</v>
      </c>
      <c r="R143" s="22"/>
    </row>
    <row r="144" ht="31.2" spans="1:18">
      <c r="A144" s="18" t="s">
        <v>15</v>
      </c>
      <c r="B144" s="23"/>
      <c r="C144" s="23"/>
      <c r="D144" s="23"/>
      <c r="E144" s="18"/>
      <c r="F144" s="19">
        <f t="shared" si="49"/>
        <v>0</v>
      </c>
      <c r="G144" s="22"/>
      <c r="L144" s="18" t="s">
        <v>15</v>
      </c>
      <c r="M144" s="23">
        <v>11</v>
      </c>
      <c r="N144" s="23">
        <v>41</v>
      </c>
      <c r="O144" s="23">
        <v>44</v>
      </c>
      <c r="P144" s="18"/>
      <c r="Q144" s="19">
        <f t="shared" si="50"/>
        <v>96</v>
      </c>
      <c r="R144" s="22"/>
    </row>
    <row r="145" ht="31.2" spans="1:18">
      <c r="A145" s="18" t="s">
        <v>16</v>
      </c>
      <c r="B145" s="23">
        <f>B142+B143-B144</f>
        <v>11</v>
      </c>
      <c r="C145" s="23">
        <f>C142+C143-C144</f>
        <v>41</v>
      </c>
      <c r="D145" s="23">
        <f>D142+D143-D144</f>
        <v>44</v>
      </c>
      <c r="E145" s="23"/>
      <c r="F145" s="23">
        <f>F142+F143-F144</f>
        <v>96</v>
      </c>
      <c r="G145" s="22"/>
      <c r="L145" s="18" t="s">
        <v>16</v>
      </c>
      <c r="M145" s="23">
        <f t="shared" ref="M145:O145" si="51">M142+M143-M144</f>
        <v>0</v>
      </c>
      <c r="N145" s="23">
        <f t="shared" si="51"/>
        <v>0</v>
      </c>
      <c r="O145" s="23">
        <f t="shared" si="51"/>
        <v>0</v>
      </c>
      <c r="P145" s="23"/>
      <c r="Q145" s="23">
        <f>Q142+Q143-Q144</f>
        <v>0</v>
      </c>
      <c r="R145" s="22"/>
    </row>
    <row r="146" spans="1:18">
      <c r="A146" s="17"/>
      <c r="B146" s="17"/>
      <c r="C146" s="17"/>
      <c r="D146" s="17"/>
      <c r="E146" s="17"/>
      <c r="F146" s="17"/>
      <c r="G146" s="17"/>
      <c r="L146" s="17"/>
      <c r="M146" s="17"/>
      <c r="N146" s="17"/>
      <c r="O146" s="17"/>
      <c r="P146" s="17"/>
      <c r="Q146" s="17"/>
      <c r="R146" s="17"/>
    </row>
    <row r="147" spans="1:18">
      <c r="A147" s="24" t="s">
        <v>56</v>
      </c>
      <c r="B147" s="24"/>
      <c r="C147" s="16" t="s">
        <v>57</v>
      </c>
      <c r="D147" s="17"/>
      <c r="E147" s="16" t="s">
        <v>58</v>
      </c>
      <c r="F147" s="17"/>
      <c r="G147" s="17"/>
      <c r="L147" s="24" t="s">
        <v>56</v>
      </c>
      <c r="M147" s="24"/>
      <c r="N147" s="16" t="s">
        <v>57</v>
      </c>
      <c r="O147" s="17"/>
      <c r="P147" s="16" t="s">
        <v>58</v>
      </c>
      <c r="Q147" s="17"/>
      <c r="R147" s="17"/>
    </row>
    <row r="148" spans="1:18">
      <c r="A148" s="17"/>
      <c r="B148" s="17"/>
      <c r="D148" s="25">
        <v>44640</v>
      </c>
      <c r="E148" s="25"/>
      <c r="F148" s="17"/>
      <c r="G148" s="17"/>
      <c r="L148" s="17"/>
      <c r="M148" s="17"/>
      <c r="O148" s="25">
        <v>44671</v>
      </c>
      <c r="P148" s="25"/>
      <c r="Q148" s="17"/>
      <c r="R148" s="17"/>
    </row>
    <row r="150" spans="1:32">
      <c r="A150" s="1" t="s">
        <v>72</v>
      </c>
      <c r="B150" s="1"/>
      <c r="C150" s="1"/>
      <c r="D150" s="1"/>
      <c r="E150" s="1"/>
      <c r="F150" s="1"/>
      <c r="G150" s="1"/>
      <c r="H150" s="1"/>
      <c r="I150" s="1"/>
      <c r="M150" s="1" t="s">
        <v>73</v>
      </c>
      <c r="N150" s="1"/>
      <c r="O150" s="1"/>
      <c r="P150" s="1"/>
      <c r="Q150" s="1"/>
      <c r="R150" s="1"/>
      <c r="S150" s="1"/>
      <c r="T150" s="1"/>
      <c r="U150" s="1"/>
      <c r="X150" s="1" t="s">
        <v>73</v>
      </c>
      <c r="Y150" s="1"/>
      <c r="Z150" s="1"/>
      <c r="AA150" s="1"/>
      <c r="AB150" s="1"/>
      <c r="AC150" s="1"/>
      <c r="AD150" s="1"/>
      <c r="AE150" s="1"/>
      <c r="AF150" s="1"/>
    </row>
    <row r="151" spans="1:23">
      <c r="A151" s="2" t="s">
        <v>2</v>
      </c>
      <c r="L151" s="2" t="s">
        <v>2</v>
      </c>
      <c r="W151" s="2" t="s">
        <v>2</v>
      </c>
    </row>
    <row r="152" ht="28.8" spans="1:32">
      <c r="A152" s="3" t="s">
        <v>3</v>
      </c>
      <c r="B152" s="3" t="s">
        <v>4</v>
      </c>
      <c r="C152" s="3" t="s">
        <v>5</v>
      </c>
      <c r="D152" s="3" t="s">
        <v>6</v>
      </c>
      <c r="E152" s="3" t="s">
        <v>7</v>
      </c>
      <c r="F152" s="3" t="s">
        <v>8</v>
      </c>
      <c r="G152" s="3" t="s">
        <v>9</v>
      </c>
      <c r="H152" s="3" t="s">
        <v>11</v>
      </c>
      <c r="I152" s="26"/>
      <c r="J152" s="3" t="s">
        <v>12</v>
      </c>
      <c r="L152" s="3" t="s">
        <v>3</v>
      </c>
      <c r="M152" s="3" t="s">
        <v>74</v>
      </c>
      <c r="N152" s="3" t="s">
        <v>75</v>
      </c>
      <c r="O152" s="3" t="s">
        <v>76</v>
      </c>
      <c r="P152" s="3" t="s">
        <v>77</v>
      </c>
      <c r="Q152" s="3" t="s">
        <v>78</v>
      </c>
      <c r="R152" s="3" t="s">
        <v>79</v>
      </c>
      <c r="S152" s="3" t="s">
        <v>11</v>
      </c>
      <c r="T152" s="26"/>
      <c r="U152" s="3" t="s">
        <v>12</v>
      </c>
      <c r="W152" s="3" t="s">
        <v>3</v>
      </c>
      <c r="X152" s="3" t="s">
        <v>74</v>
      </c>
      <c r="Y152" s="3" t="s">
        <v>75</v>
      </c>
      <c r="Z152" s="3" t="s">
        <v>76</v>
      </c>
      <c r="AA152" s="3" t="s">
        <v>77</v>
      </c>
      <c r="AB152" s="3" t="s">
        <v>78</v>
      </c>
      <c r="AC152" s="3" t="s">
        <v>79</v>
      </c>
      <c r="AD152" s="3" t="s">
        <v>11</v>
      </c>
      <c r="AE152" s="26"/>
      <c r="AF152" s="3" t="s">
        <v>12</v>
      </c>
    </row>
    <row r="153" spans="1:32">
      <c r="A153" s="3" t="s">
        <v>13</v>
      </c>
      <c r="B153" s="26">
        <v>0</v>
      </c>
      <c r="C153" s="26">
        <v>37</v>
      </c>
      <c r="D153" s="26">
        <v>24</v>
      </c>
      <c r="E153" s="3">
        <v>44</v>
      </c>
      <c r="F153" s="3">
        <v>5</v>
      </c>
      <c r="G153" s="26">
        <v>16</v>
      </c>
      <c r="H153" s="26">
        <v>87</v>
      </c>
      <c r="I153" s="26"/>
      <c r="J153" s="26">
        <f>SUM(B153:I153)</f>
        <v>213</v>
      </c>
      <c r="L153" s="3" t="s">
        <v>13</v>
      </c>
      <c r="M153" s="26">
        <v>37</v>
      </c>
      <c r="N153" s="26"/>
      <c r="O153" s="26">
        <v>61</v>
      </c>
      <c r="P153" s="3"/>
      <c r="Q153" s="3">
        <v>19</v>
      </c>
      <c r="R153" s="26"/>
      <c r="S153" s="26">
        <v>87</v>
      </c>
      <c r="T153" s="26">
        <v>0</v>
      </c>
      <c r="U153" s="26">
        <f t="shared" ref="U153:U156" si="52">SUM(M153:T153)</f>
        <v>204</v>
      </c>
      <c r="W153" s="3" t="s">
        <v>13</v>
      </c>
      <c r="X153" s="26">
        <v>37</v>
      </c>
      <c r="Y153" s="26"/>
      <c r="Z153" s="26">
        <v>61</v>
      </c>
      <c r="AA153" s="3"/>
      <c r="AB153" s="3">
        <v>19</v>
      </c>
      <c r="AC153" s="26"/>
      <c r="AD153" s="26">
        <v>87</v>
      </c>
      <c r="AE153" s="26">
        <v>0</v>
      </c>
      <c r="AF153" s="26">
        <f t="shared" ref="AF153:AF156" si="53">SUM(X153:AE153)</f>
        <v>204</v>
      </c>
    </row>
    <row r="154" spans="1:32">
      <c r="A154" s="3" t="s">
        <v>14</v>
      </c>
      <c r="B154" s="26"/>
      <c r="C154" s="26"/>
      <c r="D154" s="26"/>
      <c r="E154" s="26"/>
      <c r="F154" s="26"/>
      <c r="G154" s="26"/>
      <c r="H154" s="26"/>
      <c r="I154" s="26"/>
      <c r="J154" s="26">
        <f>SUM(B154:I154)</f>
        <v>0</v>
      </c>
      <c r="L154" s="3" t="s">
        <v>14</v>
      </c>
      <c r="M154" s="26"/>
      <c r="N154" s="26">
        <v>38</v>
      </c>
      <c r="O154" s="26"/>
      <c r="P154" s="26">
        <v>38</v>
      </c>
      <c r="Q154" s="26"/>
      <c r="R154" s="26">
        <v>17</v>
      </c>
      <c r="S154" s="26"/>
      <c r="T154" s="26"/>
      <c r="U154" s="26">
        <f t="shared" si="52"/>
        <v>93</v>
      </c>
      <c r="W154" s="3" t="s">
        <v>14</v>
      </c>
      <c r="X154" s="26"/>
      <c r="Y154" s="26">
        <v>38</v>
      </c>
      <c r="Z154" s="26"/>
      <c r="AA154" s="26">
        <v>38</v>
      </c>
      <c r="AB154" s="26"/>
      <c r="AC154" s="26">
        <v>17</v>
      </c>
      <c r="AD154" s="26"/>
      <c r="AE154" s="26"/>
      <c r="AF154" s="26">
        <f t="shared" si="53"/>
        <v>93</v>
      </c>
    </row>
    <row r="155" spans="1:32">
      <c r="A155" s="3" t="s">
        <v>15</v>
      </c>
      <c r="B155" s="26"/>
      <c r="C155" s="26"/>
      <c r="D155" s="26">
        <v>7</v>
      </c>
      <c r="E155" s="26"/>
      <c r="F155" s="26">
        <v>1</v>
      </c>
      <c r="G155" s="26">
        <v>1</v>
      </c>
      <c r="H155" s="26"/>
      <c r="I155" s="26"/>
      <c r="J155" s="26">
        <f>SUM(B155:I155)</f>
        <v>9</v>
      </c>
      <c r="L155" s="3" t="s">
        <v>15</v>
      </c>
      <c r="M155" s="26"/>
      <c r="N155" s="26"/>
      <c r="O155" s="26">
        <v>4</v>
      </c>
      <c r="P155" s="26"/>
      <c r="Q155" s="26"/>
      <c r="R155" s="26"/>
      <c r="S155" s="26"/>
      <c r="T155" s="26"/>
      <c r="U155" s="26">
        <f t="shared" si="52"/>
        <v>4</v>
      </c>
      <c r="W155" s="3" t="s">
        <v>15</v>
      </c>
      <c r="X155" s="26"/>
      <c r="Y155" s="26"/>
      <c r="Z155" s="26">
        <v>4</v>
      </c>
      <c r="AA155" s="26"/>
      <c r="AB155" s="26"/>
      <c r="AC155" s="26"/>
      <c r="AD155" s="26"/>
      <c r="AE155" s="26"/>
      <c r="AF155" s="26">
        <f t="shared" si="53"/>
        <v>4</v>
      </c>
    </row>
    <row r="156" spans="1:32">
      <c r="A156" s="3" t="s">
        <v>16</v>
      </c>
      <c r="B156" s="26">
        <f>B153+B154-B155</f>
        <v>0</v>
      </c>
      <c r="C156" s="26">
        <f>C153+C154-C155</f>
        <v>37</v>
      </c>
      <c r="D156" s="26">
        <f t="shared" ref="D156:I156" si="54">D153+D154-D155</f>
        <v>17</v>
      </c>
      <c r="E156" s="26">
        <f t="shared" si="54"/>
        <v>44</v>
      </c>
      <c r="F156" s="26">
        <f t="shared" si="54"/>
        <v>4</v>
      </c>
      <c r="G156" s="26">
        <f t="shared" si="54"/>
        <v>15</v>
      </c>
      <c r="H156" s="26">
        <f t="shared" si="54"/>
        <v>87</v>
      </c>
      <c r="I156" s="26">
        <f t="shared" si="54"/>
        <v>0</v>
      </c>
      <c r="J156" s="26">
        <f>SUM(B156:I156)</f>
        <v>204</v>
      </c>
      <c r="L156" s="3" t="s">
        <v>16</v>
      </c>
      <c r="M156" s="26">
        <f t="shared" ref="M156:T156" si="55">SUM(M153:M155)</f>
        <v>37</v>
      </c>
      <c r="N156" s="26">
        <f t="shared" si="55"/>
        <v>38</v>
      </c>
      <c r="O156" s="26">
        <f>O153+O154-O155</f>
        <v>57</v>
      </c>
      <c r="P156" s="26">
        <f t="shared" si="55"/>
        <v>38</v>
      </c>
      <c r="Q156" s="26">
        <f t="shared" si="55"/>
        <v>19</v>
      </c>
      <c r="R156" s="26">
        <f t="shared" si="55"/>
        <v>17</v>
      </c>
      <c r="S156" s="26">
        <f t="shared" si="55"/>
        <v>87</v>
      </c>
      <c r="T156" s="26">
        <f t="shared" si="55"/>
        <v>0</v>
      </c>
      <c r="U156" s="26">
        <f t="shared" si="52"/>
        <v>293</v>
      </c>
      <c r="W156" s="3" t="s">
        <v>16</v>
      </c>
      <c r="X156" s="26">
        <f t="shared" ref="X156:AE156" si="56">SUM(X153:X155)</f>
        <v>37</v>
      </c>
      <c r="Y156" s="26">
        <f t="shared" si="56"/>
        <v>38</v>
      </c>
      <c r="Z156" s="26">
        <f>Z153+Z154-Z155</f>
        <v>57</v>
      </c>
      <c r="AA156" s="26">
        <f t="shared" si="56"/>
        <v>38</v>
      </c>
      <c r="AB156" s="26">
        <f t="shared" si="56"/>
        <v>19</v>
      </c>
      <c r="AC156" s="26">
        <f t="shared" si="56"/>
        <v>17</v>
      </c>
      <c r="AD156" s="26">
        <f t="shared" si="56"/>
        <v>87</v>
      </c>
      <c r="AE156" s="26">
        <f t="shared" si="56"/>
        <v>0</v>
      </c>
      <c r="AF156" s="26">
        <f t="shared" si="53"/>
        <v>293</v>
      </c>
    </row>
    <row r="157" spans="1:24">
      <c r="A157" s="28" t="s">
        <v>17</v>
      </c>
      <c r="B157" s="28"/>
      <c r="L157" s="28" t="s">
        <v>17</v>
      </c>
      <c r="M157" s="28"/>
      <c r="W157" s="28" t="s">
        <v>17</v>
      </c>
      <c r="X157" s="28"/>
    </row>
    <row r="158" ht="19.2" spans="1:32">
      <c r="A158" s="3" t="s">
        <v>3</v>
      </c>
      <c r="B158" s="3" t="s">
        <v>18</v>
      </c>
      <c r="C158" s="3" t="s">
        <v>19</v>
      </c>
      <c r="D158" s="3" t="s">
        <v>20</v>
      </c>
      <c r="E158" s="3" t="s">
        <v>21</v>
      </c>
      <c r="F158" s="3" t="s">
        <v>22</v>
      </c>
      <c r="G158" s="26"/>
      <c r="H158" s="3"/>
      <c r="I158" s="26"/>
      <c r="J158" s="3" t="s">
        <v>12</v>
      </c>
      <c r="L158" s="3" t="s">
        <v>3</v>
      </c>
      <c r="M158" s="3" t="s">
        <v>80</v>
      </c>
      <c r="N158" s="3" t="s">
        <v>81</v>
      </c>
      <c r="O158" s="3"/>
      <c r="P158" s="3"/>
      <c r="Q158" s="3"/>
      <c r="R158" s="26"/>
      <c r="S158" s="3"/>
      <c r="T158" s="26"/>
      <c r="U158" s="3" t="s">
        <v>12</v>
      </c>
      <c r="W158" s="3" t="s">
        <v>3</v>
      </c>
      <c r="X158" s="3" t="s">
        <v>80</v>
      </c>
      <c r="Y158" s="3" t="s">
        <v>81</v>
      </c>
      <c r="Z158" s="3"/>
      <c r="AA158" s="3"/>
      <c r="AB158" s="3"/>
      <c r="AC158" s="26"/>
      <c r="AD158" s="3"/>
      <c r="AE158" s="26"/>
      <c r="AF158" s="3" t="s">
        <v>12</v>
      </c>
    </row>
    <row r="159" spans="1:32">
      <c r="A159" s="3" t="s">
        <v>13</v>
      </c>
      <c r="B159" s="26">
        <v>30</v>
      </c>
      <c r="C159" s="26">
        <v>68</v>
      </c>
      <c r="D159" s="26">
        <v>63</v>
      </c>
      <c r="E159" s="26">
        <v>54</v>
      </c>
      <c r="F159" s="26">
        <v>54</v>
      </c>
      <c r="G159" s="26">
        <v>0</v>
      </c>
      <c r="H159" s="26">
        <v>0</v>
      </c>
      <c r="I159" s="26">
        <v>0</v>
      </c>
      <c r="J159" s="26">
        <f>SUM(B159:I159)</f>
        <v>269</v>
      </c>
      <c r="L159" s="3" t="s">
        <v>13</v>
      </c>
      <c r="M159" s="26">
        <v>160</v>
      </c>
      <c r="N159" s="26">
        <v>108</v>
      </c>
      <c r="O159" s="26"/>
      <c r="P159" s="26"/>
      <c r="Q159" s="26"/>
      <c r="R159" s="26"/>
      <c r="S159" s="26"/>
      <c r="T159" s="26">
        <v>0</v>
      </c>
      <c r="U159" s="26">
        <f t="shared" ref="U159:U162" si="57">SUM(M159:T159)</f>
        <v>268</v>
      </c>
      <c r="W159" s="3" t="s">
        <v>13</v>
      </c>
      <c r="X159" s="26">
        <v>160</v>
      </c>
      <c r="Y159" s="26">
        <v>108</v>
      </c>
      <c r="Z159" s="26"/>
      <c r="AA159" s="26"/>
      <c r="AB159" s="26"/>
      <c r="AC159" s="26"/>
      <c r="AD159" s="26"/>
      <c r="AE159" s="26">
        <v>0</v>
      </c>
      <c r="AF159" s="26">
        <f t="shared" ref="AF159:AF162" si="58">SUM(X159:AE159)</f>
        <v>268</v>
      </c>
    </row>
    <row r="160" spans="1:32">
      <c r="A160" s="3" t="s">
        <v>14</v>
      </c>
      <c r="B160" s="26"/>
      <c r="C160" s="26"/>
      <c r="D160" s="26"/>
      <c r="E160" s="26"/>
      <c r="F160" s="26"/>
      <c r="G160" s="26"/>
      <c r="H160" s="26"/>
      <c r="I160" s="26"/>
      <c r="J160" s="26">
        <f>SUM(B160:I160)</f>
        <v>0</v>
      </c>
      <c r="L160" s="3" t="s">
        <v>14</v>
      </c>
      <c r="M160" s="26"/>
      <c r="N160" s="26">
        <v>48</v>
      </c>
      <c r="O160" s="26"/>
      <c r="P160" s="26"/>
      <c r="Q160" s="26"/>
      <c r="R160" s="26"/>
      <c r="S160" s="26"/>
      <c r="T160" s="26"/>
      <c r="U160" s="26">
        <f t="shared" si="57"/>
        <v>48</v>
      </c>
      <c r="W160" s="3" t="s">
        <v>14</v>
      </c>
      <c r="X160" s="26"/>
      <c r="Y160" s="26">
        <v>48</v>
      </c>
      <c r="Z160" s="26"/>
      <c r="AA160" s="26"/>
      <c r="AB160" s="26"/>
      <c r="AC160" s="26"/>
      <c r="AD160" s="26"/>
      <c r="AE160" s="26"/>
      <c r="AF160" s="26">
        <f t="shared" si="58"/>
        <v>48</v>
      </c>
    </row>
    <row r="161" spans="1:32">
      <c r="A161" s="3" t="s">
        <v>15</v>
      </c>
      <c r="B161" s="26"/>
      <c r="C161" s="26">
        <v>1</v>
      </c>
      <c r="D161" s="26"/>
      <c r="E161" s="26"/>
      <c r="F161" s="26"/>
      <c r="G161" s="26"/>
      <c r="H161" s="26"/>
      <c r="I161" s="26"/>
      <c r="J161" s="26">
        <f>SUM(B161:I161)</f>
        <v>1</v>
      </c>
      <c r="L161" s="3" t="s">
        <v>15</v>
      </c>
      <c r="M161" s="26"/>
      <c r="N161" s="26"/>
      <c r="O161" s="26"/>
      <c r="P161" s="26"/>
      <c r="Q161" s="26"/>
      <c r="R161" s="26"/>
      <c r="S161" s="26"/>
      <c r="T161" s="26"/>
      <c r="U161" s="26">
        <f t="shared" si="57"/>
        <v>0</v>
      </c>
      <c r="W161" s="3" t="s">
        <v>15</v>
      </c>
      <c r="X161" s="26"/>
      <c r="Y161" s="26"/>
      <c r="Z161" s="26"/>
      <c r="AA161" s="26"/>
      <c r="AB161" s="26"/>
      <c r="AC161" s="26"/>
      <c r="AD161" s="26"/>
      <c r="AE161" s="26"/>
      <c r="AF161" s="26">
        <f t="shared" si="58"/>
        <v>0</v>
      </c>
    </row>
    <row r="162" spans="1:32">
      <c r="A162" s="3" t="s">
        <v>16</v>
      </c>
      <c r="B162" s="26">
        <f t="shared" ref="B162:I162" si="59">B159+B160-B161</f>
        <v>30</v>
      </c>
      <c r="C162" s="26">
        <f t="shared" si="59"/>
        <v>67</v>
      </c>
      <c r="D162" s="26">
        <f t="shared" si="59"/>
        <v>63</v>
      </c>
      <c r="E162" s="26">
        <f t="shared" si="59"/>
        <v>54</v>
      </c>
      <c r="F162" s="26">
        <f t="shared" si="59"/>
        <v>54</v>
      </c>
      <c r="G162" s="26">
        <f t="shared" si="59"/>
        <v>0</v>
      </c>
      <c r="H162" s="26">
        <f t="shared" si="59"/>
        <v>0</v>
      </c>
      <c r="I162" s="26">
        <f t="shared" si="59"/>
        <v>0</v>
      </c>
      <c r="J162" s="26">
        <f>SUM(B162:I162)</f>
        <v>268</v>
      </c>
      <c r="L162" s="3" t="s">
        <v>16</v>
      </c>
      <c r="M162" s="26">
        <f t="shared" ref="M162:T162" si="60">M159+M160-M161</f>
        <v>160</v>
      </c>
      <c r="N162" s="26">
        <f t="shared" si="60"/>
        <v>156</v>
      </c>
      <c r="O162" s="26">
        <f t="shared" si="60"/>
        <v>0</v>
      </c>
      <c r="P162" s="26">
        <f t="shared" si="60"/>
        <v>0</v>
      </c>
      <c r="Q162" s="26">
        <f t="shared" si="60"/>
        <v>0</v>
      </c>
      <c r="R162" s="26">
        <f t="shared" si="60"/>
        <v>0</v>
      </c>
      <c r="S162" s="26">
        <f t="shared" si="60"/>
        <v>0</v>
      </c>
      <c r="T162" s="26">
        <f t="shared" si="60"/>
        <v>0</v>
      </c>
      <c r="U162" s="26">
        <f t="shared" si="57"/>
        <v>316</v>
      </c>
      <c r="W162" s="3" t="s">
        <v>16</v>
      </c>
      <c r="X162" s="26">
        <f t="shared" ref="X162:AE162" si="61">X159+X160-X161</f>
        <v>160</v>
      </c>
      <c r="Y162" s="26">
        <f t="shared" si="61"/>
        <v>156</v>
      </c>
      <c r="Z162" s="26">
        <f t="shared" si="61"/>
        <v>0</v>
      </c>
      <c r="AA162" s="26">
        <f t="shared" si="61"/>
        <v>0</v>
      </c>
      <c r="AB162" s="26">
        <f t="shared" si="61"/>
        <v>0</v>
      </c>
      <c r="AC162" s="26">
        <f t="shared" si="61"/>
        <v>0</v>
      </c>
      <c r="AD162" s="26">
        <f t="shared" si="61"/>
        <v>0</v>
      </c>
      <c r="AE162" s="26">
        <f t="shared" si="61"/>
        <v>0</v>
      </c>
      <c r="AF162" s="26">
        <f t="shared" si="58"/>
        <v>316</v>
      </c>
    </row>
    <row r="163" spans="1:23">
      <c r="A163" s="7" t="s">
        <v>25</v>
      </c>
      <c r="L163" s="7" t="s">
        <v>25</v>
      </c>
      <c r="W163" s="7" t="s">
        <v>25</v>
      </c>
    </row>
    <row r="164" ht="19.2" spans="1:32">
      <c r="A164" s="3" t="s">
        <v>3</v>
      </c>
      <c r="B164" s="3" t="s">
        <v>26</v>
      </c>
      <c r="C164" s="3" t="s">
        <v>27</v>
      </c>
      <c r="D164" s="3" t="s">
        <v>28</v>
      </c>
      <c r="E164" s="3" t="s">
        <v>29</v>
      </c>
      <c r="F164" s="3" t="s">
        <v>30</v>
      </c>
      <c r="G164" s="26"/>
      <c r="H164" s="3"/>
      <c r="I164" s="26"/>
      <c r="J164" s="3" t="s">
        <v>12</v>
      </c>
      <c r="L164" s="3" t="s">
        <v>3</v>
      </c>
      <c r="M164" s="3" t="s">
        <v>82</v>
      </c>
      <c r="N164" s="3" t="s">
        <v>83</v>
      </c>
      <c r="O164" s="3"/>
      <c r="P164" s="3"/>
      <c r="Q164" s="3"/>
      <c r="R164" s="26"/>
      <c r="S164" s="3"/>
      <c r="T164" s="26"/>
      <c r="U164" s="3" t="s">
        <v>12</v>
      </c>
      <c r="W164" s="3" t="s">
        <v>3</v>
      </c>
      <c r="X164" s="3" t="s">
        <v>82</v>
      </c>
      <c r="Y164" s="3" t="s">
        <v>83</v>
      </c>
      <c r="Z164" s="3"/>
      <c r="AA164" s="3"/>
      <c r="AB164" s="3"/>
      <c r="AC164" s="26"/>
      <c r="AD164" s="3"/>
      <c r="AE164" s="26"/>
      <c r="AF164" s="3" t="s">
        <v>12</v>
      </c>
    </row>
    <row r="165" spans="1:32">
      <c r="A165" s="3" t="s">
        <v>13</v>
      </c>
      <c r="B165" s="26">
        <v>80</v>
      </c>
      <c r="C165" s="26">
        <v>36</v>
      </c>
      <c r="D165" s="26">
        <v>35</v>
      </c>
      <c r="E165" s="26">
        <v>38</v>
      </c>
      <c r="F165" s="26">
        <v>27</v>
      </c>
      <c r="G165" s="26">
        <v>0</v>
      </c>
      <c r="H165" s="26">
        <v>0</v>
      </c>
      <c r="I165" s="26">
        <v>0</v>
      </c>
      <c r="J165" s="26">
        <f t="shared" ref="J162:J168" si="62">SUM(B165:I165)</f>
        <v>216</v>
      </c>
      <c r="L165" s="3" t="s">
        <v>13</v>
      </c>
      <c r="M165" s="26">
        <v>151</v>
      </c>
      <c r="N165" s="26">
        <v>65</v>
      </c>
      <c r="O165" s="26"/>
      <c r="P165" s="26"/>
      <c r="Q165" s="26"/>
      <c r="R165" s="26"/>
      <c r="S165" s="26"/>
      <c r="T165" s="26">
        <v>0</v>
      </c>
      <c r="U165" s="26">
        <f t="shared" ref="U165:U168" si="63">SUM(M165:T165)</f>
        <v>216</v>
      </c>
      <c r="W165" s="3" t="s">
        <v>13</v>
      </c>
      <c r="X165" s="26">
        <v>151</v>
      </c>
      <c r="Y165" s="26">
        <v>65</v>
      </c>
      <c r="Z165" s="26"/>
      <c r="AA165" s="26"/>
      <c r="AB165" s="26"/>
      <c r="AC165" s="26"/>
      <c r="AD165" s="26"/>
      <c r="AE165" s="26">
        <v>0</v>
      </c>
      <c r="AF165" s="26">
        <f t="shared" ref="AF165:AF168" si="64">SUM(X165:AE165)</f>
        <v>216</v>
      </c>
    </row>
    <row r="166" spans="1:32">
      <c r="A166" s="3" t="s">
        <v>14</v>
      </c>
      <c r="B166" s="26"/>
      <c r="C166" s="26"/>
      <c r="D166" s="26"/>
      <c r="E166" s="26"/>
      <c r="F166" s="26"/>
      <c r="G166" s="26"/>
      <c r="H166" s="26"/>
      <c r="I166" s="26"/>
      <c r="J166" s="26"/>
      <c r="L166" s="3" t="s">
        <v>14</v>
      </c>
      <c r="M166" s="26"/>
      <c r="N166" s="26">
        <v>42</v>
      </c>
      <c r="O166" s="26"/>
      <c r="P166" s="26"/>
      <c r="Q166" s="26"/>
      <c r="R166" s="26"/>
      <c r="S166" s="26"/>
      <c r="T166" s="26"/>
      <c r="U166" s="26">
        <f t="shared" si="63"/>
        <v>42</v>
      </c>
      <c r="W166" s="3" t="s">
        <v>14</v>
      </c>
      <c r="X166" s="26"/>
      <c r="Y166" s="26">
        <v>42</v>
      </c>
      <c r="Z166" s="26"/>
      <c r="AA166" s="26"/>
      <c r="AB166" s="26"/>
      <c r="AC166" s="26"/>
      <c r="AD166" s="26"/>
      <c r="AE166" s="26"/>
      <c r="AF166" s="26">
        <f t="shared" si="64"/>
        <v>42</v>
      </c>
    </row>
    <row r="167" spans="1:32">
      <c r="A167" s="3" t="s">
        <v>15</v>
      </c>
      <c r="B167" s="26"/>
      <c r="C167" s="26"/>
      <c r="D167" s="26"/>
      <c r="E167" s="26"/>
      <c r="F167" s="26"/>
      <c r="G167" s="26"/>
      <c r="H167" s="26"/>
      <c r="I167" s="26"/>
      <c r="J167" s="26">
        <f t="shared" si="62"/>
        <v>0</v>
      </c>
      <c r="L167" s="3" t="s">
        <v>15</v>
      </c>
      <c r="M167" s="26"/>
      <c r="N167" s="26"/>
      <c r="O167" s="26"/>
      <c r="P167" s="26"/>
      <c r="Q167" s="26"/>
      <c r="R167" s="26"/>
      <c r="S167" s="26"/>
      <c r="T167" s="26"/>
      <c r="U167" s="26">
        <f t="shared" si="63"/>
        <v>0</v>
      </c>
      <c r="W167" s="3" t="s">
        <v>15</v>
      </c>
      <c r="X167" s="26"/>
      <c r="Y167" s="26"/>
      <c r="Z167" s="26"/>
      <c r="AA167" s="26"/>
      <c r="AB167" s="26"/>
      <c r="AC167" s="26"/>
      <c r="AD167" s="26"/>
      <c r="AE167" s="26"/>
      <c r="AF167" s="26">
        <f t="shared" si="64"/>
        <v>0</v>
      </c>
    </row>
    <row r="168" spans="1:32">
      <c r="A168" s="3" t="s">
        <v>16</v>
      </c>
      <c r="B168" s="26">
        <f t="shared" ref="B168:I168" si="65">B165+B166-B167</f>
        <v>80</v>
      </c>
      <c r="C168" s="26">
        <f t="shared" si="65"/>
        <v>36</v>
      </c>
      <c r="D168" s="26">
        <f t="shared" si="65"/>
        <v>35</v>
      </c>
      <c r="E168" s="26">
        <f t="shared" si="65"/>
        <v>38</v>
      </c>
      <c r="F168" s="26">
        <f t="shared" si="65"/>
        <v>27</v>
      </c>
      <c r="G168" s="26">
        <f t="shared" si="65"/>
        <v>0</v>
      </c>
      <c r="H168" s="26">
        <f t="shared" si="65"/>
        <v>0</v>
      </c>
      <c r="I168" s="26">
        <f t="shared" si="65"/>
        <v>0</v>
      </c>
      <c r="J168" s="26">
        <f t="shared" si="62"/>
        <v>216</v>
      </c>
      <c r="L168" s="3" t="s">
        <v>16</v>
      </c>
      <c r="M168" s="26">
        <f t="shared" ref="M168:T168" si="66">M165+M166-M167</f>
        <v>151</v>
      </c>
      <c r="N168" s="26">
        <f t="shared" si="66"/>
        <v>107</v>
      </c>
      <c r="O168" s="26">
        <f t="shared" si="66"/>
        <v>0</v>
      </c>
      <c r="P168" s="26">
        <f t="shared" si="66"/>
        <v>0</v>
      </c>
      <c r="Q168" s="26">
        <f t="shared" si="66"/>
        <v>0</v>
      </c>
      <c r="R168" s="26">
        <f t="shared" si="66"/>
        <v>0</v>
      </c>
      <c r="S168" s="26">
        <f t="shared" si="66"/>
        <v>0</v>
      </c>
      <c r="T168" s="26">
        <f t="shared" si="66"/>
        <v>0</v>
      </c>
      <c r="U168" s="26">
        <f t="shared" si="63"/>
        <v>258</v>
      </c>
      <c r="W168" s="3" t="s">
        <v>16</v>
      </c>
      <c r="X168" s="26">
        <f t="shared" ref="X168:AE168" si="67">X165+X166-X167</f>
        <v>151</v>
      </c>
      <c r="Y168" s="26">
        <f t="shared" si="67"/>
        <v>107</v>
      </c>
      <c r="Z168" s="26">
        <f t="shared" si="67"/>
        <v>0</v>
      </c>
      <c r="AA168" s="26">
        <f t="shared" si="67"/>
        <v>0</v>
      </c>
      <c r="AB168" s="26">
        <f t="shared" si="67"/>
        <v>0</v>
      </c>
      <c r="AC168" s="26">
        <f t="shared" si="67"/>
        <v>0</v>
      </c>
      <c r="AD168" s="26">
        <f t="shared" si="67"/>
        <v>0</v>
      </c>
      <c r="AE168" s="26">
        <f t="shared" si="67"/>
        <v>0</v>
      </c>
      <c r="AF168" s="26">
        <f t="shared" si="64"/>
        <v>258</v>
      </c>
    </row>
    <row r="169" spans="1:23">
      <c r="A169" s="7" t="s">
        <v>33</v>
      </c>
      <c r="L169" s="7" t="s">
        <v>33</v>
      </c>
      <c r="W169" s="7" t="s">
        <v>33</v>
      </c>
    </row>
    <row r="170" ht="19.2" spans="1:32">
      <c r="A170" s="3" t="s">
        <v>3</v>
      </c>
      <c r="B170" s="3" t="s">
        <v>33</v>
      </c>
      <c r="C170" s="3" t="s">
        <v>34</v>
      </c>
      <c r="D170" s="3" t="s">
        <v>35</v>
      </c>
      <c r="E170" s="26"/>
      <c r="F170" s="26"/>
      <c r="G170" s="26"/>
      <c r="H170" s="3"/>
      <c r="I170" s="26"/>
      <c r="J170" s="3" t="s">
        <v>12</v>
      </c>
      <c r="L170" s="3" t="s">
        <v>3</v>
      </c>
      <c r="M170" s="3" t="s">
        <v>84</v>
      </c>
      <c r="N170" s="3" t="s">
        <v>85</v>
      </c>
      <c r="O170" s="29" t="s">
        <v>86</v>
      </c>
      <c r="P170" s="29"/>
      <c r="Q170" s="26"/>
      <c r="R170" s="26"/>
      <c r="S170" s="3"/>
      <c r="T170" s="26"/>
      <c r="U170" s="3" t="s">
        <v>12</v>
      </c>
      <c r="W170" s="3" t="s">
        <v>3</v>
      </c>
      <c r="X170" s="3" t="s">
        <v>84</v>
      </c>
      <c r="Y170" s="3" t="s">
        <v>85</v>
      </c>
      <c r="Z170" s="29" t="s">
        <v>86</v>
      </c>
      <c r="AA170" s="29"/>
      <c r="AB170" s="26"/>
      <c r="AC170" s="26"/>
      <c r="AD170" s="3"/>
      <c r="AE170" s="26"/>
      <c r="AF170" s="3" t="s">
        <v>12</v>
      </c>
    </row>
    <row r="171" spans="1:32">
      <c r="A171" s="3" t="s">
        <v>13</v>
      </c>
      <c r="B171" s="3">
        <v>66</v>
      </c>
      <c r="C171" s="9">
        <v>20</v>
      </c>
      <c r="D171" s="9">
        <v>10</v>
      </c>
      <c r="E171" s="26"/>
      <c r="F171" s="26"/>
      <c r="G171" s="26"/>
      <c r="H171" s="26"/>
      <c r="I171" s="26"/>
      <c r="J171" s="26">
        <f>SUM(B171:I171)</f>
        <v>96</v>
      </c>
      <c r="L171" s="3" t="s">
        <v>13</v>
      </c>
      <c r="M171" s="3">
        <v>86</v>
      </c>
      <c r="N171" s="9">
        <v>11</v>
      </c>
      <c r="O171" s="9">
        <v>0</v>
      </c>
      <c r="P171" s="26"/>
      <c r="Q171" s="26"/>
      <c r="R171" s="26"/>
      <c r="S171" s="26"/>
      <c r="T171" s="26"/>
      <c r="U171" s="26">
        <f t="shared" ref="U171:U174" si="68">SUM(M171:T171)</f>
        <v>97</v>
      </c>
      <c r="W171" s="3" t="s">
        <v>13</v>
      </c>
      <c r="X171" s="3">
        <v>86</v>
      </c>
      <c r="Y171" s="9">
        <v>11</v>
      </c>
      <c r="Z171" s="9">
        <v>0</v>
      </c>
      <c r="AA171" s="26"/>
      <c r="AB171" s="26"/>
      <c r="AC171" s="26"/>
      <c r="AD171" s="26"/>
      <c r="AE171" s="26"/>
      <c r="AF171" s="26">
        <f t="shared" ref="AF171:AF174" si="69">SUM(X171:AE171)</f>
        <v>97</v>
      </c>
    </row>
    <row r="172" spans="1:32">
      <c r="A172" s="3" t="s">
        <v>14</v>
      </c>
      <c r="B172" s="26"/>
      <c r="C172" s="26"/>
      <c r="D172" s="26">
        <v>1</v>
      </c>
      <c r="E172" s="26"/>
      <c r="F172" s="26"/>
      <c r="G172" s="26"/>
      <c r="H172" s="26"/>
      <c r="I172" s="26"/>
      <c r="J172" s="26">
        <f>SUM(B172:I172)</f>
        <v>1</v>
      </c>
      <c r="L172" s="3" t="s">
        <v>14</v>
      </c>
      <c r="M172" s="26"/>
      <c r="N172" s="26">
        <v>15</v>
      </c>
      <c r="O172" s="26">
        <v>429</v>
      </c>
      <c r="P172" s="26"/>
      <c r="Q172" s="26"/>
      <c r="R172" s="26"/>
      <c r="S172" s="26"/>
      <c r="T172" s="26"/>
      <c r="U172" s="26">
        <f t="shared" si="68"/>
        <v>444</v>
      </c>
      <c r="W172" s="3" t="s">
        <v>14</v>
      </c>
      <c r="X172" s="26"/>
      <c r="Y172" s="26">
        <v>15</v>
      </c>
      <c r="Z172" s="26">
        <v>429</v>
      </c>
      <c r="AA172" s="26"/>
      <c r="AB172" s="26"/>
      <c r="AC172" s="26"/>
      <c r="AD172" s="26"/>
      <c r="AE172" s="26"/>
      <c r="AF172" s="26">
        <f t="shared" si="69"/>
        <v>444</v>
      </c>
    </row>
    <row r="173" spans="1:32">
      <c r="A173" s="3" t="s">
        <v>15</v>
      </c>
      <c r="B173" s="26"/>
      <c r="C173" s="26"/>
      <c r="D173" s="26"/>
      <c r="E173" s="26"/>
      <c r="F173" s="26"/>
      <c r="G173" s="26"/>
      <c r="H173" s="26"/>
      <c r="I173" s="26"/>
      <c r="J173" s="26"/>
      <c r="L173" s="3" t="s">
        <v>15</v>
      </c>
      <c r="M173" s="26"/>
      <c r="N173" s="26"/>
      <c r="O173" s="26"/>
      <c r="P173" s="26"/>
      <c r="Q173" s="26"/>
      <c r="R173" s="26"/>
      <c r="S173" s="26"/>
      <c r="T173" s="26"/>
      <c r="U173" s="26">
        <f t="shared" si="68"/>
        <v>0</v>
      </c>
      <c r="W173" s="3" t="s">
        <v>15</v>
      </c>
      <c r="X173" s="26"/>
      <c r="Y173" s="26"/>
      <c r="Z173" s="26"/>
      <c r="AA173" s="26"/>
      <c r="AB173" s="26"/>
      <c r="AC173" s="26"/>
      <c r="AD173" s="26"/>
      <c r="AE173" s="26"/>
      <c r="AF173" s="26">
        <f t="shared" si="69"/>
        <v>0</v>
      </c>
    </row>
    <row r="174" spans="1:32">
      <c r="A174" s="3" t="s">
        <v>16</v>
      </c>
      <c r="B174" s="26">
        <f>B171+B172-B173</f>
        <v>66</v>
      </c>
      <c r="C174" s="26">
        <f>C171+C172-C173</f>
        <v>20</v>
      </c>
      <c r="D174" s="26">
        <f>D171+D172-D173</f>
        <v>11</v>
      </c>
      <c r="E174" s="26"/>
      <c r="F174" s="26"/>
      <c r="G174" s="26"/>
      <c r="H174" s="26"/>
      <c r="I174" s="26"/>
      <c r="J174" s="26">
        <f t="shared" ref="J174:J180" si="70">SUM(B174:I174)</f>
        <v>97</v>
      </c>
      <c r="L174" s="3" t="s">
        <v>16</v>
      </c>
      <c r="M174" s="26">
        <f t="shared" ref="M174:O174" si="71">M171+M172-M173</f>
        <v>86</v>
      </c>
      <c r="N174" s="26">
        <f t="shared" si="71"/>
        <v>26</v>
      </c>
      <c r="O174" s="26">
        <f t="shared" si="71"/>
        <v>429</v>
      </c>
      <c r="P174" s="26"/>
      <c r="Q174" s="26"/>
      <c r="R174" s="26"/>
      <c r="S174" s="26"/>
      <c r="T174" s="26"/>
      <c r="U174" s="26">
        <f t="shared" si="68"/>
        <v>541</v>
      </c>
      <c r="W174" s="3" t="s">
        <v>16</v>
      </c>
      <c r="X174" s="26">
        <f t="shared" ref="X174:Z174" si="72">X171+X172-X173</f>
        <v>86</v>
      </c>
      <c r="Y174" s="26">
        <f t="shared" si="72"/>
        <v>26</v>
      </c>
      <c r="Z174" s="26">
        <f t="shared" si="72"/>
        <v>429</v>
      </c>
      <c r="AA174" s="26"/>
      <c r="AB174" s="26"/>
      <c r="AC174" s="26"/>
      <c r="AD174" s="26"/>
      <c r="AE174" s="26"/>
      <c r="AF174" s="26">
        <f t="shared" si="69"/>
        <v>541</v>
      </c>
    </row>
    <row r="175" spans="1:23">
      <c r="A175" t="s">
        <v>65</v>
      </c>
      <c r="L175" t="s">
        <v>65</v>
      </c>
      <c r="W175" t="s">
        <v>65</v>
      </c>
    </row>
    <row r="176" ht="19.2" spans="1:32">
      <c r="A176" s="3" t="s">
        <v>3</v>
      </c>
      <c r="B176" s="3" t="s">
        <v>23</v>
      </c>
      <c r="C176" s="3" t="s">
        <v>24</v>
      </c>
      <c r="D176" s="3" t="s">
        <v>31</v>
      </c>
      <c r="E176" s="3" t="s">
        <v>32</v>
      </c>
      <c r="F176" s="3" t="s">
        <v>36</v>
      </c>
      <c r="G176" s="3" t="s">
        <v>37</v>
      </c>
      <c r="H176" s="3"/>
      <c r="I176" s="26"/>
      <c r="J176" s="3" t="s">
        <v>12</v>
      </c>
      <c r="L176" s="3" t="s">
        <v>3</v>
      </c>
      <c r="M176" s="3" t="s">
        <v>23</v>
      </c>
      <c r="N176" s="3" t="s">
        <v>24</v>
      </c>
      <c r="O176" s="3" t="s">
        <v>31</v>
      </c>
      <c r="P176" s="3" t="s">
        <v>32</v>
      </c>
      <c r="Q176" s="3" t="s">
        <v>36</v>
      </c>
      <c r="R176" s="3" t="s">
        <v>37</v>
      </c>
      <c r="S176" s="3"/>
      <c r="T176" s="26"/>
      <c r="U176" s="3" t="s">
        <v>12</v>
      </c>
      <c r="W176" s="3" t="s">
        <v>3</v>
      </c>
      <c r="X176" s="3" t="s">
        <v>23</v>
      </c>
      <c r="Y176" s="3" t="s">
        <v>24</v>
      </c>
      <c r="Z176" s="3" t="s">
        <v>31</v>
      </c>
      <c r="AA176" s="3" t="s">
        <v>32</v>
      </c>
      <c r="AB176" s="3" t="s">
        <v>36</v>
      </c>
      <c r="AC176" s="3" t="s">
        <v>37</v>
      </c>
      <c r="AD176" s="3"/>
      <c r="AE176" s="26"/>
      <c r="AF176" s="3" t="s">
        <v>12</v>
      </c>
    </row>
    <row r="177" spans="1:32">
      <c r="A177" s="3" t="s">
        <v>13</v>
      </c>
      <c r="B177" s="26">
        <v>58</v>
      </c>
      <c r="C177" s="26">
        <v>66</v>
      </c>
      <c r="D177" s="26">
        <v>40</v>
      </c>
      <c r="E177" s="26">
        <v>52</v>
      </c>
      <c r="F177" s="26">
        <v>20</v>
      </c>
      <c r="G177" s="26">
        <v>18</v>
      </c>
      <c r="H177" s="26"/>
      <c r="I177" s="26"/>
      <c r="J177" s="26">
        <f t="shared" si="70"/>
        <v>254</v>
      </c>
      <c r="L177" s="3" t="s">
        <v>13</v>
      </c>
      <c r="M177" s="26">
        <v>58</v>
      </c>
      <c r="N177" s="26">
        <v>66</v>
      </c>
      <c r="O177" s="26">
        <v>40</v>
      </c>
      <c r="P177" s="26">
        <v>52</v>
      </c>
      <c r="Q177" s="26">
        <v>20</v>
      </c>
      <c r="R177" s="26">
        <v>18</v>
      </c>
      <c r="S177" s="26"/>
      <c r="T177" s="26"/>
      <c r="U177" s="26">
        <f t="shared" ref="U177:U180" si="73">SUM(M177:T177)</f>
        <v>254</v>
      </c>
      <c r="W177" s="3" t="s">
        <v>13</v>
      </c>
      <c r="X177" s="26">
        <v>58</v>
      </c>
      <c r="Y177" s="26">
        <v>66</v>
      </c>
      <c r="Z177" s="26">
        <v>40</v>
      </c>
      <c r="AA177" s="26">
        <v>52</v>
      </c>
      <c r="AB177" s="26">
        <v>20</v>
      </c>
      <c r="AC177" s="26">
        <v>18</v>
      </c>
      <c r="AD177" s="26"/>
      <c r="AE177" s="26"/>
      <c r="AF177" s="26">
        <f t="shared" ref="AF177:AF180" si="74">SUM(X177:AE177)</f>
        <v>254</v>
      </c>
    </row>
    <row r="178" spans="1:32">
      <c r="A178" s="3" t="s">
        <v>14</v>
      </c>
      <c r="B178" s="26"/>
      <c r="C178" s="26"/>
      <c r="D178" s="26"/>
      <c r="E178" s="26"/>
      <c r="F178" s="26"/>
      <c r="G178" s="26"/>
      <c r="H178" s="26"/>
      <c r="I178" s="26"/>
      <c r="J178" s="26">
        <f t="shared" si="70"/>
        <v>0</v>
      </c>
      <c r="L178" s="3" t="s">
        <v>14</v>
      </c>
      <c r="M178" s="26"/>
      <c r="N178" s="26">
        <v>1</v>
      </c>
      <c r="O178" s="26">
        <v>8</v>
      </c>
      <c r="P178" s="26">
        <v>6</v>
      </c>
      <c r="Q178" s="26"/>
      <c r="R178" s="26"/>
      <c r="S178" s="26"/>
      <c r="T178" s="26"/>
      <c r="U178" s="26">
        <f t="shared" si="73"/>
        <v>15</v>
      </c>
      <c r="W178" s="3" t="s">
        <v>14</v>
      </c>
      <c r="X178" s="26"/>
      <c r="Y178" s="26">
        <v>1</v>
      </c>
      <c r="Z178" s="26">
        <v>8</v>
      </c>
      <c r="AA178" s="26">
        <v>6</v>
      </c>
      <c r="AB178" s="26"/>
      <c r="AC178" s="26"/>
      <c r="AD178" s="26"/>
      <c r="AE178" s="26"/>
      <c r="AF178" s="26">
        <f t="shared" si="74"/>
        <v>15</v>
      </c>
    </row>
    <row r="179" spans="1:32">
      <c r="A179" s="3" t="s">
        <v>15</v>
      </c>
      <c r="B179" s="26"/>
      <c r="C179" s="26"/>
      <c r="D179" s="26"/>
      <c r="E179" s="26"/>
      <c r="F179" s="26"/>
      <c r="G179" s="26"/>
      <c r="H179" s="26"/>
      <c r="I179" s="26"/>
      <c r="J179" s="26">
        <f t="shared" si="70"/>
        <v>0</v>
      </c>
      <c r="L179" s="3" t="s">
        <v>15</v>
      </c>
      <c r="M179" s="26">
        <v>39</v>
      </c>
      <c r="N179" s="26">
        <v>48</v>
      </c>
      <c r="O179" s="26">
        <v>38</v>
      </c>
      <c r="P179" s="26">
        <v>43</v>
      </c>
      <c r="Q179" s="26">
        <v>17</v>
      </c>
      <c r="R179" s="26">
        <v>15</v>
      </c>
      <c r="S179" s="26"/>
      <c r="T179" s="26"/>
      <c r="U179" s="26">
        <f t="shared" si="73"/>
        <v>200</v>
      </c>
      <c r="W179" s="3" t="s">
        <v>15</v>
      </c>
      <c r="X179" s="26">
        <v>39</v>
      </c>
      <c r="Y179" s="26">
        <v>48</v>
      </c>
      <c r="Z179" s="26">
        <v>38</v>
      </c>
      <c r="AA179" s="26">
        <v>43</v>
      </c>
      <c r="AB179" s="26">
        <v>17</v>
      </c>
      <c r="AC179" s="26">
        <v>15</v>
      </c>
      <c r="AD179" s="26"/>
      <c r="AE179" s="26"/>
      <c r="AF179" s="26">
        <f t="shared" si="74"/>
        <v>200</v>
      </c>
    </row>
    <row r="180" spans="1:32">
      <c r="A180" s="3" t="s">
        <v>16</v>
      </c>
      <c r="B180" s="26">
        <f t="shared" ref="B180:G180" si="75">B177+B178-B179</f>
        <v>58</v>
      </c>
      <c r="C180" s="26">
        <f t="shared" si="75"/>
        <v>66</v>
      </c>
      <c r="D180" s="26">
        <f t="shared" si="75"/>
        <v>40</v>
      </c>
      <c r="E180" s="26">
        <f t="shared" si="75"/>
        <v>52</v>
      </c>
      <c r="F180" s="26">
        <f t="shared" si="75"/>
        <v>20</v>
      </c>
      <c r="G180" s="26">
        <f t="shared" si="75"/>
        <v>18</v>
      </c>
      <c r="H180" s="26"/>
      <c r="I180" s="26"/>
      <c r="J180" s="26">
        <f t="shared" si="70"/>
        <v>254</v>
      </c>
      <c r="L180" s="3" t="s">
        <v>16</v>
      </c>
      <c r="M180" s="26">
        <f t="shared" ref="M180:R180" si="76">M177+M178-M179</f>
        <v>19</v>
      </c>
      <c r="N180" s="26">
        <f t="shared" si="76"/>
        <v>19</v>
      </c>
      <c r="O180" s="26">
        <f t="shared" si="76"/>
        <v>10</v>
      </c>
      <c r="P180" s="26">
        <f t="shared" si="76"/>
        <v>15</v>
      </c>
      <c r="Q180" s="26">
        <f t="shared" si="76"/>
        <v>3</v>
      </c>
      <c r="R180" s="26">
        <f t="shared" si="76"/>
        <v>3</v>
      </c>
      <c r="S180" s="26"/>
      <c r="T180" s="26"/>
      <c r="U180" s="26">
        <f t="shared" si="73"/>
        <v>69</v>
      </c>
      <c r="W180" s="3" t="s">
        <v>16</v>
      </c>
      <c r="X180" s="26">
        <f t="shared" ref="X180:AC180" si="77">X177+X178-X179</f>
        <v>19</v>
      </c>
      <c r="Y180" s="26">
        <f t="shared" si="77"/>
        <v>19</v>
      </c>
      <c r="Z180" s="26">
        <f t="shared" si="77"/>
        <v>10</v>
      </c>
      <c r="AA180" s="26">
        <f t="shared" si="77"/>
        <v>15</v>
      </c>
      <c r="AB180" s="26">
        <f t="shared" si="77"/>
        <v>3</v>
      </c>
      <c r="AC180" s="26">
        <f t="shared" si="77"/>
        <v>3</v>
      </c>
      <c r="AD180" s="26"/>
      <c r="AE180" s="26"/>
      <c r="AF180" s="26">
        <f t="shared" si="74"/>
        <v>69</v>
      </c>
    </row>
    <row r="181" spans="1:23">
      <c r="A181" t="s">
        <v>38</v>
      </c>
      <c r="L181" t="s">
        <v>38</v>
      </c>
      <c r="W181" t="s">
        <v>38</v>
      </c>
    </row>
    <row r="182" spans="1:32">
      <c r="A182" s="3" t="s">
        <v>13</v>
      </c>
      <c r="B182" s="26">
        <f t="shared" ref="B182:B184" si="78">J153+J159+J165+J171+J177</f>
        <v>1048</v>
      </c>
      <c r="C182" s="26"/>
      <c r="D182" s="26"/>
      <c r="E182" s="26"/>
      <c r="F182" s="26"/>
      <c r="G182" s="26"/>
      <c r="H182" s="26"/>
      <c r="I182" s="26"/>
      <c r="J182" s="26"/>
      <c r="L182" s="3" t="s">
        <v>13</v>
      </c>
      <c r="M182" s="26">
        <f t="shared" ref="M182:M184" si="79">U153+U159+U165+U171+U177</f>
        <v>1039</v>
      </c>
      <c r="N182" s="26"/>
      <c r="O182" s="26"/>
      <c r="P182" s="26"/>
      <c r="Q182" s="26"/>
      <c r="R182" s="26"/>
      <c r="S182" s="26"/>
      <c r="T182" s="26"/>
      <c r="U182" s="26"/>
      <c r="W182" s="3" t="s">
        <v>13</v>
      </c>
      <c r="X182" s="26">
        <f t="shared" ref="X182:X184" si="80">AF153+AF159+AF165+AF171+AF177</f>
        <v>1039</v>
      </c>
      <c r="Y182" s="26"/>
      <c r="Z182" s="26"/>
      <c r="AA182" s="26"/>
      <c r="AB182" s="26"/>
      <c r="AC182" s="26"/>
      <c r="AD182" s="26"/>
      <c r="AE182" s="26"/>
      <c r="AF182" s="26"/>
    </row>
    <row r="183" spans="1:32">
      <c r="A183" s="3" t="s">
        <v>45</v>
      </c>
      <c r="B183" s="26">
        <f t="shared" si="78"/>
        <v>1</v>
      </c>
      <c r="C183" s="26"/>
      <c r="D183" s="26"/>
      <c r="E183" s="26"/>
      <c r="F183" s="26"/>
      <c r="G183" s="26"/>
      <c r="H183" s="26"/>
      <c r="I183" s="26"/>
      <c r="J183" s="26"/>
      <c r="L183" s="3" t="s">
        <v>45</v>
      </c>
      <c r="M183" s="26">
        <f t="shared" si="79"/>
        <v>642</v>
      </c>
      <c r="N183" s="26"/>
      <c r="O183" s="26"/>
      <c r="P183" s="26"/>
      <c r="Q183" s="26"/>
      <c r="R183" s="26"/>
      <c r="S183" s="26"/>
      <c r="T183" s="26"/>
      <c r="U183" s="26"/>
      <c r="W183" s="3" t="s">
        <v>45</v>
      </c>
      <c r="X183" s="26">
        <f t="shared" si="80"/>
        <v>642</v>
      </c>
      <c r="Y183" s="26"/>
      <c r="Z183" s="26"/>
      <c r="AA183" s="26"/>
      <c r="AB183" s="26"/>
      <c r="AC183" s="26"/>
      <c r="AD183" s="26"/>
      <c r="AE183" s="26"/>
      <c r="AF183" s="26"/>
    </row>
    <row r="184" spans="1:32">
      <c r="A184" s="3" t="s">
        <v>46</v>
      </c>
      <c r="B184" s="26">
        <f t="shared" si="78"/>
        <v>10</v>
      </c>
      <c r="C184" s="26"/>
      <c r="D184" s="26"/>
      <c r="E184" s="26"/>
      <c r="F184" s="26"/>
      <c r="G184" s="26"/>
      <c r="H184" s="26"/>
      <c r="I184" s="26"/>
      <c r="J184" s="26"/>
      <c r="L184" s="3" t="s">
        <v>46</v>
      </c>
      <c r="M184" s="26">
        <f t="shared" si="79"/>
        <v>204</v>
      </c>
      <c r="N184" s="26"/>
      <c r="O184" s="26"/>
      <c r="P184" s="26"/>
      <c r="Q184" s="26"/>
      <c r="R184" s="26"/>
      <c r="S184" s="26"/>
      <c r="T184" s="26"/>
      <c r="U184" s="26"/>
      <c r="W184" s="3" t="s">
        <v>46</v>
      </c>
      <c r="X184" s="26">
        <f t="shared" si="80"/>
        <v>204</v>
      </c>
      <c r="Y184" s="26"/>
      <c r="Z184" s="26"/>
      <c r="AA184" s="26"/>
      <c r="AB184" s="26"/>
      <c r="AC184" s="26"/>
      <c r="AD184" s="26"/>
      <c r="AE184" s="26"/>
      <c r="AF184" s="26"/>
    </row>
    <row r="185" spans="1:32">
      <c r="A185" s="3" t="s">
        <v>47</v>
      </c>
      <c r="B185" s="26">
        <f>B182+B183-B184</f>
        <v>1039</v>
      </c>
      <c r="C185" s="26"/>
      <c r="D185" s="26"/>
      <c r="E185" s="26"/>
      <c r="F185" s="26"/>
      <c r="G185" s="26"/>
      <c r="H185" s="26"/>
      <c r="I185" s="26"/>
      <c r="J185" s="26"/>
      <c r="L185" s="3" t="s">
        <v>47</v>
      </c>
      <c r="M185" s="26">
        <f>M182+M183-M184</f>
        <v>1477</v>
      </c>
      <c r="N185" s="26"/>
      <c r="O185" s="26"/>
      <c r="P185" s="26"/>
      <c r="Q185" s="26"/>
      <c r="R185" s="26"/>
      <c r="S185" s="26"/>
      <c r="T185" s="26"/>
      <c r="U185" s="26"/>
      <c r="W185" s="3" t="s">
        <v>47</v>
      </c>
      <c r="X185" s="26">
        <f>X182+X183-X184</f>
        <v>1477</v>
      </c>
      <c r="Y185" s="26"/>
      <c r="Z185" s="26"/>
      <c r="AA185" s="26"/>
      <c r="AB185" s="26"/>
      <c r="AC185" s="26"/>
      <c r="AD185" s="26"/>
      <c r="AE185" s="26"/>
      <c r="AF185" s="26"/>
    </row>
    <row r="186" spans="1:29">
      <c r="A186" s="13" t="s">
        <v>56</v>
      </c>
      <c r="B186" s="13"/>
      <c r="C186" s="2" t="s">
        <v>57</v>
      </c>
      <c r="E186" s="2" t="s">
        <v>58</v>
      </c>
      <c r="G186" s="14" t="s">
        <v>59</v>
      </c>
      <c r="L186" s="13" t="s">
        <v>56</v>
      </c>
      <c r="M186" s="13"/>
      <c r="N186" s="2" t="s">
        <v>57</v>
      </c>
      <c r="P186" s="2" t="s">
        <v>58</v>
      </c>
      <c r="R186" s="14" t="s">
        <v>59</v>
      </c>
      <c r="W186" s="13" t="s">
        <v>56</v>
      </c>
      <c r="X186" s="13"/>
      <c r="Y186" s="2" t="s">
        <v>57</v>
      </c>
      <c r="AA186" s="2" t="s">
        <v>58</v>
      </c>
      <c r="AC186" s="14" t="s">
        <v>59</v>
      </c>
    </row>
    <row r="187" spans="1:31">
      <c r="A187" s="4"/>
      <c r="B187" s="4"/>
      <c r="C187" s="4"/>
      <c r="D187" s="4"/>
      <c r="E187" s="4"/>
      <c r="F187" s="4"/>
      <c r="I187" s="4"/>
      <c r="L187" s="4"/>
      <c r="M187" s="4"/>
      <c r="N187" s="4"/>
      <c r="O187" s="4"/>
      <c r="P187" s="4"/>
      <c r="Q187" s="4"/>
      <c r="T187" s="4"/>
      <c r="W187" s="4"/>
      <c r="X187" s="4"/>
      <c r="Y187" s="4"/>
      <c r="Z187" s="4"/>
      <c r="AA187" s="4"/>
      <c r="AB187" s="4"/>
      <c r="AE187" s="4"/>
    </row>
    <row r="188" spans="6:29">
      <c r="F188" s="15">
        <v>44701</v>
      </c>
      <c r="G188" s="15"/>
      <c r="Q188" s="15">
        <v>44732</v>
      </c>
      <c r="R188" s="15"/>
      <c r="AB188" s="15">
        <v>44732</v>
      </c>
      <c r="AC188" s="15"/>
    </row>
    <row r="189" spans="2:21">
      <c r="B189" s="1" t="s">
        <v>87</v>
      </c>
      <c r="C189" s="1"/>
      <c r="D189" s="1"/>
      <c r="E189" s="1"/>
      <c r="F189" s="1"/>
      <c r="G189" s="1"/>
      <c r="H189" s="1"/>
      <c r="I189" s="1"/>
      <c r="J189" s="1"/>
      <c r="M189" s="1" t="s">
        <v>88</v>
      </c>
      <c r="N189" s="1"/>
      <c r="O189" s="1"/>
      <c r="P189" s="1"/>
      <c r="Q189" s="1"/>
      <c r="R189" s="1"/>
      <c r="S189" s="1"/>
      <c r="T189" s="1"/>
      <c r="U189" s="1"/>
    </row>
    <row r="190" spans="1:12">
      <c r="A190" s="2" t="s">
        <v>2</v>
      </c>
      <c r="L190" s="2" t="s">
        <v>2</v>
      </c>
    </row>
    <row r="191" ht="25" customHeight="1" spans="1:21">
      <c r="A191" s="3" t="s">
        <v>3</v>
      </c>
      <c r="B191" s="3" t="s">
        <v>89</v>
      </c>
      <c r="C191" s="3" t="s">
        <v>75</v>
      </c>
      <c r="D191" s="3" t="s">
        <v>76</v>
      </c>
      <c r="E191" s="3" t="s">
        <v>77</v>
      </c>
      <c r="F191" s="3" t="s">
        <v>78</v>
      </c>
      <c r="G191" s="3" t="s">
        <v>79</v>
      </c>
      <c r="H191" s="3" t="s">
        <v>11</v>
      </c>
      <c r="I191" s="26"/>
      <c r="J191" s="3" t="s">
        <v>12</v>
      </c>
      <c r="L191" s="3" t="s">
        <v>3</v>
      </c>
      <c r="M191" s="3" t="s">
        <v>89</v>
      </c>
      <c r="N191" s="3" t="s">
        <v>75</v>
      </c>
      <c r="O191" s="3" t="s">
        <v>76</v>
      </c>
      <c r="P191" s="3" t="s">
        <v>77</v>
      </c>
      <c r="Q191" s="3" t="s">
        <v>78</v>
      </c>
      <c r="R191" s="3" t="s">
        <v>79</v>
      </c>
      <c r="S191" s="3" t="s">
        <v>11</v>
      </c>
      <c r="T191" s="26"/>
      <c r="U191" s="3" t="s">
        <v>12</v>
      </c>
    </row>
    <row r="192" spans="1:21">
      <c r="A192" s="3" t="s">
        <v>13</v>
      </c>
      <c r="B192" s="26">
        <v>37</v>
      </c>
      <c r="C192" s="26">
        <v>38</v>
      </c>
      <c r="D192" s="26">
        <v>57</v>
      </c>
      <c r="E192" s="3">
        <v>38</v>
      </c>
      <c r="F192" s="3">
        <v>19</v>
      </c>
      <c r="G192" s="26">
        <v>17</v>
      </c>
      <c r="H192" s="26">
        <v>87</v>
      </c>
      <c r="I192" s="26">
        <v>0</v>
      </c>
      <c r="J192" s="26">
        <f t="shared" ref="J192:J195" si="81">SUM(B192:I192)</f>
        <v>293</v>
      </c>
      <c r="L192" s="3" t="s">
        <v>13</v>
      </c>
      <c r="M192" s="26">
        <v>37</v>
      </c>
      <c r="N192" s="26">
        <v>38</v>
      </c>
      <c r="O192" s="26">
        <v>54</v>
      </c>
      <c r="P192" s="3">
        <v>38</v>
      </c>
      <c r="Q192" s="3">
        <v>18</v>
      </c>
      <c r="R192" s="26">
        <v>17</v>
      </c>
      <c r="S192" s="26">
        <v>86</v>
      </c>
      <c r="T192" s="26">
        <v>0</v>
      </c>
      <c r="U192" s="26">
        <f t="shared" ref="U192:U195" si="82">SUM(M192:T192)</f>
        <v>288</v>
      </c>
    </row>
    <row r="193" spans="1:21">
      <c r="A193" s="3" t="s">
        <v>14</v>
      </c>
      <c r="B193" s="26"/>
      <c r="C193" s="26"/>
      <c r="D193" s="26"/>
      <c r="E193" s="26"/>
      <c r="F193" s="26"/>
      <c r="G193" s="26"/>
      <c r="H193" s="26"/>
      <c r="I193" s="26"/>
      <c r="J193" s="26">
        <f t="shared" si="81"/>
        <v>0</v>
      </c>
      <c r="L193" s="3" t="s">
        <v>14</v>
      </c>
      <c r="M193" s="26"/>
      <c r="N193" s="26"/>
      <c r="O193" s="26"/>
      <c r="P193" s="26"/>
      <c r="Q193" s="26"/>
      <c r="R193" s="26"/>
      <c r="S193" s="26"/>
      <c r="T193" s="26"/>
      <c r="U193" s="26">
        <f t="shared" si="82"/>
        <v>0</v>
      </c>
    </row>
    <row r="194" spans="1:21">
      <c r="A194" s="3" t="s">
        <v>15</v>
      </c>
      <c r="B194" s="26">
        <v>0</v>
      </c>
      <c r="C194" s="26">
        <v>0</v>
      </c>
      <c r="D194" s="26">
        <v>3</v>
      </c>
      <c r="E194" s="26">
        <v>0</v>
      </c>
      <c r="F194" s="26">
        <v>1</v>
      </c>
      <c r="G194" s="26"/>
      <c r="H194" s="26">
        <v>1</v>
      </c>
      <c r="I194" s="26"/>
      <c r="J194" s="26">
        <f t="shared" si="81"/>
        <v>5</v>
      </c>
      <c r="L194" s="3" t="s">
        <v>15</v>
      </c>
      <c r="M194" s="26">
        <v>0</v>
      </c>
      <c r="N194" s="26">
        <v>0</v>
      </c>
      <c r="O194" s="26">
        <v>20</v>
      </c>
      <c r="P194" s="26">
        <v>0</v>
      </c>
      <c r="Q194" s="26">
        <v>0</v>
      </c>
      <c r="R194" s="26">
        <v>1</v>
      </c>
      <c r="S194" s="26">
        <v>1</v>
      </c>
      <c r="T194" s="26"/>
      <c r="U194" s="26">
        <f t="shared" si="82"/>
        <v>22</v>
      </c>
    </row>
    <row r="195" spans="1:21">
      <c r="A195" s="3" t="s">
        <v>16</v>
      </c>
      <c r="B195" s="26">
        <f t="shared" ref="B195:I195" si="83">B192+B193-B194</f>
        <v>37</v>
      </c>
      <c r="C195" s="26">
        <f t="shared" si="83"/>
        <v>38</v>
      </c>
      <c r="D195" s="26">
        <f t="shared" si="83"/>
        <v>54</v>
      </c>
      <c r="E195" s="26">
        <f t="shared" si="83"/>
        <v>38</v>
      </c>
      <c r="F195" s="26">
        <f t="shared" si="83"/>
        <v>18</v>
      </c>
      <c r="G195" s="26">
        <f t="shared" si="83"/>
        <v>17</v>
      </c>
      <c r="H195" s="26">
        <f t="shared" si="83"/>
        <v>86</v>
      </c>
      <c r="I195" s="26">
        <f t="shared" si="83"/>
        <v>0</v>
      </c>
      <c r="J195" s="26">
        <f t="shared" si="81"/>
        <v>288</v>
      </c>
      <c r="L195" s="3" t="s">
        <v>16</v>
      </c>
      <c r="M195" s="26">
        <f t="shared" ref="M195:T195" si="84">M192+M193-M194</f>
        <v>37</v>
      </c>
      <c r="N195" s="26">
        <f t="shared" si="84"/>
        <v>38</v>
      </c>
      <c r="O195" s="26">
        <f t="shared" si="84"/>
        <v>34</v>
      </c>
      <c r="P195" s="26">
        <f t="shared" si="84"/>
        <v>38</v>
      </c>
      <c r="Q195" s="26">
        <f t="shared" si="84"/>
        <v>18</v>
      </c>
      <c r="R195" s="26">
        <f t="shared" si="84"/>
        <v>16</v>
      </c>
      <c r="S195" s="26">
        <f t="shared" si="84"/>
        <v>85</v>
      </c>
      <c r="T195" s="26">
        <f t="shared" si="84"/>
        <v>0</v>
      </c>
      <c r="U195" s="26">
        <f t="shared" si="82"/>
        <v>266</v>
      </c>
    </row>
    <row r="196" spans="1:13">
      <c r="A196" s="28" t="s">
        <v>17</v>
      </c>
      <c r="B196" s="28"/>
      <c r="L196" s="28" t="s">
        <v>17</v>
      </c>
      <c r="M196" s="28"/>
    </row>
    <row r="197" ht="19.2" spans="1:21">
      <c r="A197" s="3" t="s">
        <v>3</v>
      </c>
      <c r="B197" s="3" t="s">
        <v>80</v>
      </c>
      <c r="C197" s="3" t="s">
        <v>81</v>
      </c>
      <c r="D197" s="3"/>
      <c r="E197" s="3"/>
      <c r="F197" s="3"/>
      <c r="G197" s="26"/>
      <c r="H197" s="3"/>
      <c r="I197" s="26"/>
      <c r="J197" s="3" t="s">
        <v>12</v>
      </c>
      <c r="L197" s="3" t="s">
        <v>3</v>
      </c>
      <c r="M197" s="3" t="s">
        <v>80</v>
      </c>
      <c r="N197" s="3" t="s">
        <v>81</v>
      </c>
      <c r="O197" s="3"/>
      <c r="P197" s="3"/>
      <c r="Q197" s="3"/>
      <c r="R197" s="26"/>
      <c r="S197" s="3"/>
      <c r="T197" s="26"/>
      <c r="U197" s="3" t="s">
        <v>12</v>
      </c>
    </row>
    <row r="198" spans="1:21">
      <c r="A198" s="3" t="s">
        <v>13</v>
      </c>
      <c r="B198" s="26">
        <v>160</v>
      </c>
      <c r="C198" s="26">
        <v>156</v>
      </c>
      <c r="D198" s="26">
        <v>0</v>
      </c>
      <c r="E198" s="26"/>
      <c r="F198" s="26"/>
      <c r="G198" s="26"/>
      <c r="H198" s="26"/>
      <c r="I198" s="26">
        <v>0</v>
      </c>
      <c r="J198" s="26">
        <f t="shared" ref="J198:J201" si="85">SUM(B198:I198)</f>
        <v>316</v>
      </c>
      <c r="L198" s="3" t="s">
        <v>13</v>
      </c>
      <c r="M198" s="26">
        <v>156</v>
      </c>
      <c r="N198" s="26">
        <v>156</v>
      </c>
      <c r="O198" s="26">
        <v>0</v>
      </c>
      <c r="P198" s="26"/>
      <c r="Q198" s="26"/>
      <c r="R198" s="26"/>
      <c r="S198" s="26"/>
      <c r="T198" s="26">
        <v>0</v>
      </c>
      <c r="U198" s="26">
        <f t="shared" ref="U198:U201" si="86">SUM(M198:T198)</f>
        <v>312</v>
      </c>
    </row>
    <row r="199" spans="1:21">
      <c r="A199" s="3" t="s">
        <v>14</v>
      </c>
      <c r="B199" s="26"/>
      <c r="C199" s="26"/>
      <c r="D199" s="26"/>
      <c r="E199" s="26"/>
      <c r="F199" s="26"/>
      <c r="G199" s="26"/>
      <c r="H199" s="26"/>
      <c r="I199" s="26"/>
      <c r="J199" s="26">
        <f t="shared" si="85"/>
        <v>0</v>
      </c>
      <c r="L199" s="3" t="s">
        <v>14</v>
      </c>
      <c r="M199" s="26"/>
      <c r="N199" s="26"/>
      <c r="O199" s="26"/>
      <c r="P199" s="26"/>
      <c r="Q199" s="26"/>
      <c r="R199" s="26"/>
      <c r="S199" s="26"/>
      <c r="T199" s="26"/>
      <c r="U199" s="26">
        <f t="shared" si="86"/>
        <v>0</v>
      </c>
    </row>
    <row r="200" spans="1:21">
      <c r="A200" s="3" t="s">
        <v>15</v>
      </c>
      <c r="B200" s="26">
        <v>4</v>
      </c>
      <c r="C200" s="26">
        <v>0</v>
      </c>
      <c r="D200" s="26"/>
      <c r="E200" s="26"/>
      <c r="F200" s="26"/>
      <c r="G200" s="26"/>
      <c r="H200" s="26"/>
      <c r="I200" s="26"/>
      <c r="J200" s="26">
        <f t="shared" si="85"/>
        <v>4</v>
      </c>
      <c r="L200" s="3" t="s">
        <v>15</v>
      </c>
      <c r="M200" s="26">
        <v>5</v>
      </c>
      <c r="N200" s="26">
        <v>0</v>
      </c>
      <c r="O200" s="26"/>
      <c r="P200" s="26"/>
      <c r="Q200" s="26"/>
      <c r="R200" s="26"/>
      <c r="S200" s="26"/>
      <c r="T200" s="26"/>
      <c r="U200" s="26">
        <f t="shared" si="86"/>
        <v>5</v>
      </c>
    </row>
    <row r="201" spans="1:21">
      <c r="A201" s="3" t="s">
        <v>16</v>
      </c>
      <c r="B201" s="26">
        <f t="shared" ref="B201:I201" si="87">B198+B199-B200</f>
        <v>156</v>
      </c>
      <c r="C201" s="26">
        <f t="shared" si="87"/>
        <v>156</v>
      </c>
      <c r="D201" s="26">
        <f t="shared" si="87"/>
        <v>0</v>
      </c>
      <c r="E201" s="26">
        <f t="shared" si="87"/>
        <v>0</v>
      </c>
      <c r="F201" s="26">
        <f t="shared" si="87"/>
        <v>0</v>
      </c>
      <c r="G201" s="26">
        <f t="shared" si="87"/>
        <v>0</v>
      </c>
      <c r="H201" s="26">
        <f t="shared" si="87"/>
        <v>0</v>
      </c>
      <c r="I201" s="26">
        <f t="shared" si="87"/>
        <v>0</v>
      </c>
      <c r="J201" s="26">
        <f t="shared" si="85"/>
        <v>312</v>
      </c>
      <c r="L201" s="3" t="s">
        <v>16</v>
      </c>
      <c r="M201" s="26">
        <f t="shared" ref="M201:T201" si="88">M198+M199-M200</f>
        <v>151</v>
      </c>
      <c r="N201" s="26">
        <f t="shared" si="88"/>
        <v>156</v>
      </c>
      <c r="O201" s="26">
        <f t="shared" si="88"/>
        <v>0</v>
      </c>
      <c r="P201" s="26">
        <f t="shared" si="88"/>
        <v>0</v>
      </c>
      <c r="Q201" s="26">
        <f t="shared" si="88"/>
        <v>0</v>
      </c>
      <c r="R201" s="26">
        <f t="shared" si="88"/>
        <v>0</v>
      </c>
      <c r="S201" s="26">
        <f t="shared" si="88"/>
        <v>0</v>
      </c>
      <c r="T201" s="26">
        <f t="shared" si="88"/>
        <v>0</v>
      </c>
      <c r="U201" s="26">
        <f t="shared" si="86"/>
        <v>307</v>
      </c>
    </row>
    <row r="202" spans="1:12">
      <c r="A202" s="7" t="s">
        <v>25</v>
      </c>
      <c r="L202" s="7" t="s">
        <v>25</v>
      </c>
    </row>
    <row r="203" ht="19.2" spans="1:21">
      <c r="A203" s="3" t="s">
        <v>3</v>
      </c>
      <c r="B203" s="3" t="s">
        <v>82</v>
      </c>
      <c r="C203" s="3" t="s">
        <v>83</v>
      </c>
      <c r="D203" s="3"/>
      <c r="E203" s="3"/>
      <c r="F203" s="3"/>
      <c r="G203" s="26"/>
      <c r="H203" s="3"/>
      <c r="I203" s="26"/>
      <c r="J203" s="3" t="s">
        <v>12</v>
      </c>
      <c r="L203" s="3" t="s">
        <v>3</v>
      </c>
      <c r="M203" s="3" t="s">
        <v>82</v>
      </c>
      <c r="N203" s="3" t="s">
        <v>83</v>
      </c>
      <c r="O203" s="3"/>
      <c r="P203" s="3"/>
      <c r="Q203" s="3"/>
      <c r="R203" s="26"/>
      <c r="S203" s="3"/>
      <c r="T203" s="26"/>
      <c r="U203" s="3" t="s">
        <v>12</v>
      </c>
    </row>
    <row r="204" spans="1:21">
      <c r="A204" s="3" t="s">
        <v>13</v>
      </c>
      <c r="B204" s="26">
        <v>151</v>
      </c>
      <c r="C204" s="26">
        <v>107</v>
      </c>
      <c r="D204" s="26"/>
      <c r="E204" s="26"/>
      <c r="F204" s="26"/>
      <c r="G204" s="26"/>
      <c r="H204" s="26"/>
      <c r="I204" s="26">
        <v>0</v>
      </c>
      <c r="J204" s="26">
        <f t="shared" ref="J204:J207" si="89">SUM(B204:I204)</f>
        <v>258</v>
      </c>
      <c r="L204" s="3" t="s">
        <v>13</v>
      </c>
      <c r="M204" s="26">
        <v>145</v>
      </c>
      <c r="N204" s="26">
        <v>107</v>
      </c>
      <c r="O204" s="26"/>
      <c r="P204" s="26"/>
      <c r="Q204" s="26"/>
      <c r="R204" s="26"/>
      <c r="S204" s="26"/>
      <c r="T204" s="26">
        <v>0</v>
      </c>
      <c r="U204" s="26">
        <f t="shared" ref="U204:U207" si="90">SUM(M204:T204)</f>
        <v>252</v>
      </c>
    </row>
    <row r="205" spans="1:21">
      <c r="A205" s="3" t="s">
        <v>14</v>
      </c>
      <c r="B205" s="26"/>
      <c r="C205" s="26"/>
      <c r="D205" s="26"/>
      <c r="E205" s="26"/>
      <c r="F205" s="26"/>
      <c r="G205" s="26"/>
      <c r="H205" s="26"/>
      <c r="I205" s="26"/>
      <c r="J205" s="26">
        <f t="shared" si="89"/>
        <v>0</v>
      </c>
      <c r="L205" s="3" t="s">
        <v>14</v>
      </c>
      <c r="M205" s="26"/>
      <c r="N205" s="26"/>
      <c r="O205" s="26"/>
      <c r="P205" s="26"/>
      <c r="Q205" s="26"/>
      <c r="R205" s="26"/>
      <c r="S205" s="26"/>
      <c r="T205" s="26"/>
      <c r="U205" s="26">
        <f t="shared" si="90"/>
        <v>0</v>
      </c>
    </row>
    <row r="206" spans="1:21">
      <c r="A206" s="3" t="s">
        <v>15</v>
      </c>
      <c r="B206" s="26">
        <v>6</v>
      </c>
      <c r="C206" s="26">
        <v>0</v>
      </c>
      <c r="D206" s="26"/>
      <c r="E206" s="26"/>
      <c r="F206" s="26"/>
      <c r="G206" s="26"/>
      <c r="H206" s="26"/>
      <c r="I206" s="26"/>
      <c r="J206" s="26">
        <f t="shared" si="89"/>
        <v>6</v>
      </c>
      <c r="L206" s="3" t="s">
        <v>15</v>
      </c>
      <c r="M206" s="26">
        <v>4</v>
      </c>
      <c r="N206" s="26">
        <v>0</v>
      </c>
      <c r="O206" s="26"/>
      <c r="P206" s="26"/>
      <c r="Q206" s="26"/>
      <c r="R206" s="26"/>
      <c r="S206" s="26"/>
      <c r="T206" s="26"/>
      <c r="U206" s="26">
        <f t="shared" si="90"/>
        <v>4</v>
      </c>
    </row>
    <row r="207" spans="1:21">
      <c r="A207" s="3" t="s">
        <v>16</v>
      </c>
      <c r="B207" s="26">
        <f t="shared" ref="B207:I207" si="91">B204+B205-B206</f>
        <v>145</v>
      </c>
      <c r="C207" s="26">
        <f t="shared" si="91"/>
        <v>107</v>
      </c>
      <c r="D207" s="26">
        <f t="shared" si="91"/>
        <v>0</v>
      </c>
      <c r="E207" s="26">
        <f t="shared" si="91"/>
        <v>0</v>
      </c>
      <c r="F207" s="26">
        <f t="shared" si="91"/>
        <v>0</v>
      </c>
      <c r="G207" s="26">
        <f t="shared" si="91"/>
        <v>0</v>
      </c>
      <c r="H207" s="26">
        <f t="shared" si="91"/>
        <v>0</v>
      </c>
      <c r="I207" s="26">
        <f t="shared" si="91"/>
        <v>0</v>
      </c>
      <c r="J207" s="26">
        <f t="shared" si="89"/>
        <v>252</v>
      </c>
      <c r="L207" s="3" t="s">
        <v>16</v>
      </c>
      <c r="M207" s="26">
        <f t="shared" ref="M207:T207" si="92">M204+M205-M206</f>
        <v>141</v>
      </c>
      <c r="N207" s="26">
        <f t="shared" si="92"/>
        <v>107</v>
      </c>
      <c r="O207" s="26">
        <f t="shared" si="92"/>
        <v>0</v>
      </c>
      <c r="P207" s="26">
        <f t="shared" si="92"/>
        <v>0</v>
      </c>
      <c r="Q207" s="26">
        <f t="shared" si="92"/>
        <v>0</v>
      </c>
      <c r="R207" s="26">
        <f t="shared" si="92"/>
        <v>0</v>
      </c>
      <c r="S207" s="26">
        <f t="shared" si="92"/>
        <v>0</v>
      </c>
      <c r="T207" s="26">
        <f t="shared" si="92"/>
        <v>0</v>
      </c>
      <c r="U207" s="26">
        <f t="shared" si="90"/>
        <v>248</v>
      </c>
    </row>
    <row r="208" spans="1:12">
      <c r="A208" s="7" t="s">
        <v>33</v>
      </c>
      <c r="L208" s="7" t="s">
        <v>33</v>
      </c>
    </row>
    <row r="209" ht="19.2" spans="1:21">
      <c r="A209" s="3" t="s">
        <v>3</v>
      </c>
      <c r="B209" s="3" t="s">
        <v>84</v>
      </c>
      <c r="C209" s="3" t="s">
        <v>85</v>
      </c>
      <c r="D209" s="29" t="s">
        <v>86</v>
      </c>
      <c r="E209" s="29"/>
      <c r="F209" s="26"/>
      <c r="G209" s="26"/>
      <c r="H209" s="3"/>
      <c r="I209" s="26"/>
      <c r="J209" s="3" t="s">
        <v>12</v>
      </c>
      <c r="L209" s="3" t="s">
        <v>3</v>
      </c>
      <c r="M209" s="3" t="s">
        <v>84</v>
      </c>
      <c r="N209" s="3" t="s">
        <v>85</v>
      </c>
      <c r="O209" s="29" t="s">
        <v>86</v>
      </c>
      <c r="P209" s="29"/>
      <c r="Q209" s="26"/>
      <c r="R209" s="26"/>
      <c r="S209" s="3"/>
      <c r="T209" s="26"/>
      <c r="U209" s="3" t="s">
        <v>12</v>
      </c>
    </row>
    <row r="210" spans="1:21">
      <c r="A210" s="3" t="s">
        <v>13</v>
      </c>
      <c r="B210" s="3">
        <v>86</v>
      </c>
      <c r="C210" s="9">
        <v>26</v>
      </c>
      <c r="D210" s="9">
        <v>429</v>
      </c>
      <c r="E210" s="26"/>
      <c r="F210" s="26"/>
      <c r="G210" s="26"/>
      <c r="H210" s="26"/>
      <c r="I210" s="26"/>
      <c r="J210" s="26">
        <f t="shared" ref="J210:J213" si="93">SUM(B210:I210)</f>
        <v>541</v>
      </c>
      <c r="L210" s="3" t="s">
        <v>13</v>
      </c>
      <c r="M210" s="3">
        <v>86</v>
      </c>
      <c r="N210" s="9">
        <v>26</v>
      </c>
      <c r="O210" s="9">
        <v>428</v>
      </c>
      <c r="P210" s="26"/>
      <c r="Q210" s="26"/>
      <c r="R210" s="26"/>
      <c r="S210" s="26"/>
      <c r="T210" s="26"/>
      <c r="U210" s="26">
        <f t="shared" ref="U210:U213" si="94">SUM(M210:T210)</f>
        <v>540</v>
      </c>
    </row>
    <row r="211" spans="1:21">
      <c r="A211" s="3" t="s">
        <v>14</v>
      </c>
      <c r="B211" s="26"/>
      <c r="C211" s="26"/>
      <c r="D211" s="26"/>
      <c r="E211" s="26"/>
      <c r="F211" s="26"/>
      <c r="G211" s="26"/>
      <c r="H211" s="26"/>
      <c r="I211" s="26"/>
      <c r="J211" s="26">
        <f t="shared" si="93"/>
        <v>0</v>
      </c>
      <c r="L211" s="3" t="s">
        <v>14</v>
      </c>
      <c r="M211" s="26"/>
      <c r="N211" s="26"/>
      <c r="O211" s="26"/>
      <c r="P211" s="26"/>
      <c r="Q211" s="26"/>
      <c r="R211" s="26"/>
      <c r="S211" s="26"/>
      <c r="T211" s="26"/>
      <c r="U211" s="26">
        <f t="shared" si="94"/>
        <v>0</v>
      </c>
    </row>
    <row r="212" spans="1:21">
      <c r="A212" s="3" t="s">
        <v>15</v>
      </c>
      <c r="B212" s="26">
        <v>0</v>
      </c>
      <c r="C212" s="26">
        <v>0</v>
      </c>
      <c r="D212" s="26">
        <v>1</v>
      </c>
      <c r="E212" s="26"/>
      <c r="F212" s="26"/>
      <c r="G212" s="26"/>
      <c r="H212" s="26"/>
      <c r="I212" s="26"/>
      <c r="J212" s="26">
        <f t="shared" si="93"/>
        <v>1</v>
      </c>
      <c r="L212" s="3" t="s">
        <v>15</v>
      </c>
      <c r="M212" s="26">
        <v>0</v>
      </c>
      <c r="N212" s="26">
        <v>0</v>
      </c>
      <c r="O212" s="26">
        <v>1</v>
      </c>
      <c r="P212" s="26"/>
      <c r="Q212" s="26"/>
      <c r="R212" s="26"/>
      <c r="S212" s="26"/>
      <c r="T212" s="26"/>
      <c r="U212" s="26">
        <f t="shared" si="94"/>
        <v>1</v>
      </c>
    </row>
    <row r="213" spans="1:21">
      <c r="A213" s="3" t="s">
        <v>16</v>
      </c>
      <c r="B213" s="26">
        <f t="shared" ref="B213:D213" si="95">B210+B211-B212</f>
        <v>86</v>
      </c>
      <c r="C213" s="26">
        <f t="shared" si="95"/>
        <v>26</v>
      </c>
      <c r="D213" s="26">
        <f t="shared" si="95"/>
        <v>428</v>
      </c>
      <c r="E213" s="26"/>
      <c r="F213" s="26"/>
      <c r="G213" s="26"/>
      <c r="H213" s="26"/>
      <c r="I213" s="26"/>
      <c r="J213" s="26">
        <f t="shared" si="93"/>
        <v>540</v>
      </c>
      <c r="L213" s="3" t="s">
        <v>16</v>
      </c>
      <c r="M213" s="26">
        <f t="shared" ref="M213:O213" si="96">M210+M211-M212</f>
        <v>86</v>
      </c>
      <c r="N213" s="26">
        <f t="shared" si="96"/>
        <v>26</v>
      </c>
      <c r="O213" s="26">
        <f t="shared" si="96"/>
        <v>427</v>
      </c>
      <c r="P213" s="26"/>
      <c r="Q213" s="26"/>
      <c r="R213" s="26"/>
      <c r="S213" s="26"/>
      <c r="T213" s="26"/>
      <c r="U213" s="26">
        <f t="shared" si="94"/>
        <v>539</v>
      </c>
    </row>
    <row r="214" spans="1:12">
      <c r="A214" t="s">
        <v>65</v>
      </c>
      <c r="L214" t="s">
        <v>65</v>
      </c>
    </row>
    <row r="215" ht="19.2" spans="1:21">
      <c r="A215" s="3" t="s">
        <v>3</v>
      </c>
      <c r="B215" s="3" t="s">
        <v>23</v>
      </c>
      <c r="C215" s="3" t="s">
        <v>24</v>
      </c>
      <c r="D215" s="3" t="s">
        <v>31</v>
      </c>
      <c r="E215" s="3" t="s">
        <v>32</v>
      </c>
      <c r="F215" s="3" t="s">
        <v>36</v>
      </c>
      <c r="G215" s="3" t="s">
        <v>37</v>
      </c>
      <c r="H215" s="3"/>
      <c r="I215" s="26"/>
      <c r="J215" s="3" t="s">
        <v>12</v>
      </c>
      <c r="L215" s="3" t="s">
        <v>3</v>
      </c>
      <c r="M215" s="3" t="s">
        <v>23</v>
      </c>
      <c r="N215" s="3" t="s">
        <v>24</v>
      </c>
      <c r="O215" s="3" t="s">
        <v>31</v>
      </c>
      <c r="P215" s="3" t="s">
        <v>32</v>
      </c>
      <c r="Q215" s="3" t="s">
        <v>36</v>
      </c>
      <c r="R215" s="3" t="s">
        <v>37</v>
      </c>
      <c r="S215" s="3"/>
      <c r="T215" s="26"/>
      <c r="U215" s="3" t="s">
        <v>12</v>
      </c>
    </row>
    <row r="216" spans="1:21">
      <c r="A216" s="3" t="s">
        <v>13</v>
      </c>
      <c r="B216" s="26">
        <v>19</v>
      </c>
      <c r="C216" s="26">
        <v>19</v>
      </c>
      <c r="D216" s="26">
        <v>10</v>
      </c>
      <c r="E216" s="26">
        <v>15</v>
      </c>
      <c r="F216" s="26">
        <v>3</v>
      </c>
      <c r="G216" s="26">
        <v>3</v>
      </c>
      <c r="H216" s="26"/>
      <c r="I216" s="26"/>
      <c r="J216" s="26">
        <f t="shared" ref="J216:J219" si="97">SUM(B216:I216)</f>
        <v>69</v>
      </c>
      <c r="L216" s="3" t="s">
        <v>13</v>
      </c>
      <c r="M216" s="26">
        <v>19</v>
      </c>
      <c r="N216" s="26">
        <v>19</v>
      </c>
      <c r="O216" s="26">
        <v>10</v>
      </c>
      <c r="P216" s="26">
        <v>15</v>
      </c>
      <c r="Q216" s="26">
        <v>2</v>
      </c>
      <c r="R216" s="26">
        <v>3</v>
      </c>
      <c r="S216" s="26"/>
      <c r="T216" s="26"/>
      <c r="U216" s="26">
        <f t="shared" ref="U216:U219" si="98">SUM(M216:T216)</f>
        <v>68</v>
      </c>
    </row>
    <row r="217" spans="1:21">
      <c r="A217" s="3" t="s">
        <v>14</v>
      </c>
      <c r="B217" s="26"/>
      <c r="C217" s="26"/>
      <c r="D217" s="26"/>
      <c r="E217" s="26"/>
      <c r="F217" s="26"/>
      <c r="G217" s="26"/>
      <c r="H217" s="26"/>
      <c r="I217" s="26"/>
      <c r="J217" s="26">
        <f t="shared" si="97"/>
        <v>0</v>
      </c>
      <c r="L217" s="3" t="s">
        <v>14</v>
      </c>
      <c r="M217" s="26"/>
      <c r="N217" s="26"/>
      <c r="O217" s="26"/>
      <c r="P217" s="26"/>
      <c r="Q217" s="26"/>
      <c r="R217" s="26"/>
      <c r="S217" s="26"/>
      <c r="T217" s="26"/>
      <c r="U217" s="26">
        <f t="shared" si="98"/>
        <v>0</v>
      </c>
    </row>
    <row r="218" spans="1:21">
      <c r="A218" s="3" t="s">
        <v>15</v>
      </c>
      <c r="B218" s="26">
        <v>0</v>
      </c>
      <c r="C218" s="26">
        <v>0</v>
      </c>
      <c r="D218" s="26">
        <v>0</v>
      </c>
      <c r="E218" s="26">
        <v>0</v>
      </c>
      <c r="F218" s="26">
        <v>1</v>
      </c>
      <c r="G218" s="26">
        <v>0</v>
      </c>
      <c r="H218" s="26"/>
      <c r="I218" s="26"/>
      <c r="J218" s="26">
        <f t="shared" si="97"/>
        <v>1</v>
      </c>
      <c r="L218" s="3" t="s">
        <v>15</v>
      </c>
      <c r="M218" s="26">
        <v>0</v>
      </c>
      <c r="N218" s="26">
        <v>0</v>
      </c>
      <c r="O218" s="26">
        <v>0</v>
      </c>
      <c r="P218" s="26">
        <v>0</v>
      </c>
      <c r="Q218" s="26">
        <v>0</v>
      </c>
      <c r="R218" s="26">
        <v>0</v>
      </c>
      <c r="S218" s="26"/>
      <c r="T218" s="26"/>
      <c r="U218" s="26">
        <f t="shared" si="98"/>
        <v>0</v>
      </c>
    </row>
    <row r="219" spans="1:21">
      <c r="A219" s="3" t="s">
        <v>16</v>
      </c>
      <c r="B219" s="26">
        <f t="shared" ref="B219:G219" si="99">B216+B217-B218</f>
        <v>19</v>
      </c>
      <c r="C219" s="26">
        <f t="shared" si="99"/>
        <v>19</v>
      </c>
      <c r="D219" s="26">
        <f t="shared" si="99"/>
        <v>10</v>
      </c>
      <c r="E219" s="26">
        <f t="shared" si="99"/>
        <v>15</v>
      </c>
      <c r="F219" s="26">
        <f t="shared" si="99"/>
        <v>2</v>
      </c>
      <c r="G219" s="26">
        <f t="shared" si="99"/>
        <v>3</v>
      </c>
      <c r="H219" s="26"/>
      <c r="I219" s="26"/>
      <c r="J219" s="26">
        <f t="shared" si="97"/>
        <v>68</v>
      </c>
      <c r="L219" s="3" t="s">
        <v>16</v>
      </c>
      <c r="M219" s="26">
        <f t="shared" ref="M219:R219" si="100">M216+M217-M218</f>
        <v>19</v>
      </c>
      <c r="N219" s="26">
        <f t="shared" si="100"/>
        <v>19</v>
      </c>
      <c r="O219" s="26">
        <f t="shared" si="100"/>
        <v>10</v>
      </c>
      <c r="P219" s="26">
        <f t="shared" si="100"/>
        <v>15</v>
      </c>
      <c r="Q219" s="26">
        <f t="shared" si="100"/>
        <v>2</v>
      </c>
      <c r="R219" s="26">
        <f t="shared" si="100"/>
        <v>3</v>
      </c>
      <c r="S219" s="26"/>
      <c r="T219" s="26"/>
      <c r="U219" s="26">
        <f t="shared" si="98"/>
        <v>68</v>
      </c>
    </row>
    <row r="220" spans="1:12">
      <c r="A220" t="s">
        <v>38</v>
      </c>
      <c r="L220" t="s">
        <v>38</v>
      </c>
    </row>
    <row r="221" spans="1:21">
      <c r="A221" s="3" t="s">
        <v>13</v>
      </c>
      <c r="B221" s="26">
        <f t="shared" ref="B221:B223" si="101">J192+J198+J204+J210+J216</f>
        <v>1477</v>
      </c>
      <c r="C221" s="26"/>
      <c r="D221" s="26"/>
      <c r="E221" s="26"/>
      <c r="F221" s="26"/>
      <c r="G221" s="26"/>
      <c r="H221" s="26"/>
      <c r="I221" s="26"/>
      <c r="J221" s="26"/>
      <c r="L221" s="3" t="s">
        <v>13</v>
      </c>
      <c r="M221" s="26">
        <f t="shared" ref="M221:M223" si="102">U192+U198+U204+U210+U216</f>
        <v>1460</v>
      </c>
      <c r="N221" s="26"/>
      <c r="O221" s="26"/>
      <c r="P221" s="26"/>
      <c r="Q221" s="26"/>
      <c r="R221" s="26"/>
      <c r="S221" s="26"/>
      <c r="T221" s="26"/>
      <c r="U221" s="26"/>
    </row>
    <row r="222" spans="1:21">
      <c r="A222" s="3" t="s">
        <v>45</v>
      </c>
      <c r="B222" s="26">
        <f t="shared" si="101"/>
        <v>0</v>
      </c>
      <c r="C222" s="26"/>
      <c r="D222" s="26"/>
      <c r="E222" s="26"/>
      <c r="F222" s="26"/>
      <c r="G222" s="26"/>
      <c r="H222" s="26"/>
      <c r="I222" s="26"/>
      <c r="J222" s="26"/>
      <c r="L222" s="3" t="s">
        <v>45</v>
      </c>
      <c r="M222" s="26">
        <f t="shared" si="102"/>
        <v>0</v>
      </c>
      <c r="N222" s="26"/>
      <c r="O222" s="26"/>
      <c r="P222" s="26"/>
      <c r="Q222" s="26"/>
      <c r="R222" s="26"/>
      <c r="S222" s="26"/>
      <c r="T222" s="26"/>
      <c r="U222" s="26"/>
    </row>
    <row r="223" spans="1:21">
      <c r="A223" s="3" t="s">
        <v>46</v>
      </c>
      <c r="B223" s="26">
        <f t="shared" si="101"/>
        <v>17</v>
      </c>
      <c r="C223" s="26"/>
      <c r="D223" s="26"/>
      <c r="E223" s="26"/>
      <c r="F223" s="26"/>
      <c r="G223" s="26"/>
      <c r="H223" s="26"/>
      <c r="I223" s="26"/>
      <c r="J223" s="26"/>
      <c r="L223" s="3" t="s">
        <v>46</v>
      </c>
      <c r="M223" s="26">
        <f t="shared" si="102"/>
        <v>32</v>
      </c>
      <c r="N223" s="26"/>
      <c r="O223" s="26"/>
      <c r="P223" s="26"/>
      <c r="Q223" s="26"/>
      <c r="R223" s="26"/>
      <c r="S223" s="26"/>
      <c r="T223" s="26"/>
      <c r="U223" s="26"/>
    </row>
    <row r="224" spans="1:21">
      <c r="A224" s="3" t="s">
        <v>47</v>
      </c>
      <c r="B224" s="26">
        <f>B221+B222-B223</f>
        <v>1460</v>
      </c>
      <c r="C224" s="26"/>
      <c r="D224" s="26"/>
      <c r="E224" s="26"/>
      <c r="F224" s="26"/>
      <c r="G224" s="26"/>
      <c r="H224" s="26"/>
      <c r="I224" s="26"/>
      <c r="J224" s="26"/>
      <c r="L224" s="3" t="s">
        <v>47</v>
      </c>
      <c r="M224" s="26">
        <f>M221+M222-M223</f>
        <v>1428</v>
      </c>
      <c r="N224" s="26"/>
      <c r="O224" s="26"/>
      <c r="P224" s="26"/>
      <c r="Q224" s="26"/>
      <c r="R224" s="26"/>
      <c r="S224" s="26"/>
      <c r="T224" s="26"/>
      <c r="U224" s="26"/>
    </row>
    <row r="225" spans="1:18">
      <c r="A225" s="13" t="s">
        <v>56</v>
      </c>
      <c r="B225" s="13"/>
      <c r="C225" s="2" t="s">
        <v>57</v>
      </c>
      <c r="E225" s="2" t="s">
        <v>58</v>
      </c>
      <c r="G225" s="14" t="s">
        <v>59</v>
      </c>
      <c r="L225" s="13" t="s">
        <v>56</v>
      </c>
      <c r="M225" s="13"/>
      <c r="N225" s="2" t="s">
        <v>57</v>
      </c>
      <c r="P225" s="2" t="s">
        <v>58</v>
      </c>
      <c r="R225" s="14" t="s">
        <v>59</v>
      </c>
    </row>
    <row r="226" spans="1:20">
      <c r="A226" s="4"/>
      <c r="B226" s="4"/>
      <c r="C226" s="4"/>
      <c r="D226" s="4"/>
      <c r="E226" s="4"/>
      <c r="F226" s="4"/>
      <c r="I226" s="4"/>
      <c r="L226" s="4"/>
      <c r="M226" s="4"/>
      <c r="N226" s="4"/>
      <c r="O226" s="4"/>
      <c r="P226" s="4"/>
      <c r="Q226" s="4"/>
      <c r="T226" s="4"/>
    </row>
    <row r="227" spans="6:18">
      <c r="F227" s="15">
        <v>44762</v>
      </c>
      <c r="G227" s="15"/>
      <c r="Q227" s="15">
        <v>44793</v>
      </c>
      <c r="R227" s="15"/>
    </row>
    <row r="229" spans="2:21">
      <c r="B229" s="1" t="s">
        <v>90</v>
      </c>
      <c r="C229" s="1"/>
      <c r="D229" s="1"/>
      <c r="E229" s="1"/>
      <c r="F229" s="1"/>
      <c r="G229" s="1"/>
      <c r="H229" s="1"/>
      <c r="I229" s="1"/>
      <c r="J229" s="1"/>
      <c r="M229" s="1" t="s">
        <v>91</v>
      </c>
      <c r="N229" s="1"/>
      <c r="O229" s="1"/>
      <c r="P229" s="1"/>
      <c r="Q229" s="1"/>
      <c r="R229" s="1"/>
      <c r="S229" s="1"/>
      <c r="T229" s="1"/>
      <c r="U229" s="1"/>
    </row>
    <row r="230" spans="1:12">
      <c r="A230" s="2" t="s">
        <v>2</v>
      </c>
      <c r="L230" s="2" t="s">
        <v>2</v>
      </c>
    </row>
    <row r="231" ht="28" customHeight="1" spans="1:21">
      <c r="A231" s="3" t="s">
        <v>3</v>
      </c>
      <c r="B231" s="3" t="s">
        <v>89</v>
      </c>
      <c r="C231" s="3" t="s">
        <v>75</v>
      </c>
      <c r="D231" s="3" t="s">
        <v>76</v>
      </c>
      <c r="E231" s="3" t="s">
        <v>77</v>
      </c>
      <c r="F231" s="3" t="s">
        <v>78</v>
      </c>
      <c r="G231" s="3" t="s">
        <v>79</v>
      </c>
      <c r="H231" s="3" t="s">
        <v>11</v>
      </c>
      <c r="I231" s="26"/>
      <c r="J231" s="3" t="s">
        <v>12</v>
      </c>
      <c r="L231" s="3" t="s">
        <v>3</v>
      </c>
      <c r="M231" s="3" t="s">
        <v>89</v>
      </c>
      <c r="N231" s="3" t="s">
        <v>75</v>
      </c>
      <c r="O231" s="3" t="s">
        <v>76</v>
      </c>
      <c r="P231" s="3" t="s">
        <v>77</v>
      </c>
      <c r="Q231" s="3" t="s">
        <v>78</v>
      </c>
      <c r="R231" s="3" t="s">
        <v>79</v>
      </c>
      <c r="S231" s="3" t="s">
        <v>11</v>
      </c>
      <c r="T231" s="26"/>
      <c r="U231" s="3" t="s">
        <v>12</v>
      </c>
    </row>
    <row r="232" spans="1:21">
      <c r="A232" s="3" t="s">
        <v>13</v>
      </c>
      <c r="B232" s="26">
        <v>37</v>
      </c>
      <c r="C232" s="26">
        <v>38</v>
      </c>
      <c r="D232" s="26">
        <v>34</v>
      </c>
      <c r="E232" s="3">
        <v>38</v>
      </c>
      <c r="F232" s="3">
        <v>18</v>
      </c>
      <c r="G232" s="26">
        <v>16</v>
      </c>
      <c r="H232" s="26">
        <v>85</v>
      </c>
      <c r="I232" s="26">
        <v>0</v>
      </c>
      <c r="J232" s="26">
        <f t="shared" ref="J232:J235" si="103">SUM(B232:I232)</f>
        <v>266</v>
      </c>
      <c r="L232" s="3" t="s">
        <v>13</v>
      </c>
      <c r="M232" s="26">
        <v>33</v>
      </c>
      <c r="N232" s="26">
        <v>38</v>
      </c>
      <c r="O232" s="26">
        <v>34</v>
      </c>
      <c r="P232" s="3">
        <v>38</v>
      </c>
      <c r="Q232" s="3">
        <v>18</v>
      </c>
      <c r="R232" s="26">
        <v>16</v>
      </c>
      <c r="S232" s="26">
        <v>51</v>
      </c>
      <c r="T232" s="26"/>
      <c r="U232" s="26">
        <f t="shared" ref="U232:U235" si="104">SUM(M232:T232)</f>
        <v>228</v>
      </c>
    </row>
    <row r="233" spans="1:21">
      <c r="A233" s="3" t="s">
        <v>14</v>
      </c>
      <c r="B233" s="26"/>
      <c r="C233" s="26"/>
      <c r="D233" s="26"/>
      <c r="E233" s="26"/>
      <c r="F233" s="26"/>
      <c r="G233" s="26"/>
      <c r="H233" s="26"/>
      <c r="I233" s="26"/>
      <c r="J233" s="26">
        <f t="shared" si="103"/>
        <v>0</v>
      </c>
      <c r="L233" s="3" t="s">
        <v>14</v>
      </c>
      <c r="M233" s="26"/>
      <c r="N233" s="26"/>
      <c r="O233" s="26"/>
      <c r="P233" s="26"/>
      <c r="Q233" s="26"/>
      <c r="R233" s="26"/>
      <c r="S233" s="26"/>
      <c r="T233" s="26"/>
      <c r="U233" s="26">
        <f t="shared" si="104"/>
        <v>0</v>
      </c>
    </row>
    <row r="234" spans="1:21">
      <c r="A234" s="3" t="s">
        <v>15</v>
      </c>
      <c r="B234" s="26">
        <v>4</v>
      </c>
      <c r="C234" s="26">
        <v>0</v>
      </c>
      <c r="D234" s="26">
        <v>0</v>
      </c>
      <c r="E234" s="26">
        <v>0</v>
      </c>
      <c r="F234" s="26">
        <v>0</v>
      </c>
      <c r="G234" s="26">
        <v>0</v>
      </c>
      <c r="H234" s="26">
        <v>34</v>
      </c>
      <c r="I234" s="26"/>
      <c r="J234" s="26">
        <f t="shared" si="103"/>
        <v>38</v>
      </c>
      <c r="L234" s="3" t="s">
        <v>15</v>
      </c>
      <c r="M234" s="26">
        <v>2</v>
      </c>
      <c r="N234" s="26">
        <v>0</v>
      </c>
      <c r="O234" s="26">
        <v>0</v>
      </c>
      <c r="P234" s="26">
        <v>0</v>
      </c>
      <c r="Q234" s="26">
        <v>1</v>
      </c>
      <c r="R234" s="26">
        <v>0</v>
      </c>
      <c r="S234" s="26">
        <v>3</v>
      </c>
      <c r="T234" s="26"/>
      <c r="U234" s="26">
        <f t="shared" si="104"/>
        <v>6</v>
      </c>
    </row>
    <row r="235" spans="1:21">
      <c r="A235" s="3" t="s">
        <v>16</v>
      </c>
      <c r="B235" s="26">
        <f t="shared" ref="B235:I235" si="105">B232+B233-B234</f>
        <v>33</v>
      </c>
      <c r="C235" s="26">
        <f t="shared" si="105"/>
        <v>38</v>
      </c>
      <c r="D235" s="26">
        <f t="shared" si="105"/>
        <v>34</v>
      </c>
      <c r="E235" s="26">
        <f t="shared" si="105"/>
        <v>38</v>
      </c>
      <c r="F235" s="26">
        <f t="shared" si="105"/>
        <v>18</v>
      </c>
      <c r="G235" s="26">
        <f t="shared" si="105"/>
        <v>16</v>
      </c>
      <c r="H235" s="26">
        <f t="shared" si="105"/>
        <v>51</v>
      </c>
      <c r="I235" s="26">
        <f t="shared" si="105"/>
        <v>0</v>
      </c>
      <c r="J235" s="26">
        <f t="shared" si="103"/>
        <v>228</v>
      </c>
      <c r="L235" s="3" t="s">
        <v>16</v>
      </c>
      <c r="M235" s="26">
        <f t="shared" ref="M235:T235" si="106">M232+M233-M234</f>
        <v>31</v>
      </c>
      <c r="N235" s="26">
        <f t="shared" si="106"/>
        <v>38</v>
      </c>
      <c r="O235" s="26">
        <f t="shared" si="106"/>
        <v>34</v>
      </c>
      <c r="P235" s="26">
        <f t="shared" si="106"/>
        <v>38</v>
      </c>
      <c r="Q235" s="26">
        <f t="shared" si="106"/>
        <v>17</v>
      </c>
      <c r="R235" s="26">
        <f t="shared" si="106"/>
        <v>16</v>
      </c>
      <c r="S235" s="26">
        <f t="shared" si="106"/>
        <v>48</v>
      </c>
      <c r="T235" s="26">
        <f t="shared" si="106"/>
        <v>0</v>
      </c>
      <c r="U235" s="26">
        <f t="shared" si="104"/>
        <v>222</v>
      </c>
    </row>
    <row r="236" spans="1:13">
      <c r="A236" s="28" t="s">
        <v>17</v>
      </c>
      <c r="B236" s="28"/>
      <c r="L236" s="28" t="s">
        <v>17</v>
      </c>
      <c r="M236" s="28"/>
    </row>
    <row r="237" ht="19.2" spans="1:21">
      <c r="A237" s="3" t="s">
        <v>3</v>
      </c>
      <c r="B237" s="3" t="s">
        <v>80</v>
      </c>
      <c r="C237" s="3" t="s">
        <v>81</v>
      </c>
      <c r="D237" s="3"/>
      <c r="E237" s="3"/>
      <c r="F237" s="3"/>
      <c r="G237" s="26"/>
      <c r="H237" s="3"/>
      <c r="I237" s="26"/>
      <c r="J237" s="3" t="s">
        <v>12</v>
      </c>
      <c r="L237" s="3" t="s">
        <v>3</v>
      </c>
      <c r="M237" s="3" t="s">
        <v>80</v>
      </c>
      <c r="N237" s="3" t="s">
        <v>81</v>
      </c>
      <c r="O237" s="3"/>
      <c r="P237" s="3"/>
      <c r="Q237" s="3"/>
      <c r="R237" s="26"/>
      <c r="S237" s="3"/>
      <c r="T237" s="26"/>
      <c r="U237" s="3" t="s">
        <v>12</v>
      </c>
    </row>
    <row r="238" spans="1:21">
      <c r="A238" s="3" t="s">
        <v>13</v>
      </c>
      <c r="B238" s="26">
        <v>151</v>
      </c>
      <c r="C238" s="26">
        <v>156</v>
      </c>
      <c r="D238" s="26">
        <v>0</v>
      </c>
      <c r="E238" s="26"/>
      <c r="F238" s="26"/>
      <c r="G238" s="26"/>
      <c r="H238" s="26"/>
      <c r="I238" s="26">
        <v>0</v>
      </c>
      <c r="J238" s="26">
        <f t="shared" ref="J238:J241" si="107">SUM(B238:I238)</f>
        <v>307</v>
      </c>
      <c r="L238" s="3" t="s">
        <v>13</v>
      </c>
      <c r="M238" s="26">
        <v>150</v>
      </c>
      <c r="N238" s="26">
        <v>156</v>
      </c>
      <c r="O238" s="26"/>
      <c r="P238" s="26"/>
      <c r="Q238" s="26"/>
      <c r="R238" s="26"/>
      <c r="S238" s="26"/>
      <c r="T238" s="26">
        <v>0</v>
      </c>
      <c r="U238" s="26">
        <f t="shared" ref="U238:U241" si="108">SUM(M238:T238)</f>
        <v>306</v>
      </c>
    </row>
    <row r="239" spans="1:21">
      <c r="A239" s="3" t="s">
        <v>14</v>
      </c>
      <c r="B239" s="26"/>
      <c r="C239" s="26"/>
      <c r="D239" s="26"/>
      <c r="E239" s="26"/>
      <c r="F239" s="26"/>
      <c r="G239" s="26"/>
      <c r="H239" s="26"/>
      <c r="I239" s="26"/>
      <c r="J239" s="26">
        <f t="shared" si="107"/>
        <v>0</v>
      </c>
      <c r="L239" s="3" t="s">
        <v>14</v>
      </c>
      <c r="M239" s="26"/>
      <c r="N239" s="26"/>
      <c r="O239" s="26"/>
      <c r="P239" s="26"/>
      <c r="Q239" s="26"/>
      <c r="R239" s="26"/>
      <c r="S239" s="26"/>
      <c r="T239" s="26"/>
      <c r="U239" s="26">
        <f t="shared" si="108"/>
        <v>0</v>
      </c>
    </row>
    <row r="240" spans="1:21">
      <c r="A240" s="3" t="s">
        <v>15</v>
      </c>
      <c r="B240" s="26">
        <v>1</v>
      </c>
      <c r="C240" s="26">
        <v>0</v>
      </c>
      <c r="D240" s="26"/>
      <c r="E240" s="26"/>
      <c r="F240" s="26"/>
      <c r="G240" s="26"/>
      <c r="H240" s="26"/>
      <c r="I240" s="26"/>
      <c r="J240" s="26">
        <f t="shared" si="107"/>
        <v>1</v>
      </c>
      <c r="L240" s="3" t="s">
        <v>15</v>
      </c>
      <c r="M240" s="26">
        <v>0</v>
      </c>
      <c r="N240" s="26">
        <v>0</v>
      </c>
      <c r="O240" s="26"/>
      <c r="P240" s="26"/>
      <c r="Q240" s="26"/>
      <c r="R240" s="26"/>
      <c r="S240" s="26"/>
      <c r="T240" s="26"/>
      <c r="U240" s="26">
        <f t="shared" si="108"/>
        <v>0</v>
      </c>
    </row>
    <row r="241" spans="1:21">
      <c r="A241" s="3" t="s">
        <v>16</v>
      </c>
      <c r="B241" s="26">
        <f t="shared" ref="B241:I241" si="109">B238+B239-B240</f>
        <v>150</v>
      </c>
      <c r="C241" s="26">
        <f t="shared" si="109"/>
        <v>156</v>
      </c>
      <c r="D241" s="26">
        <f t="shared" si="109"/>
        <v>0</v>
      </c>
      <c r="E241" s="26">
        <f t="shared" si="109"/>
        <v>0</v>
      </c>
      <c r="F241" s="26">
        <f t="shared" si="109"/>
        <v>0</v>
      </c>
      <c r="G241" s="26">
        <f t="shared" si="109"/>
        <v>0</v>
      </c>
      <c r="H241" s="26">
        <f t="shared" si="109"/>
        <v>0</v>
      </c>
      <c r="I241" s="26">
        <f t="shared" si="109"/>
        <v>0</v>
      </c>
      <c r="J241" s="26">
        <f t="shared" si="107"/>
        <v>306</v>
      </c>
      <c r="L241" s="3" t="s">
        <v>16</v>
      </c>
      <c r="M241" s="26">
        <f t="shared" ref="M241:T241" si="110">M238+M239-M240</f>
        <v>150</v>
      </c>
      <c r="N241" s="26">
        <f t="shared" si="110"/>
        <v>156</v>
      </c>
      <c r="O241" s="26">
        <f t="shared" si="110"/>
        <v>0</v>
      </c>
      <c r="P241" s="26">
        <f t="shared" si="110"/>
        <v>0</v>
      </c>
      <c r="Q241" s="26">
        <f t="shared" si="110"/>
        <v>0</v>
      </c>
      <c r="R241" s="26">
        <f t="shared" si="110"/>
        <v>0</v>
      </c>
      <c r="S241" s="26">
        <f t="shared" si="110"/>
        <v>0</v>
      </c>
      <c r="T241" s="26">
        <f t="shared" si="110"/>
        <v>0</v>
      </c>
      <c r="U241" s="26">
        <f t="shared" si="108"/>
        <v>306</v>
      </c>
    </row>
    <row r="242" spans="1:12">
      <c r="A242" s="7" t="s">
        <v>25</v>
      </c>
      <c r="L242" s="7" t="s">
        <v>25</v>
      </c>
    </row>
    <row r="243" ht="19.2" spans="1:21">
      <c r="A243" s="3" t="s">
        <v>3</v>
      </c>
      <c r="B243" s="3" t="s">
        <v>82</v>
      </c>
      <c r="C243" s="3" t="s">
        <v>83</v>
      </c>
      <c r="D243" s="3"/>
      <c r="E243" s="3"/>
      <c r="F243" s="3"/>
      <c r="G243" s="26"/>
      <c r="H243" s="3"/>
      <c r="I243" s="26"/>
      <c r="J243" s="3" t="s">
        <v>12</v>
      </c>
      <c r="L243" s="3" t="s">
        <v>3</v>
      </c>
      <c r="M243" s="3" t="s">
        <v>82</v>
      </c>
      <c r="N243" s="3" t="s">
        <v>83</v>
      </c>
      <c r="O243" s="3"/>
      <c r="P243" s="3"/>
      <c r="Q243" s="3"/>
      <c r="R243" s="26"/>
      <c r="S243" s="3"/>
      <c r="T243" s="26"/>
      <c r="U243" s="3" t="s">
        <v>12</v>
      </c>
    </row>
    <row r="244" spans="1:21">
      <c r="A244" s="3" t="s">
        <v>13</v>
      </c>
      <c r="B244" s="26">
        <v>141</v>
      </c>
      <c r="C244" s="26">
        <v>107</v>
      </c>
      <c r="D244" s="26"/>
      <c r="E244" s="26"/>
      <c r="F244" s="26"/>
      <c r="G244" s="26"/>
      <c r="H244" s="26"/>
      <c r="I244" s="26">
        <v>0</v>
      </c>
      <c r="J244" s="26">
        <f t="shared" ref="J244:J247" si="111">SUM(B244:I244)</f>
        <v>248</v>
      </c>
      <c r="L244" s="3" t="s">
        <v>13</v>
      </c>
      <c r="M244" s="26">
        <v>141</v>
      </c>
      <c r="N244" s="26">
        <v>107</v>
      </c>
      <c r="O244" s="26"/>
      <c r="P244" s="26"/>
      <c r="Q244" s="26"/>
      <c r="R244" s="26"/>
      <c r="S244" s="26"/>
      <c r="T244" s="26">
        <v>0</v>
      </c>
      <c r="U244" s="26">
        <f t="shared" ref="U244:U247" si="112">SUM(M244:T244)</f>
        <v>248</v>
      </c>
    </row>
    <row r="245" spans="1:21">
      <c r="A245" s="3" t="s">
        <v>14</v>
      </c>
      <c r="B245" s="26"/>
      <c r="C245" s="26"/>
      <c r="D245" s="26"/>
      <c r="E245" s="26"/>
      <c r="F245" s="26"/>
      <c r="G245" s="26"/>
      <c r="H245" s="26"/>
      <c r="I245" s="26"/>
      <c r="J245" s="26">
        <f t="shared" si="111"/>
        <v>0</v>
      </c>
      <c r="L245" s="3" t="s">
        <v>14</v>
      </c>
      <c r="M245" s="26"/>
      <c r="N245" s="26"/>
      <c r="O245" s="26"/>
      <c r="P245" s="26"/>
      <c r="Q245" s="26"/>
      <c r="R245" s="26"/>
      <c r="S245" s="26"/>
      <c r="T245" s="26"/>
      <c r="U245" s="26">
        <f t="shared" si="112"/>
        <v>0</v>
      </c>
    </row>
    <row r="246" spans="1:21">
      <c r="A246" s="3" t="s">
        <v>15</v>
      </c>
      <c r="B246" s="26">
        <v>0</v>
      </c>
      <c r="C246" s="26">
        <v>0</v>
      </c>
      <c r="D246" s="26"/>
      <c r="E246" s="26"/>
      <c r="F246" s="26"/>
      <c r="G246" s="26"/>
      <c r="H246" s="26"/>
      <c r="I246" s="26"/>
      <c r="J246" s="26">
        <f t="shared" si="111"/>
        <v>0</v>
      </c>
      <c r="L246" s="3" t="s">
        <v>15</v>
      </c>
      <c r="M246" s="26">
        <v>4</v>
      </c>
      <c r="N246" s="26">
        <v>0</v>
      </c>
      <c r="O246" s="26"/>
      <c r="P246" s="26"/>
      <c r="Q246" s="26"/>
      <c r="R246" s="26"/>
      <c r="S246" s="26"/>
      <c r="T246" s="26"/>
      <c r="U246" s="26">
        <f t="shared" si="112"/>
        <v>4</v>
      </c>
    </row>
    <row r="247" spans="1:21">
      <c r="A247" s="3" t="s">
        <v>16</v>
      </c>
      <c r="B247" s="26">
        <f t="shared" ref="B247:I247" si="113">B244+B245-B246</f>
        <v>141</v>
      </c>
      <c r="C247" s="26">
        <f t="shared" si="113"/>
        <v>107</v>
      </c>
      <c r="D247" s="26">
        <f t="shared" si="113"/>
        <v>0</v>
      </c>
      <c r="E247" s="26">
        <f t="shared" si="113"/>
        <v>0</v>
      </c>
      <c r="F247" s="26">
        <f t="shared" si="113"/>
        <v>0</v>
      </c>
      <c r="G247" s="26">
        <f t="shared" si="113"/>
        <v>0</v>
      </c>
      <c r="H247" s="26">
        <f t="shared" si="113"/>
        <v>0</v>
      </c>
      <c r="I247" s="26">
        <f t="shared" si="113"/>
        <v>0</v>
      </c>
      <c r="J247" s="26">
        <f t="shared" si="111"/>
        <v>248</v>
      </c>
      <c r="L247" s="3" t="s">
        <v>16</v>
      </c>
      <c r="M247" s="26">
        <f t="shared" ref="M247:T247" si="114">M244+M245-M246</f>
        <v>137</v>
      </c>
      <c r="N247" s="26">
        <f t="shared" si="114"/>
        <v>107</v>
      </c>
      <c r="O247" s="26">
        <f t="shared" si="114"/>
        <v>0</v>
      </c>
      <c r="P247" s="26">
        <f t="shared" si="114"/>
        <v>0</v>
      </c>
      <c r="Q247" s="26">
        <f t="shared" si="114"/>
        <v>0</v>
      </c>
      <c r="R247" s="26">
        <f t="shared" si="114"/>
        <v>0</v>
      </c>
      <c r="S247" s="26">
        <f t="shared" si="114"/>
        <v>0</v>
      </c>
      <c r="T247" s="26">
        <f t="shared" si="114"/>
        <v>0</v>
      </c>
      <c r="U247" s="26">
        <f t="shared" si="112"/>
        <v>244</v>
      </c>
    </row>
    <row r="248" spans="1:12">
      <c r="A248" s="7" t="s">
        <v>33</v>
      </c>
      <c r="L248" s="7" t="s">
        <v>33</v>
      </c>
    </row>
    <row r="249" ht="25" customHeight="1" spans="1:21">
      <c r="A249" s="3" t="s">
        <v>3</v>
      </c>
      <c r="B249" s="3" t="s">
        <v>84</v>
      </c>
      <c r="C249" s="3" t="s">
        <v>85</v>
      </c>
      <c r="D249" s="29" t="s">
        <v>86</v>
      </c>
      <c r="E249" s="29"/>
      <c r="F249" s="26"/>
      <c r="G249" s="26"/>
      <c r="H249" s="3"/>
      <c r="I249" s="26"/>
      <c r="J249" s="3" t="s">
        <v>12</v>
      </c>
      <c r="L249" s="3" t="s">
        <v>3</v>
      </c>
      <c r="M249" s="3" t="s">
        <v>84</v>
      </c>
      <c r="N249" s="3" t="s">
        <v>85</v>
      </c>
      <c r="O249" s="29" t="s">
        <v>86</v>
      </c>
      <c r="P249" s="29"/>
      <c r="Q249" s="26"/>
      <c r="R249" s="26"/>
      <c r="S249" s="3"/>
      <c r="T249" s="26"/>
      <c r="U249" s="3" t="s">
        <v>12</v>
      </c>
    </row>
    <row r="250" spans="1:21">
      <c r="A250" s="3" t="s">
        <v>13</v>
      </c>
      <c r="B250" s="3">
        <v>86</v>
      </c>
      <c r="C250" s="9">
        <v>26</v>
      </c>
      <c r="D250" s="9">
        <v>427</v>
      </c>
      <c r="E250" s="26"/>
      <c r="F250" s="26"/>
      <c r="G250" s="26"/>
      <c r="H250" s="26"/>
      <c r="I250" s="26"/>
      <c r="J250" s="26">
        <f t="shared" ref="J250:J253" si="115">SUM(B250:I250)</f>
        <v>539</v>
      </c>
      <c r="L250" s="3" t="s">
        <v>13</v>
      </c>
      <c r="M250" s="3">
        <v>86</v>
      </c>
      <c r="N250" s="9">
        <v>26</v>
      </c>
      <c r="O250" s="9">
        <v>427</v>
      </c>
      <c r="P250" s="26"/>
      <c r="Q250" s="26"/>
      <c r="R250" s="26"/>
      <c r="S250" s="26"/>
      <c r="T250" s="26"/>
      <c r="U250" s="26">
        <f t="shared" ref="U250:U253" si="116">SUM(M250:T250)</f>
        <v>539</v>
      </c>
    </row>
    <row r="251" spans="1:21">
      <c r="A251" s="3" t="s">
        <v>14</v>
      </c>
      <c r="B251" s="26"/>
      <c r="C251" s="26"/>
      <c r="D251" s="26"/>
      <c r="E251" s="26"/>
      <c r="F251" s="26"/>
      <c r="G251" s="26"/>
      <c r="H251" s="26"/>
      <c r="I251" s="26"/>
      <c r="J251" s="26">
        <f t="shared" si="115"/>
        <v>0</v>
      </c>
      <c r="L251" s="3" t="s">
        <v>14</v>
      </c>
      <c r="M251" s="26"/>
      <c r="N251" s="26"/>
      <c r="O251" s="26"/>
      <c r="P251" s="26"/>
      <c r="Q251" s="26"/>
      <c r="R251" s="26"/>
      <c r="S251" s="26"/>
      <c r="T251" s="26"/>
      <c r="U251" s="26">
        <f t="shared" si="116"/>
        <v>0</v>
      </c>
    </row>
    <row r="252" spans="1:21">
      <c r="A252" s="3" t="s">
        <v>15</v>
      </c>
      <c r="B252" s="26">
        <v>0</v>
      </c>
      <c r="C252" s="26">
        <v>0</v>
      </c>
      <c r="D252" s="26">
        <v>0</v>
      </c>
      <c r="E252" s="26"/>
      <c r="F252" s="26"/>
      <c r="G252" s="26"/>
      <c r="H252" s="26"/>
      <c r="I252" s="26"/>
      <c r="J252" s="26">
        <f t="shared" si="115"/>
        <v>0</v>
      </c>
      <c r="L252" s="3" t="s">
        <v>15</v>
      </c>
      <c r="M252" s="26">
        <v>0</v>
      </c>
      <c r="N252" s="26">
        <v>0</v>
      </c>
      <c r="O252" s="26">
        <v>0</v>
      </c>
      <c r="P252" s="26"/>
      <c r="Q252" s="26"/>
      <c r="R252" s="26"/>
      <c r="S252" s="26"/>
      <c r="T252" s="26"/>
      <c r="U252" s="26">
        <f t="shared" si="116"/>
        <v>0</v>
      </c>
    </row>
    <row r="253" spans="1:21">
      <c r="A253" s="3" t="s">
        <v>16</v>
      </c>
      <c r="B253" s="26">
        <f>B250+B251-B252</f>
        <v>86</v>
      </c>
      <c r="C253" s="26">
        <f>C250+C251-C252</f>
        <v>26</v>
      </c>
      <c r="D253" s="26">
        <f>D250+D251-D252</f>
        <v>427</v>
      </c>
      <c r="E253" s="26"/>
      <c r="F253" s="26"/>
      <c r="G253" s="26"/>
      <c r="H253" s="26"/>
      <c r="I253" s="26"/>
      <c r="J253" s="26">
        <f t="shared" si="115"/>
        <v>539</v>
      </c>
      <c r="L253" s="3" t="s">
        <v>16</v>
      </c>
      <c r="M253" s="26">
        <f t="shared" ref="M253:O253" si="117">M250+M251-M252</f>
        <v>86</v>
      </c>
      <c r="N253" s="26">
        <f t="shared" si="117"/>
        <v>26</v>
      </c>
      <c r="O253" s="26">
        <f t="shared" si="117"/>
        <v>427</v>
      </c>
      <c r="P253" s="26"/>
      <c r="Q253" s="26"/>
      <c r="R253" s="26"/>
      <c r="S253" s="26"/>
      <c r="T253" s="26"/>
      <c r="U253" s="26">
        <f t="shared" si="116"/>
        <v>539</v>
      </c>
    </row>
    <row r="254" spans="1:12">
      <c r="A254" t="s">
        <v>65</v>
      </c>
      <c r="L254" t="s">
        <v>65</v>
      </c>
    </row>
    <row r="255" ht="22" customHeight="1" spans="1:21">
      <c r="A255" s="3" t="s">
        <v>3</v>
      </c>
      <c r="B255" s="3" t="s">
        <v>23</v>
      </c>
      <c r="C255" s="3" t="s">
        <v>24</v>
      </c>
      <c r="D255" s="3" t="s">
        <v>31</v>
      </c>
      <c r="E255" s="3" t="s">
        <v>32</v>
      </c>
      <c r="F255" s="3" t="s">
        <v>36</v>
      </c>
      <c r="G255" s="3" t="s">
        <v>37</v>
      </c>
      <c r="H255" s="3"/>
      <c r="I255" s="26"/>
      <c r="J255" s="3" t="s">
        <v>12</v>
      </c>
      <c r="L255" s="3" t="s">
        <v>3</v>
      </c>
      <c r="M255" s="3" t="s">
        <v>23</v>
      </c>
      <c r="N255" s="3" t="s">
        <v>24</v>
      </c>
      <c r="O255" s="3" t="s">
        <v>31</v>
      </c>
      <c r="P255" s="3" t="s">
        <v>32</v>
      </c>
      <c r="Q255" s="3" t="s">
        <v>36</v>
      </c>
      <c r="R255" s="3" t="s">
        <v>37</v>
      </c>
      <c r="S255" s="3"/>
      <c r="T255" s="26"/>
      <c r="U255" s="3" t="s">
        <v>12</v>
      </c>
    </row>
    <row r="256" spans="1:21">
      <c r="A256" s="3" t="s">
        <v>13</v>
      </c>
      <c r="B256" s="26">
        <v>19</v>
      </c>
      <c r="C256" s="26">
        <v>19</v>
      </c>
      <c r="D256" s="26">
        <v>10</v>
      </c>
      <c r="E256" s="26">
        <v>15</v>
      </c>
      <c r="F256" s="26">
        <v>2</v>
      </c>
      <c r="G256" s="26">
        <v>3</v>
      </c>
      <c r="H256" s="26"/>
      <c r="I256" s="26"/>
      <c r="J256" s="26">
        <f t="shared" ref="J256:J259" si="118">SUM(B256:I256)</f>
        <v>68</v>
      </c>
      <c r="L256" s="3" t="s">
        <v>13</v>
      </c>
      <c r="M256" s="26">
        <v>19</v>
      </c>
      <c r="N256" s="26">
        <v>19</v>
      </c>
      <c r="O256" s="26">
        <v>10</v>
      </c>
      <c r="P256" s="26">
        <v>15</v>
      </c>
      <c r="Q256" s="26">
        <v>2</v>
      </c>
      <c r="R256" s="26">
        <v>3</v>
      </c>
      <c r="S256" s="26"/>
      <c r="T256" s="26"/>
      <c r="U256" s="26">
        <f t="shared" ref="U256:U259" si="119">SUM(M256:T256)</f>
        <v>68</v>
      </c>
    </row>
    <row r="257" spans="1:21">
      <c r="A257" s="3" t="s">
        <v>14</v>
      </c>
      <c r="B257" s="26"/>
      <c r="C257" s="26"/>
      <c r="D257" s="26"/>
      <c r="E257" s="26"/>
      <c r="F257" s="26"/>
      <c r="G257" s="26"/>
      <c r="H257" s="26"/>
      <c r="I257" s="26"/>
      <c r="J257" s="26">
        <f t="shared" si="118"/>
        <v>0</v>
      </c>
      <c r="L257" s="3" t="s">
        <v>14</v>
      </c>
      <c r="M257" s="26"/>
      <c r="N257" s="26"/>
      <c r="O257" s="26"/>
      <c r="P257" s="26"/>
      <c r="Q257" s="26"/>
      <c r="R257" s="26"/>
      <c r="S257" s="26"/>
      <c r="T257" s="26"/>
      <c r="U257" s="26">
        <f t="shared" si="119"/>
        <v>0</v>
      </c>
    </row>
    <row r="258" spans="1:21">
      <c r="A258" s="3" t="s">
        <v>15</v>
      </c>
      <c r="B258" s="26">
        <v>0</v>
      </c>
      <c r="C258" s="26">
        <v>0</v>
      </c>
      <c r="D258" s="26">
        <v>0</v>
      </c>
      <c r="E258" s="26">
        <v>0</v>
      </c>
      <c r="F258" s="26">
        <v>0</v>
      </c>
      <c r="G258" s="26">
        <v>0</v>
      </c>
      <c r="H258" s="26"/>
      <c r="I258" s="26"/>
      <c r="J258" s="26">
        <f t="shared" si="118"/>
        <v>0</v>
      </c>
      <c r="L258" s="3" t="s">
        <v>15</v>
      </c>
      <c r="M258" s="26">
        <v>0</v>
      </c>
      <c r="N258" s="26">
        <v>0</v>
      </c>
      <c r="O258" s="26">
        <v>0</v>
      </c>
      <c r="P258" s="26">
        <v>0</v>
      </c>
      <c r="Q258" s="26">
        <v>0</v>
      </c>
      <c r="R258" s="26">
        <v>0</v>
      </c>
      <c r="S258" s="26"/>
      <c r="T258" s="26"/>
      <c r="U258" s="26">
        <f t="shared" si="119"/>
        <v>0</v>
      </c>
    </row>
    <row r="259" spans="1:21">
      <c r="A259" s="3" t="s">
        <v>16</v>
      </c>
      <c r="B259" s="26">
        <f t="shared" ref="B259:G259" si="120">B256+B257-B258</f>
        <v>19</v>
      </c>
      <c r="C259" s="26">
        <f t="shared" si="120"/>
        <v>19</v>
      </c>
      <c r="D259" s="26">
        <f t="shared" si="120"/>
        <v>10</v>
      </c>
      <c r="E259" s="26">
        <f t="shared" si="120"/>
        <v>15</v>
      </c>
      <c r="F259" s="26">
        <f t="shared" si="120"/>
        <v>2</v>
      </c>
      <c r="G259" s="26">
        <f t="shared" si="120"/>
        <v>3</v>
      </c>
      <c r="H259" s="26"/>
      <c r="I259" s="26"/>
      <c r="J259" s="26">
        <f t="shared" si="118"/>
        <v>68</v>
      </c>
      <c r="L259" s="3" t="s">
        <v>16</v>
      </c>
      <c r="M259" s="26">
        <f t="shared" ref="M259:R259" si="121">M256+M257-M258</f>
        <v>19</v>
      </c>
      <c r="N259" s="26">
        <f t="shared" si="121"/>
        <v>19</v>
      </c>
      <c r="O259" s="26">
        <f t="shared" si="121"/>
        <v>10</v>
      </c>
      <c r="P259" s="26">
        <f t="shared" si="121"/>
        <v>15</v>
      </c>
      <c r="Q259" s="26">
        <f t="shared" si="121"/>
        <v>2</v>
      </c>
      <c r="R259" s="26">
        <f t="shared" si="121"/>
        <v>3</v>
      </c>
      <c r="S259" s="26"/>
      <c r="T259" s="26"/>
      <c r="U259" s="26">
        <f t="shared" si="119"/>
        <v>68</v>
      </c>
    </row>
    <row r="260" spans="1:12">
      <c r="A260" t="s">
        <v>38</v>
      </c>
      <c r="L260" t="s">
        <v>38</v>
      </c>
    </row>
    <row r="261" spans="1:21">
      <c r="A261" s="3" t="s">
        <v>13</v>
      </c>
      <c r="B261" s="26">
        <f t="shared" ref="B261:B263" si="122">J232+J238+J244+J250+J256</f>
        <v>1428</v>
      </c>
      <c r="C261" s="26"/>
      <c r="D261" s="26"/>
      <c r="E261" s="26"/>
      <c r="F261" s="26"/>
      <c r="G261" s="26"/>
      <c r="H261" s="26"/>
      <c r="I261" s="26"/>
      <c r="J261" s="26"/>
      <c r="L261" s="3" t="s">
        <v>13</v>
      </c>
      <c r="M261" s="26">
        <f t="shared" ref="M261:M263" si="123">U232+U238+U244+U250+U256</f>
        <v>1389</v>
      </c>
      <c r="N261" s="26"/>
      <c r="O261" s="26"/>
      <c r="P261" s="26"/>
      <c r="Q261" s="26"/>
      <c r="R261" s="26"/>
      <c r="S261" s="26"/>
      <c r="T261" s="26"/>
      <c r="U261" s="26"/>
    </row>
    <row r="262" spans="1:21">
      <c r="A262" s="3" t="s">
        <v>45</v>
      </c>
      <c r="B262" s="26">
        <f t="shared" si="122"/>
        <v>0</v>
      </c>
      <c r="C262" s="26"/>
      <c r="D262" s="26"/>
      <c r="E262" s="26"/>
      <c r="F262" s="26"/>
      <c r="G262" s="26"/>
      <c r="H262" s="26"/>
      <c r="I262" s="26"/>
      <c r="J262" s="26"/>
      <c r="L262" s="3" t="s">
        <v>45</v>
      </c>
      <c r="M262" s="26">
        <f t="shared" si="123"/>
        <v>0</v>
      </c>
      <c r="N262" s="26"/>
      <c r="O262" s="26"/>
      <c r="P262" s="26"/>
      <c r="Q262" s="26"/>
      <c r="R262" s="26"/>
      <c r="S262" s="26"/>
      <c r="T262" s="26"/>
      <c r="U262" s="26"/>
    </row>
    <row r="263" spans="1:21">
      <c r="A263" s="3" t="s">
        <v>46</v>
      </c>
      <c r="B263" s="26">
        <f t="shared" si="122"/>
        <v>39</v>
      </c>
      <c r="C263" s="26"/>
      <c r="D263" s="26"/>
      <c r="E263" s="26"/>
      <c r="F263" s="26"/>
      <c r="G263" s="26"/>
      <c r="H263" s="26"/>
      <c r="I263" s="26"/>
      <c r="J263" s="26"/>
      <c r="L263" s="3" t="s">
        <v>46</v>
      </c>
      <c r="M263" s="26">
        <f t="shared" si="123"/>
        <v>10</v>
      </c>
      <c r="N263" s="26"/>
      <c r="O263" s="26"/>
      <c r="P263" s="26"/>
      <c r="Q263" s="26"/>
      <c r="R263" s="26"/>
      <c r="S263" s="26"/>
      <c r="T263" s="26"/>
      <c r="U263" s="26"/>
    </row>
    <row r="264" spans="1:21">
      <c r="A264" s="3" t="s">
        <v>47</v>
      </c>
      <c r="B264" s="26">
        <f>B261+B262-B263</f>
        <v>1389</v>
      </c>
      <c r="C264" s="26"/>
      <c r="D264" s="26"/>
      <c r="E264" s="26"/>
      <c r="F264" s="26"/>
      <c r="G264" s="26"/>
      <c r="H264" s="26"/>
      <c r="I264" s="26"/>
      <c r="J264" s="26"/>
      <c r="L264" s="3" t="s">
        <v>47</v>
      </c>
      <c r="M264" s="26">
        <f>M261+M262-M263</f>
        <v>1379</v>
      </c>
      <c r="N264" s="26"/>
      <c r="O264" s="26"/>
      <c r="P264" s="26"/>
      <c r="Q264" s="26"/>
      <c r="R264" s="26"/>
      <c r="S264" s="26"/>
      <c r="T264" s="26"/>
      <c r="U264" s="26"/>
    </row>
    <row r="265" spans="1:20">
      <c r="A265" s="13" t="s">
        <v>56</v>
      </c>
      <c r="B265" s="13"/>
      <c r="C265" s="2" t="s">
        <v>57</v>
      </c>
      <c r="F265" s="2" t="s">
        <v>58</v>
      </c>
      <c r="I265" s="14" t="s">
        <v>59</v>
      </c>
      <c r="L265" s="13" t="s">
        <v>56</v>
      </c>
      <c r="M265" s="13"/>
      <c r="N265" s="2" t="s">
        <v>57</v>
      </c>
      <c r="Q265" s="2" t="s">
        <v>58</v>
      </c>
      <c r="T265" s="14" t="s">
        <v>59</v>
      </c>
    </row>
    <row r="266" ht="21" customHeight="1" spans="1:20">
      <c r="A266" s="4"/>
      <c r="B266" s="4"/>
      <c r="C266" s="4"/>
      <c r="D266" s="4"/>
      <c r="E266" s="4"/>
      <c r="F266" s="4"/>
      <c r="I266" s="4"/>
      <c r="L266" s="4"/>
      <c r="M266" s="4"/>
      <c r="N266" s="4"/>
      <c r="O266" s="4"/>
      <c r="P266" s="4"/>
      <c r="Q266" s="4"/>
      <c r="T266" s="4"/>
    </row>
    <row r="267" spans="6:18">
      <c r="F267" s="15">
        <v>44824</v>
      </c>
      <c r="G267" s="15"/>
      <c r="Q267" s="15">
        <v>44854</v>
      </c>
      <c r="R267" s="15"/>
    </row>
    <row r="269" spans="3:11">
      <c r="C269" s="1" t="s">
        <v>92</v>
      </c>
      <c r="D269" s="1"/>
      <c r="E269" s="1"/>
      <c r="F269" s="1"/>
      <c r="G269" s="1"/>
      <c r="H269" s="1"/>
      <c r="I269" s="1"/>
      <c r="J269" s="1"/>
      <c r="K269" s="1"/>
    </row>
    <row r="270" spans="2:2">
      <c r="B270" s="2" t="s">
        <v>2</v>
      </c>
    </row>
    <row r="271" ht="19.2" spans="2:11">
      <c r="B271" s="3" t="s">
        <v>3</v>
      </c>
      <c r="C271" s="3" t="s">
        <v>89</v>
      </c>
      <c r="D271" s="3" t="s">
        <v>75</v>
      </c>
      <c r="E271" s="3" t="s">
        <v>76</v>
      </c>
      <c r="F271" s="3" t="s">
        <v>77</v>
      </c>
      <c r="G271" s="3" t="s">
        <v>78</v>
      </c>
      <c r="H271" s="3" t="s">
        <v>79</v>
      </c>
      <c r="I271" s="3" t="s">
        <v>11</v>
      </c>
      <c r="J271" s="26"/>
      <c r="K271" s="3" t="s">
        <v>12</v>
      </c>
    </row>
    <row r="272" spans="2:11">
      <c r="B272" s="3" t="s">
        <v>13</v>
      </c>
      <c r="C272" s="26">
        <v>31</v>
      </c>
      <c r="D272" s="26">
        <v>38</v>
      </c>
      <c r="E272" s="26">
        <v>34</v>
      </c>
      <c r="F272" s="3">
        <v>38</v>
      </c>
      <c r="G272" s="3">
        <v>17</v>
      </c>
      <c r="H272" s="26">
        <v>16</v>
      </c>
      <c r="I272" s="26">
        <v>48</v>
      </c>
      <c r="J272" s="26">
        <v>0</v>
      </c>
      <c r="K272" s="26">
        <f t="shared" ref="K272:K275" si="124">SUM(C272:J272)</f>
        <v>222</v>
      </c>
    </row>
    <row r="273" spans="2:11">
      <c r="B273" s="3" t="s">
        <v>14</v>
      </c>
      <c r="C273" s="26"/>
      <c r="D273" s="26"/>
      <c r="E273" s="26"/>
      <c r="F273" s="26"/>
      <c r="G273" s="26"/>
      <c r="H273" s="26"/>
      <c r="I273" s="26"/>
      <c r="J273" s="26"/>
      <c r="K273" s="26">
        <f t="shared" si="124"/>
        <v>0</v>
      </c>
    </row>
    <row r="274" spans="2:11">
      <c r="B274" s="3" t="s">
        <v>15</v>
      </c>
      <c r="C274" s="26">
        <v>0</v>
      </c>
      <c r="D274" s="26">
        <v>0</v>
      </c>
      <c r="E274" s="26">
        <v>15</v>
      </c>
      <c r="F274" s="26">
        <v>0</v>
      </c>
      <c r="G274" s="26">
        <v>2</v>
      </c>
      <c r="H274" s="26">
        <v>0</v>
      </c>
      <c r="I274" s="26">
        <v>0</v>
      </c>
      <c r="J274" s="26"/>
      <c r="K274" s="26">
        <f t="shared" si="124"/>
        <v>17</v>
      </c>
    </row>
    <row r="275" spans="2:11">
      <c r="B275" s="3" t="s">
        <v>16</v>
      </c>
      <c r="C275" s="26">
        <f t="shared" ref="C275:J275" si="125">C272+C273-C274</f>
        <v>31</v>
      </c>
      <c r="D275" s="26">
        <f t="shared" si="125"/>
        <v>38</v>
      </c>
      <c r="E275" s="26">
        <f t="shared" si="125"/>
        <v>19</v>
      </c>
      <c r="F275" s="26">
        <f t="shared" si="125"/>
        <v>38</v>
      </c>
      <c r="G275" s="26">
        <f t="shared" si="125"/>
        <v>15</v>
      </c>
      <c r="H275" s="26">
        <f t="shared" si="125"/>
        <v>16</v>
      </c>
      <c r="I275" s="26">
        <f t="shared" si="125"/>
        <v>48</v>
      </c>
      <c r="J275" s="26">
        <f t="shared" si="125"/>
        <v>0</v>
      </c>
      <c r="K275" s="26">
        <f t="shared" si="124"/>
        <v>205</v>
      </c>
    </row>
    <row r="276" spans="2:3">
      <c r="B276" s="28" t="s">
        <v>17</v>
      </c>
      <c r="C276" s="28"/>
    </row>
    <row r="277" ht="19.2" spans="2:11">
      <c r="B277" s="3" t="s">
        <v>3</v>
      </c>
      <c r="C277" s="3" t="s">
        <v>80</v>
      </c>
      <c r="D277" s="3" t="s">
        <v>81</v>
      </c>
      <c r="E277" s="3"/>
      <c r="F277" s="3"/>
      <c r="G277" s="3"/>
      <c r="H277" s="26"/>
      <c r="I277" s="3"/>
      <c r="J277" s="26"/>
      <c r="K277" s="3" t="s">
        <v>12</v>
      </c>
    </row>
    <row r="278" spans="2:11">
      <c r="B278" s="3" t="s">
        <v>13</v>
      </c>
      <c r="C278" s="26">
        <v>150</v>
      </c>
      <c r="D278" s="26">
        <v>156</v>
      </c>
      <c r="E278" s="26"/>
      <c r="F278" s="26"/>
      <c r="G278" s="26"/>
      <c r="H278" s="26"/>
      <c r="I278" s="26"/>
      <c r="J278" s="26">
        <v>0</v>
      </c>
      <c r="K278" s="26">
        <f t="shared" ref="K278:K281" si="126">SUM(C278:J278)</f>
        <v>306</v>
      </c>
    </row>
    <row r="279" spans="2:11">
      <c r="B279" s="3" t="s">
        <v>14</v>
      </c>
      <c r="C279" s="26"/>
      <c r="D279" s="26"/>
      <c r="E279" s="26"/>
      <c r="F279" s="26"/>
      <c r="G279" s="26"/>
      <c r="H279" s="26"/>
      <c r="I279" s="26"/>
      <c r="J279" s="26"/>
      <c r="K279" s="26">
        <f t="shared" si="126"/>
        <v>0</v>
      </c>
    </row>
    <row r="280" spans="2:11">
      <c r="B280" s="3" t="s">
        <v>15</v>
      </c>
      <c r="C280" s="26">
        <v>3</v>
      </c>
      <c r="D280" s="26">
        <v>0</v>
      </c>
      <c r="E280" s="26"/>
      <c r="F280" s="26"/>
      <c r="G280" s="26"/>
      <c r="H280" s="26"/>
      <c r="I280" s="26"/>
      <c r="J280" s="26"/>
      <c r="K280" s="26">
        <f t="shared" si="126"/>
        <v>3</v>
      </c>
    </row>
    <row r="281" spans="2:11">
      <c r="B281" s="3" t="s">
        <v>16</v>
      </c>
      <c r="C281" s="26">
        <f t="shared" ref="C281:J281" si="127">C278+C279-C280</f>
        <v>147</v>
      </c>
      <c r="D281" s="26">
        <f t="shared" si="127"/>
        <v>156</v>
      </c>
      <c r="E281" s="26">
        <f t="shared" si="127"/>
        <v>0</v>
      </c>
      <c r="F281" s="26">
        <f t="shared" si="127"/>
        <v>0</v>
      </c>
      <c r="G281" s="26">
        <f t="shared" si="127"/>
        <v>0</v>
      </c>
      <c r="H281" s="26">
        <f t="shared" si="127"/>
        <v>0</v>
      </c>
      <c r="I281" s="26">
        <f t="shared" si="127"/>
        <v>0</v>
      </c>
      <c r="J281" s="26">
        <f t="shared" si="127"/>
        <v>0</v>
      </c>
      <c r="K281" s="26">
        <f t="shared" si="126"/>
        <v>303</v>
      </c>
    </row>
    <row r="282" spans="2:2">
      <c r="B282" s="7" t="s">
        <v>25</v>
      </c>
    </row>
    <row r="283" ht="19.2" spans="2:11">
      <c r="B283" s="3" t="s">
        <v>3</v>
      </c>
      <c r="C283" s="3" t="s">
        <v>82</v>
      </c>
      <c r="D283" s="3" t="s">
        <v>83</v>
      </c>
      <c r="E283" s="3"/>
      <c r="F283" s="3"/>
      <c r="G283" s="3"/>
      <c r="H283" s="26"/>
      <c r="I283" s="3"/>
      <c r="J283" s="26"/>
      <c r="K283" s="3" t="s">
        <v>12</v>
      </c>
    </row>
    <row r="284" spans="2:11">
      <c r="B284" s="3" t="s">
        <v>13</v>
      </c>
      <c r="C284" s="26">
        <v>137</v>
      </c>
      <c r="D284" s="26">
        <v>107</v>
      </c>
      <c r="E284" s="26"/>
      <c r="F284" s="26"/>
      <c r="G284" s="26"/>
      <c r="H284" s="26"/>
      <c r="I284" s="26"/>
      <c r="J284" s="26">
        <v>0</v>
      </c>
      <c r="K284" s="26">
        <f t="shared" ref="K284:K287" si="128">SUM(C284:J284)</f>
        <v>244</v>
      </c>
    </row>
    <row r="285" spans="2:11">
      <c r="B285" s="3" t="s">
        <v>14</v>
      </c>
      <c r="C285" s="26"/>
      <c r="D285" s="26"/>
      <c r="E285" s="26"/>
      <c r="F285" s="26"/>
      <c r="G285" s="26"/>
      <c r="H285" s="26"/>
      <c r="I285" s="26"/>
      <c r="J285" s="26"/>
      <c r="K285" s="26">
        <f t="shared" si="128"/>
        <v>0</v>
      </c>
    </row>
    <row r="286" spans="2:11">
      <c r="B286" s="3" t="s">
        <v>15</v>
      </c>
      <c r="C286" s="26">
        <v>3</v>
      </c>
      <c r="D286" s="26"/>
      <c r="E286" s="26"/>
      <c r="F286" s="26"/>
      <c r="G286" s="26"/>
      <c r="H286" s="26"/>
      <c r="I286" s="26"/>
      <c r="J286" s="26"/>
      <c r="K286" s="26">
        <f t="shared" si="128"/>
        <v>3</v>
      </c>
    </row>
    <row r="287" spans="2:11">
      <c r="B287" s="3" t="s">
        <v>16</v>
      </c>
      <c r="C287" s="26">
        <f t="shared" ref="C287:J287" si="129">C284+C285-C286</f>
        <v>134</v>
      </c>
      <c r="D287" s="26">
        <f t="shared" si="129"/>
        <v>107</v>
      </c>
      <c r="E287" s="26">
        <f t="shared" si="129"/>
        <v>0</v>
      </c>
      <c r="F287" s="26">
        <f t="shared" si="129"/>
        <v>0</v>
      </c>
      <c r="G287" s="26">
        <f t="shared" si="129"/>
        <v>0</v>
      </c>
      <c r="H287" s="26">
        <f t="shared" si="129"/>
        <v>0</v>
      </c>
      <c r="I287" s="26">
        <f t="shared" si="129"/>
        <v>0</v>
      </c>
      <c r="J287" s="26">
        <f t="shared" si="129"/>
        <v>0</v>
      </c>
      <c r="K287" s="26">
        <f t="shared" si="128"/>
        <v>241</v>
      </c>
    </row>
    <row r="288" spans="2:2">
      <c r="B288" s="7" t="s">
        <v>33</v>
      </c>
    </row>
    <row r="289" ht="19.2" spans="2:11">
      <c r="B289" s="3" t="s">
        <v>3</v>
      </c>
      <c r="C289" s="3" t="s">
        <v>84</v>
      </c>
      <c r="D289" s="3" t="s">
        <v>85</v>
      </c>
      <c r="E289" s="29" t="s">
        <v>86</v>
      </c>
      <c r="F289" s="29"/>
      <c r="G289" s="26"/>
      <c r="H289" s="26"/>
      <c r="I289" s="3"/>
      <c r="J289" s="26"/>
      <c r="K289" s="3" t="s">
        <v>12</v>
      </c>
    </row>
    <row r="290" spans="2:11">
      <c r="B290" s="3" t="s">
        <v>13</v>
      </c>
      <c r="C290" s="3">
        <v>86</v>
      </c>
      <c r="D290" s="9">
        <v>26</v>
      </c>
      <c r="E290" s="9">
        <v>427</v>
      </c>
      <c r="F290" s="26"/>
      <c r="G290" s="26"/>
      <c r="H290" s="26"/>
      <c r="I290" s="26"/>
      <c r="J290" s="26"/>
      <c r="K290" s="26">
        <f t="shared" ref="K290:K293" si="130">SUM(C290:J290)</f>
        <v>539</v>
      </c>
    </row>
    <row r="291" spans="2:11">
      <c r="B291" s="3" t="s">
        <v>14</v>
      </c>
      <c r="C291" s="26"/>
      <c r="D291" s="26"/>
      <c r="E291" s="26"/>
      <c r="F291" s="26"/>
      <c r="G291" s="26"/>
      <c r="H291" s="26"/>
      <c r="I291" s="26"/>
      <c r="J291" s="26"/>
      <c r="K291" s="26">
        <f t="shared" si="130"/>
        <v>0</v>
      </c>
    </row>
    <row r="292" spans="2:11">
      <c r="B292" s="3" t="s">
        <v>15</v>
      </c>
      <c r="C292" s="26">
        <v>0</v>
      </c>
      <c r="D292" s="26">
        <v>0</v>
      </c>
      <c r="E292" s="26">
        <v>0</v>
      </c>
      <c r="F292" s="26"/>
      <c r="G292" s="26"/>
      <c r="H292" s="26"/>
      <c r="I292" s="26"/>
      <c r="J292" s="26"/>
      <c r="K292" s="26">
        <f t="shared" si="130"/>
        <v>0</v>
      </c>
    </row>
    <row r="293" spans="2:11">
      <c r="B293" s="3" t="s">
        <v>16</v>
      </c>
      <c r="C293" s="26">
        <f>C290+C291-C292</f>
        <v>86</v>
      </c>
      <c r="D293" s="26">
        <f>D290+D291-D292</f>
        <v>26</v>
      </c>
      <c r="E293" s="26">
        <f>E290+E291-E292</f>
        <v>427</v>
      </c>
      <c r="F293" s="26"/>
      <c r="G293" s="26"/>
      <c r="H293" s="26"/>
      <c r="I293" s="26"/>
      <c r="J293" s="26"/>
      <c r="K293" s="26">
        <f t="shared" si="130"/>
        <v>539</v>
      </c>
    </row>
    <row r="294" spans="2:2">
      <c r="B294" t="s">
        <v>65</v>
      </c>
    </row>
    <row r="295" spans="2:11">
      <c r="B295" s="3" t="s">
        <v>3</v>
      </c>
      <c r="C295" s="3" t="s">
        <v>23</v>
      </c>
      <c r="D295" s="3" t="s">
        <v>24</v>
      </c>
      <c r="E295" s="3" t="s">
        <v>31</v>
      </c>
      <c r="F295" s="3" t="s">
        <v>32</v>
      </c>
      <c r="G295" s="3" t="s">
        <v>36</v>
      </c>
      <c r="H295" s="3" t="s">
        <v>37</v>
      </c>
      <c r="I295" s="3"/>
      <c r="J295" s="26"/>
      <c r="K295" s="3" t="s">
        <v>12</v>
      </c>
    </row>
    <row r="296" spans="2:11">
      <c r="B296" s="3" t="s">
        <v>13</v>
      </c>
      <c r="C296" s="26">
        <v>19</v>
      </c>
      <c r="D296" s="26">
        <v>19</v>
      </c>
      <c r="E296" s="26">
        <v>10</v>
      </c>
      <c r="F296" s="26">
        <v>15</v>
      </c>
      <c r="G296" s="26">
        <v>2</v>
      </c>
      <c r="H296" s="26">
        <v>3</v>
      </c>
      <c r="I296" s="26"/>
      <c r="J296" s="26"/>
      <c r="K296" s="26">
        <f t="shared" ref="K296:K299" si="131">SUM(C296:J296)</f>
        <v>68</v>
      </c>
    </row>
    <row r="297" spans="2:11">
      <c r="B297" s="3" t="s">
        <v>14</v>
      </c>
      <c r="C297" s="26"/>
      <c r="D297" s="26"/>
      <c r="E297" s="26"/>
      <c r="F297" s="26"/>
      <c r="G297" s="26"/>
      <c r="H297" s="26"/>
      <c r="I297" s="26"/>
      <c r="J297" s="26"/>
      <c r="K297" s="26">
        <f t="shared" si="131"/>
        <v>0</v>
      </c>
    </row>
    <row r="298" spans="2:11">
      <c r="B298" s="3" t="s">
        <v>15</v>
      </c>
      <c r="C298" s="26">
        <v>0</v>
      </c>
      <c r="D298" s="26">
        <v>0</v>
      </c>
      <c r="E298" s="26">
        <v>0</v>
      </c>
      <c r="F298" s="26">
        <v>0</v>
      </c>
      <c r="G298" s="26">
        <v>0</v>
      </c>
      <c r="H298" s="26">
        <v>0</v>
      </c>
      <c r="I298" s="26"/>
      <c r="J298" s="26"/>
      <c r="K298" s="26">
        <f t="shared" si="131"/>
        <v>0</v>
      </c>
    </row>
    <row r="299" spans="2:11">
      <c r="B299" s="3" t="s">
        <v>16</v>
      </c>
      <c r="C299" s="26">
        <f t="shared" ref="C299:H299" si="132">C296+C297-C298</f>
        <v>19</v>
      </c>
      <c r="D299" s="26">
        <f t="shared" si="132"/>
        <v>19</v>
      </c>
      <c r="E299" s="26">
        <f t="shared" si="132"/>
        <v>10</v>
      </c>
      <c r="F299" s="26">
        <f t="shared" si="132"/>
        <v>15</v>
      </c>
      <c r="G299" s="26">
        <f t="shared" si="132"/>
        <v>2</v>
      </c>
      <c r="H299" s="26">
        <f t="shared" si="132"/>
        <v>3</v>
      </c>
      <c r="I299" s="26"/>
      <c r="J299" s="26"/>
      <c r="K299" s="26">
        <f t="shared" si="131"/>
        <v>68</v>
      </c>
    </row>
    <row r="300" spans="2:2">
      <c r="B300" t="s">
        <v>38</v>
      </c>
    </row>
    <row r="301" spans="2:11">
      <c r="B301" s="3" t="s">
        <v>13</v>
      </c>
      <c r="C301" s="26">
        <f t="shared" ref="C301:C303" si="133">K272+K278+K284+K290+K296</f>
        <v>1379</v>
      </c>
      <c r="D301" s="26"/>
      <c r="E301" s="26"/>
      <c r="F301" s="26"/>
      <c r="G301" s="26"/>
      <c r="H301" s="26"/>
      <c r="I301" s="26"/>
      <c r="J301" s="26"/>
      <c r="K301" s="26"/>
    </row>
    <row r="302" spans="2:11">
      <c r="B302" s="3" t="s">
        <v>45</v>
      </c>
      <c r="C302" s="26">
        <f t="shared" si="133"/>
        <v>0</v>
      </c>
      <c r="D302" s="26"/>
      <c r="E302" s="26"/>
      <c r="F302" s="26"/>
      <c r="G302" s="26"/>
      <c r="H302" s="26"/>
      <c r="I302" s="26"/>
      <c r="J302" s="26"/>
      <c r="K302" s="26"/>
    </row>
    <row r="303" spans="2:11">
      <c r="B303" s="3" t="s">
        <v>46</v>
      </c>
      <c r="C303" s="26">
        <f t="shared" si="133"/>
        <v>23</v>
      </c>
      <c r="D303" s="26"/>
      <c r="E303" s="26"/>
      <c r="F303" s="26"/>
      <c r="G303" s="26"/>
      <c r="H303" s="26"/>
      <c r="I303" s="26"/>
      <c r="J303" s="26"/>
      <c r="K303" s="26"/>
    </row>
    <row r="304" spans="2:11">
      <c r="B304" s="3" t="s">
        <v>47</v>
      </c>
      <c r="C304" s="26">
        <f>C301+C302-C303</f>
        <v>1356</v>
      </c>
      <c r="D304" s="26"/>
      <c r="E304" s="26"/>
      <c r="F304" s="26"/>
      <c r="G304" s="26"/>
      <c r="H304" s="26"/>
      <c r="I304" s="26"/>
      <c r="J304" s="26"/>
      <c r="K304" s="26"/>
    </row>
    <row r="305" spans="2:10">
      <c r="B305" s="13" t="s">
        <v>56</v>
      </c>
      <c r="C305" s="13"/>
      <c r="D305" s="2" t="s">
        <v>57</v>
      </c>
      <c r="G305" s="2" t="s">
        <v>58</v>
      </c>
      <c r="J305" s="14" t="s">
        <v>59</v>
      </c>
    </row>
    <row r="306" spans="2:10">
      <c r="B306" s="4"/>
      <c r="C306" s="4"/>
      <c r="D306" s="4"/>
      <c r="E306" s="4"/>
      <c r="F306" s="4"/>
      <c r="G306" s="4"/>
      <c r="J306" s="4"/>
    </row>
    <row r="307" spans="7:8">
      <c r="G307" s="15">
        <v>44885</v>
      </c>
      <c r="H307" s="15"/>
    </row>
  </sheetData>
  <mergeCells count="54">
    <mergeCell ref="A1:I1"/>
    <mergeCell ref="L1:T1"/>
    <mergeCell ref="B8:C8"/>
    <mergeCell ref="M8:N8"/>
    <mergeCell ref="G38:H38"/>
    <mergeCell ref="R38:S38"/>
    <mergeCell ref="A39:F39"/>
    <mergeCell ref="L39:Q39"/>
    <mergeCell ref="D48:E48"/>
    <mergeCell ref="O48:P48"/>
    <mergeCell ref="A51:I51"/>
    <mergeCell ref="L51:T51"/>
    <mergeCell ref="B58:C58"/>
    <mergeCell ref="L58:M58"/>
    <mergeCell ref="G88:H88"/>
    <mergeCell ref="A89:F89"/>
    <mergeCell ref="Q89:R89"/>
    <mergeCell ref="L90:Q90"/>
    <mergeCell ref="D98:E98"/>
    <mergeCell ref="O98:P98"/>
    <mergeCell ref="A101:I101"/>
    <mergeCell ref="L101:T101"/>
    <mergeCell ref="A108:B108"/>
    <mergeCell ref="L108:M108"/>
    <mergeCell ref="F139:G139"/>
    <mergeCell ref="Q139:R139"/>
    <mergeCell ref="A140:F140"/>
    <mergeCell ref="L140:Q140"/>
    <mergeCell ref="D148:E148"/>
    <mergeCell ref="O148:P148"/>
    <mergeCell ref="A150:I150"/>
    <mergeCell ref="M150:U150"/>
    <mergeCell ref="X150:AF150"/>
    <mergeCell ref="A157:B157"/>
    <mergeCell ref="L157:M157"/>
    <mergeCell ref="W157:X157"/>
    <mergeCell ref="F188:G188"/>
    <mergeCell ref="Q188:R188"/>
    <mergeCell ref="AB188:AC188"/>
    <mergeCell ref="B189:J189"/>
    <mergeCell ref="M189:U189"/>
    <mergeCell ref="A196:B196"/>
    <mergeCell ref="L196:M196"/>
    <mergeCell ref="F227:G227"/>
    <mergeCell ref="Q227:R227"/>
    <mergeCell ref="B229:J229"/>
    <mergeCell ref="M229:U229"/>
    <mergeCell ref="A236:B236"/>
    <mergeCell ref="L236:M236"/>
    <mergeCell ref="F267:G267"/>
    <mergeCell ref="Q267:R267"/>
    <mergeCell ref="C269:K269"/>
    <mergeCell ref="B276:C276"/>
    <mergeCell ref="G307:H307"/>
  </mergeCells>
  <pageMargins left="0.75" right="0.75" top="1" bottom="1" header="0.5" footer="0.5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WWW.YlmF.CoM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DELL</cp:lastModifiedBy>
  <dcterms:created xsi:type="dcterms:W3CDTF">2014-06-02T22:12:00Z</dcterms:created>
  <cp:lastPrinted>2020-11-02T00:32:00Z</cp:lastPrinted>
  <dcterms:modified xsi:type="dcterms:W3CDTF">2022-11-19T00:05:33Z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2052-11.1.0.12598</vt:lpwstr>
  </property>
  <property fmtid="{D5CDD505-2E9C-101B-9397-08002B2CF9AE}" pid="3" name="ICV">
    <vt:lpwstr>4C8EEB9FA48B47E08545589A63A0F508</vt:lpwstr>
  </property>
</Properties>
</file>