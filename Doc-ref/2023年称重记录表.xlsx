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4"/>
  </bookViews>
  <sheets>
    <sheet name="Sheet1" sheetId="1" r:id="rId1"/>
    <sheet name="西杂" sheetId="4" r:id="rId2"/>
    <sheet name="安格斯" sheetId="2" r:id="rId3"/>
    <sheet name="三景" sheetId="5" r:id="rId4"/>
    <sheet name="三景 (2)" sheetId="6" r:id="rId5"/>
    <sheet name="三景 (3)试验" sheetId="7" r:id="rId6"/>
    <sheet name="Sheet3" sheetId="3" r:id="rId7"/>
  </sheets>
  <calcPr calcId="144525"/>
</workbook>
</file>

<file path=xl/comments1.xml><?xml version="1.0" encoding="utf-8"?>
<comments xmlns="http://schemas.openxmlformats.org/spreadsheetml/2006/main">
  <authors>
    <author>个人用户</author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饲养头天=当月存栏数*实际饲养日。
自然月默认30天/月</t>
        </r>
      </text>
    </comment>
    <comment ref="AZ3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牛群增重年均计算公式：
牛群年平均增重=（期末称重+期间出售总重-期初称重）/期间总饲养头.天
例：（10月20日称重+1月20日-10月20日出售称重）/1月20日-10月20日总饲养头.天</t>
        </r>
      </text>
    </comment>
    <comment ref="AZ4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</t>
        </r>
        <r>
          <rPr>
            <b/>
            <sz val="11"/>
            <rFont val="宋体"/>
            <charset val="134"/>
          </rPr>
          <t>黄育肥公牛不在考核范围内牛群，所以不做增重统计</t>
        </r>
        <r>
          <rPr>
            <sz val="9"/>
            <rFont val="宋体"/>
            <charset val="134"/>
          </rPr>
          <t>；</t>
        </r>
      </text>
    </comment>
    <comment ref="A5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2022.5.31日新增转群黄公牛育肥牛群38头</t>
        </r>
      </text>
    </comment>
    <comment ref="T5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本批次黄育肥牛是2021下半年出生，2022年5月31日转群，共38头；</t>
        </r>
      </text>
    </comment>
    <comment ref="Y5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本批次黄育肥公牛自2022年5月31日转群38头，5月31日-6月20日按照20个饲养日计算=38*20</t>
        </r>
      </text>
    </comment>
    <comment ref="AZ5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</t>
        </r>
        <r>
          <rPr>
            <b/>
            <sz val="12"/>
            <rFont val="宋体"/>
            <charset val="134"/>
          </rPr>
          <t>黄育肥公牛不在考核范围内牛群，所以不做增重统计</t>
        </r>
      </text>
    </comment>
    <comment ref="J6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实际称重36头。隔离栏有一头按照群体平均数计算</t>
        </r>
      </text>
    </comment>
    <comment ref="N6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实际称重36头，隔离栏一头按照群体平均数计算</t>
        </r>
      </text>
    </comment>
    <comment ref="AJ6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2022.8.24因死亡做保险西杂公牛一头（X2103)，总重量600kg;
2022.9.12出售2020-2021年出生自繁西杂公牛两头(X2045.X2107)，总重量1257kg
2022.9.14出售2020-2021年出生自繁西杂公牛一头(X2059)，总重600kg；
</t>
        </r>
      </text>
    </comment>
    <comment ref="AM6" authorId="0">
      <text>
        <r>
          <rPr>
            <b/>
            <sz val="10"/>
            <rFont val="宋体"/>
            <charset val="134"/>
          </rPr>
          <t>个人用户:</t>
        </r>
        <r>
          <rPr>
            <sz val="10"/>
            <rFont val="宋体"/>
            <charset val="134"/>
          </rPr>
          <t xml:space="preserve">
2022.8.20-9.20期间因出售个体大的牛只，剩下都是个体相对较小的，同时因期间外界气温与多次驱赶引起牛群应激反应，所以期间的增重有所减缓，但整体自2022年1月-9月的增重仍然达标。</t>
        </r>
      </text>
    </comment>
    <comment ref="AN6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2022.9.29出售两头（X2039、X2119）总重966kg</t>
        </r>
      </text>
    </comment>
    <comment ref="AV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2022.12.11屠宰场4头，总重2780kg
2022.12.16拉去屠宰场5头3370kg</t>
        </r>
      </text>
    </comment>
    <comment ref="A8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2022.5.31新增转群西杂公牛育肥牛群38头。</t>
        </r>
      </text>
    </comment>
    <comment ref="T8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本批次是2021下半年出生的西杂公牛，2022年5月31日转群，共38头；</t>
        </r>
      </text>
    </comment>
    <comment ref="Y8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本批次西杂公牛自2022年5月31日转群38头，5月31日-6月20日按照20个饲养日计算=38*20</t>
        </r>
      </text>
    </comment>
    <comment ref="L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3.9日出售1头，750kg</t>
        </r>
      </text>
    </comment>
    <comment ref="M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22头30天饲养日+1头*19日</t>
        </r>
      </text>
    </comment>
    <comment ref="N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期末总重量=群体称重+期间出售牛只重量</t>
        </r>
      </text>
    </comment>
    <comment ref="O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期间日均增重=（期末总重-期初总重）/群体饲养头天</t>
        </r>
      </text>
    </comment>
    <comment ref="P9" authorId="0">
      <text>
        <r>
          <rPr>
            <b/>
            <sz val="9"/>
            <rFont val="宋体"/>
            <charset val="134"/>
          </rPr>
          <t>4月7日出售1头，重量750kg</t>
        </r>
      </text>
    </comment>
    <comment ref="R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月末称重+出售牛重量</t>
        </r>
      </text>
    </comment>
    <comment ref="T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4月26日出售1头750kg.
4月28日1头转公牛转群母牛，300kg</t>
        </r>
      </text>
    </comment>
    <comment ref="AB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2022.7.13出售一头（A2035）体重
800kg</t>
        </r>
      </text>
    </comment>
    <comment ref="AN9" authorId="0">
      <text>
        <r>
          <rPr>
            <b/>
            <sz val="9"/>
            <rFont val="宋体"/>
            <charset val="134"/>
          </rPr>
          <t>个人用户:
2022.10.10出售一头（A09），总重880kg</t>
        </r>
      </text>
    </comment>
    <comment ref="AR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2022.11.01出售两头，总重1530kg。</t>
        </r>
      </text>
    </comment>
    <comment ref="AZ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年度增重计算公式：年度总增重 = （期末称重 + 期间出售总重 - 期初称重）/ 期间总饲养头.天</t>
        </r>
      </text>
    </comment>
    <comment ref="A11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2022.5.31新增转群安格斯公牛育肥牛群17头。</t>
        </r>
      </text>
    </comment>
    <comment ref="Y11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本批次安格斯公牛自2022年5月31日转群17头，5月31日-6月20日按照20个饲养日计算=17*20</t>
        </r>
      </text>
    </comment>
    <comment ref="AF11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2022.8.10因热射病安格斯公牛A2111死亡/无害化处理，体重360kg</t>
        </r>
      </text>
    </comment>
    <comment ref="L13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3月16日出售39头，总重23700</t>
        </r>
      </text>
    </comment>
    <comment ref="P13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4月10日出售1头550kg；
4月14日出售26头，15900kg；
4月15日出售25头，15150kg
4月15日淘汰1头，400kg;</t>
        </r>
      </text>
    </comment>
    <comment ref="AZ13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外购西杂育肥公牛群在3月16日出售部分牛群之后，因牛群数量减少，出于生产管理需要，将三景和本部外购牛群合并饲养，所以在此不再将三景和本部外购育肥牛群分开计算。</t>
        </r>
      </text>
    </comment>
    <comment ref="H15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1月24出售4头，2550kg；
1月26出售1头675kg
1月28日胀气屠宰1头445kg</t>
        </r>
      </text>
    </comment>
    <comment ref="AB17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2022.7.13出售一头，体重600kg</t>
        </r>
      </text>
    </comment>
    <comment ref="AF17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2022.8.5出售一头，750kg</t>
        </r>
      </text>
    </comment>
    <comment ref="AJ17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2022.9.05出售富翔公牛十头，总重6400kg；
2022.9.07出售富翔公牛五头，总重3200kg；
2022.9.08出售富翔公牛一头，总重650kg；
2022.9.09出售富翔公牛七头，总重4100kg；
2022.9.12出售富翔公牛五头，总重3143kg；
2022.9.14出售富翔公牛六头，总重3600kg；
8.20-9.20期间出售34头总重量：21093kg；</t>
        </r>
      </text>
    </comment>
    <comment ref="AM17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同上，外购牛群因外界气温和多次驱赶牛群引起应激反应导致增重减缓，同时，因为外购牛群的出售时间跨度较大，不是整进整出，每次出售都是挑大个体，剩下的基本上都是生产性能稍差的牛只，所以8.20-9.20期间的增重较其他期间出现较大的区别。但请看1.20-9.20之间牛群整体增重仍然达标。</t>
        </r>
      </text>
    </comment>
    <comment ref="AN17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2022.9.29出售两头，总重1250kg
2022.10.05出售一头，总重483kg
</t>
        </r>
      </text>
    </comment>
  </commentList>
</comments>
</file>

<file path=xl/sharedStrings.xml><?xml version="1.0" encoding="utf-8"?>
<sst xmlns="http://schemas.openxmlformats.org/spreadsheetml/2006/main" count="287" uniqueCount="142">
  <si>
    <t>2022年育肥牛称重统计表</t>
  </si>
  <si>
    <t>存货名称</t>
  </si>
  <si>
    <t>年度增重总计</t>
  </si>
  <si>
    <t>分类</t>
  </si>
  <si>
    <t>数量（头）</t>
  </si>
  <si>
    <t>饲养头天（头/天）</t>
  </si>
  <si>
    <t>重量（KG）</t>
  </si>
  <si>
    <t>头均日增重（kg）</t>
  </si>
  <si>
    <t>数量  （头）</t>
  </si>
  <si>
    <t>重量 （KG）</t>
  </si>
  <si>
    <t>1.20-12.20期间平均增重（kg/头.天)</t>
  </si>
  <si>
    <t>自繁黄牛</t>
  </si>
  <si>
    <t>黄育肥牛</t>
  </si>
  <si>
    <t>黄育肥牛3-45头</t>
  </si>
  <si>
    <t>黄育肥牛      （2021下半年）</t>
  </si>
  <si>
    <t>自繁西杂</t>
  </si>
  <si>
    <t xml:space="preserve">   西杂育肥牛  （2020-2021上半年）</t>
  </si>
  <si>
    <t>2020.2021年自繁西杂公牛</t>
  </si>
  <si>
    <t>期末实际存栏重*</t>
  </si>
  <si>
    <t xml:space="preserve">   西杂育肥牛  （2021下半年）</t>
  </si>
  <si>
    <t>安格斯</t>
  </si>
  <si>
    <t>安格斯育肥牛</t>
  </si>
  <si>
    <t>自产安格斯公牛</t>
  </si>
  <si>
    <t>自繁安格斯</t>
  </si>
  <si>
    <t>安格斯育肥牛   （2021下半年）</t>
  </si>
  <si>
    <t>本部       （富翔+圣喜）</t>
  </si>
  <si>
    <t>本部（富翔+圣喜）</t>
  </si>
  <si>
    <t>外购育肥牛</t>
  </si>
  <si>
    <t>三景       （富翔+圣喜）</t>
  </si>
  <si>
    <t>三景（富翔+圣喜）</t>
  </si>
  <si>
    <t>外购育肥牛第2批</t>
  </si>
  <si>
    <t>外购合并</t>
  </si>
  <si>
    <t>外购西杂合并（本部+三景）</t>
  </si>
  <si>
    <t>合计</t>
  </si>
  <si>
    <t xml:space="preserve">         场长：</t>
  </si>
  <si>
    <t xml:space="preserve">                      </t>
  </si>
  <si>
    <t>副场长：</t>
  </si>
  <si>
    <t>制表人：</t>
  </si>
  <si>
    <t xml:space="preserve"> </t>
  </si>
  <si>
    <t>称重记录表</t>
  </si>
  <si>
    <t>西杂</t>
  </si>
  <si>
    <t>月份</t>
  </si>
  <si>
    <t>1月</t>
  </si>
  <si>
    <t>饲养天数</t>
  </si>
  <si>
    <t>4月   日</t>
  </si>
  <si>
    <t>牛号</t>
  </si>
  <si>
    <t>月初体重</t>
  </si>
  <si>
    <t>月末体重</t>
  </si>
  <si>
    <t>月增重</t>
  </si>
  <si>
    <t>日增重</t>
  </si>
  <si>
    <t>X0001</t>
  </si>
  <si>
    <t>X0002黄</t>
  </si>
  <si>
    <t>X0002灰</t>
  </si>
  <si>
    <t>X0003</t>
  </si>
  <si>
    <t>X0004</t>
  </si>
  <si>
    <t>X0005</t>
  </si>
  <si>
    <t>X0006</t>
  </si>
  <si>
    <t>X0008</t>
  </si>
  <si>
    <t>X0009</t>
  </si>
  <si>
    <t>X0010</t>
  </si>
  <si>
    <t>X0012</t>
  </si>
  <si>
    <t>X0013</t>
  </si>
  <si>
    <t>X0014</t>
  </si>
  <si>
    <t>X0015</t>
  </si>
  <si>
    <t>X0016</t>
  </si>
  <si>
    <t>X0017</t>
  </si>
  <si>
    <t>X0018</t>
  </si>
  <si>
    <t>X0019僵</t>
  </si>
  <si>
    <t>X1001</t>
  </si>
  <si>
    <t>X1003</t>
  </si>
  <si>
    <t>X1005</t>
  </si>
  <si>
    <t>X1007</t>
  </si>
  <si>
    <t>X1009</t>
  </si>
  <si>
    <t>X1013</t>
  </si>
  <si>
    <t>X1014</t>
  </si>
  <si>
    <t>X1015</t>
  </si>
  <si>
    <t>X1017</t>
  </si>
  <si>
    <t>X1019</t>
  </si>
  <si>
    <t>X1021</t>
  </si>
  <si>
    <t>X1023</t>
  </si>
  <si>
    <t>X1027</t>
  </si>
  <si>
    <t>X1029</t>
  </si>
  <si>
    <t>X1035</t>
  </si>
  <si>
    <t>X1037</t>
  </si>
  <si>
    <t>X1039</t>
  </si>
  <si>
    <t>X1041</t>
  </si>
  <si>
    <t>X1043</t>
  </si>
  <si>
    <t>X1045</t>
  </si>
  <si>
    <t>X1047</t>
  </si>
  <si>
    <t>X1049</t>
  </si>
  <si>
    <t>X2155</t>
  </si>
  <si>
    <t>X2157</t>
  </si>
  <si>
    <t>X2159</t>
  </si>
  <si>
    <t>X2167</t>
  </si>
  <si>
    <t>X2177</t>
  </si>
  <si>
    <t>X2179</t>
  </si>
  <si>
    <t>X2181</t>
  </si>
  <si>
    <t>X2183</t>
  </si>
  <si>
    <t>X2187</t>
  </si>
  <si>
    <t>X2191</t>
  </si>
  <si>
    <t>X2193</t>
  </si>
  <si>
    <t>X2195</t>
  </si>
  <si>
    <t>X2197</t>
  </si>
  <si>
    <t>X2199</t>
  </si>
  <si>
    <t>总重</t>
  </si>
  <si>
    <t>均重</t>
  </si>
  <si>
    <t>4月  4 日</t>
  </si>
  <si>
    <t>A0001</t>
  </si>
  <si>
    <t>A0002</t>
  </si>
  <si>
    <t>A0003</t>
  </si>
  <si>
    <t>A0004</t>
  </si>
  <si>
    <t>A0006</t>
  </si>
  <si>
    <t>A2029</t>
  </si>
  <si>
    <t>A2031</t>
  </si>
  <si>
    <t>A2043</t>
  </si>
  <si>
    <t>A2105</t>
  </si>
  <si>
    <t>A2107</t>
  </si>
  <si>
    <t>A2109</t>
  </si>
  <si>
    <t>A2113</t>
  </si>
  <si>
    <t>A2117</t>
  </si>
  <si>
    <t>A2119</t>
  </si>
  <si>
    <t>A2121</t>
  </si>
  <si>
    <t>A2123</t>
  </si>
  <si>
    <t>A2125</t>
  </si>
  <si>
    <t>A2127</t>
  </si>
  <si>
    <t>A2129</t>
  </si>
  <si>
    <t>A2131</t>
  </si>
  <si>
    <t>A2133</t>
  </si>
  <si>
    <t>A2135</t>
  </si>
  <si>
    <t>A2137</t>
  </si>
  <si>
    <t>A2138</t>
  </si>
  <si>
    <t>X7仔</t>
  </si>
  <si>
    <t>奶公牛</t>
  </si>
  <si>
    <t>5月 20 日</t>
  </si>
  <si>
    <t>A</t>
  </si>
  <si>
    <t>B23608</t>
  </si>
  <si>
    <t>C23101</t>
  </si>
  <si>
    <t>D1110</t>
  </si>
  <si>
    <t>E21391</t>
  </si>
  <si>
    <t>头数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</si>
  <si>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53天</t>
    </r>
  </si>
  <si>
    <t>7-21.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</si>
</sst>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"/>
    <numFmt numFmtId="178" formatCode="0_ "/>
  </numFmts>
  <fonts count="3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1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1" fillId="16" borderId="12" applyNumberFormat="0" applyAlignment="0" applyProtection="0">
      <alignment vertical="center"/>
    </xf>
    <xf numFmtId="0" fontId="22" fillId="16" borderId="8" applyNumberFormat="0" applyAlignment="0" applyProtection="0">
      <alignment vertical="center"/>
    </xf>
    <xf numFmtId="0" fontId="23" fillId="17" borderId="1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8" fillId="0" borderId="0"/>
  </cellStyleXfs>
  <cellXfs count="119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58" fontId="0" fillId="0" borderId="1" xfId="0" applyNumberFormat="1" applyBorder="1" applyAlignment="1">
      <alignment vertical="center"/>
    </xf>
    <xf numFmtId="0" fontId="0" fillId="0" borderId="1" xfId="0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>
      <alignment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58" fontId="0" fillId="0" borderId="1" xfId="0" applyNumberFormat="1" applyBorder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3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4" fillId="4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0" fillId="0" borderId="7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77" fontId="0" fillId="0" borderId="0" xfId="0" applyNumberFormat="1">
      <alignment vertical="center"/>
    </xf>
    <xf numFmtId="58" fontId="0" fillId="0" borderId="3" xfId="0" applyNumberFormat="1" applyBorder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58" fontId="0" fillId="3" borderId="3" xfId="0" applyNumberFormat="1" applyFill="1" applyBorder="1" applyAlignment="1">
      <alignment horizontal="center" vertical="center"/>
    </xf>
    <xf numFmtId="58" fontId="0" fillId="6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58" fontId="0" fillId="6" borderId="3" xfId="0" applyNumberFormat="1" applyFill="1" applyBorder="1" applyAlignment="1">
      <alignment horizontal="center" vertical="center"/>
    </xf>
    <xf numFmtId="58" fontId="0" fillId="6" borderId="4" xfId="0" applyNumberFormat="1" applyFill="1" applyBorder="1" applyAlignment="1">
      <alignment horizontal="center" vertical="center"/>
    </xf>
    <xf numFmtId="58" fontId="0" fillId="3" borderId="4" xfId="0" applyNumberForma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>
      <alignment vertical="center"/>
    </xf>
    <xf numFmtId="0" fontId="0" fillId="0" borderId="7" xfId="0" applyBorder="1" applyAlignment="1">
      <alignment vertical="center"/>
    </xf>
    <xf numFmtId="1" fontId="0" fillId="0" borderId="0" xfId="0" applyNumberFormat="1">
      <alignment vertical="center"/>
    </xf>
    <xf numFmtId="1" fontId="0" fillId="3" borderId="0" xfId="0" applyNumberFormat="1" applyFill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78" fontId="0" fillId="4" borderId="1" xfId="0" applyNumberFormat="1" applyFill="1" applyBorder="1">
      <alignment vertical="center"/>
    </xf>
    <xf numFmtId="178" fontId="4" fillId="6" borderId="1" xfId="0" applyNumberFormat="1" applyFont="1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4" fillId="5" borderId="1" xfId="0" applyNumberFormat="1" applyFont="1" applyFill="1" applyBorder="1">
      <alignment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>
      <alignment vertical="center"/>
    </xf>
    <xf numFmtId="2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3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J22" sqref="J22"/>
    </sheetView>
  </sheetViews>
  <sheetFormatPr defaultColWidth="9" defaultRowHeight="13.5"/>
  <cols>
    <col min="1" max="1" width="11.125" customWidth="1"/>
    <col min="2" max="2" width="21.375" customWidth="1"/>
    <col min="3" max="3" width="0.125" customWidth="1"/>
    <col min="4" max="4" width="7.125" hidden="1" customWidth="1"/>
    <col min="5" max="5" width="10.875" customWidth="1"/>
    <col min="6" max="6" width="7.25" customWidth="1"/>
    <col min="7" max="7" width="9.125" customWidth="1"/>
    <col min="8" max="8" width="7.125" customWidth="1"/>
    <col min="9" max="9" width="10" customWidth="1"/>
    <col min="10" max="10" width="7.375" customWidth="1"/>
    <col min="11" max="11" width="9.125" customWidth="1"/>
    <col min="12" max="12" width="7.125" customWidth="1"/>
    <col min="13" max="13" width="10" customWidth="1"/>
    <col min="14" max="14" width="7.375" customWidth="1"/>
    <col min="15" max="15" width="9.125" customWidth="1"/>
    <col min="16" max="16" width="7.125" customWidth="1"/>
    <col min="17" max="17" width="10" customWidth="1"/>
    <col min="18" max="18" width="7.375" customWidth="1"/>
    <col min="19" max="19" width="9.125" customWidth="1"/>
    <col min="20" max="20" width="7.125" customWidth="1"/>
    <col min="21" max="21" width="10" customWidth="1"/>
    <col min="22" max="22" width="7.375" customWidth="1"/>
    <col min="23" max="23" width="9.125" customWidth="1"/>
    <col min="24" max="24" width="7.125" customWidth="1"/>
    <col min="25" max="25" width="10" customWidth="1"/>
    <col min="26" max="26" width="7.25" customWidth="1"/>
    <col min="27" max="27" width="9.125" customWidth="1"/>
    <col min="28" max="28" width="6.375" customWidth="1"/>
    <col min="29" max="29" width="9.5" customWidth="1"/>
    <col min="30" max="31" width="8.25" customWidth="1"/>
    <col min="32" max="32" width="6.25" customWidth="1"/>
    <col min="33" max="33" width="9.125" customWidth="1"/>
    <col min="34" max="34" width="7.25" customWidth="1"/>
    <col min="35" max="35" width="8.625" customWidth="1"/>
    <col min="36" max="36" width="7.75" customWidth="1"/>
    <col min="37" max="37" width="10" customWidth="1"/>
    <col min="38" max="38" width="8.375" customWidth="1"/>
    <col min="39" max="51" width="9.125" customWidth="1"/>
    <col min="52" max="52" width="19" customWidth="1"/>
    <col min="53" max="53" width="12.625"/>
    <col min="56" max="56" width="12.625"/>
  </cols>
  <sheetData>
    <row r="1" ht="30" customHeight="1" spans="1:5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</row>
    <row r="2" ht="20.25" customHeight="1" spans="1:52">
      <c r="A2" s="23" t="s">
        <v>1</v>
      </c>
      <c r="B2" s="23"/>
      <c r="C2" s="4"/>
      <c r="D2" s="24">
        <v>44581</v>
      </c>
      <c r="E2" s="25"/>
      <c r="F2" s="25"/>
      <c r="G2" s="26"/>
      <c r="H2" s="27">
        <v>44612</v>
      </c>
      <c r="I2" s="59"/>
      <c r="J2" s="59"/>
      <c r="K2" s="60"/>
      <c r="L2" s="24">
        <v>44640</v>
      </c>
      <c r="M2" s="25"/>
      <c r="N2" s="25"/>
      <c r="O2" s="26"/>
      <c r="P2" s="27">
        <v>44671</v>
      </c>
      <c r="Q2" s="67"/>
      <c r="R2" s="67"/>
      <c r="S2" s="68"/>
      <c r="T2" s="24">
        <v>44707</v>
      </c>
      <c r="U2" s="69"/>
      <c r="V2" s="69"/>
      <c r="W2" s="69"/>
      <c r="X2" s="70">
        <v>44732</v>
      </c>
      <c r="Y2" s="88"/>
      <c r="Z2" s="88"/>
      <c r="AA2" s="89"/>
      <c r="AB2" s="24">
        <v>44762</v>
      </c>
      <c r="AC2" s="69"/>
      <c r="AD2" s="69"/>
      <c r="AE2" s="90"/>
      <c r="AF2" s="70">
        <v>44793</v>
      </c>
      <c r="AG2" s="88"/>
      <c r="AH2" s="88"/>
      <c r="AI2" s="89"/>
      <c r="AJ2" s="24">
        <v>44824</v>
      </c>
      <c r="AK2" s="69"/>
      <c r="AL2" s="69"/>
      <c r="AM2" s="90"/>
      <c r="AN2" s="70">
        <v>44854</v>
      </c>
      <c r="AO2" s="88"/>
      <c r="AP2" s="88"/>
      <c r="AQ2" s="89"/>
      <c r="AR2" s="70">
        <v>44885</v>
      </c>
      <c r="AS2" s="88"/>
      <c r="AT2" s="88"/>
      <c r="AU2" s="89"/>
      <c r="AV2" s="70">
        <v>44915</v>
      </c>
      <c r="AW2" s="88"/>
      <c r="AX2" s="88"/>
      <c r="AY2" s="89"/>
      <c r="AZ2" s="113" t="s">
        <v>2</v>
      </c>
    </row>
    <row r="3" ht="37.5" customHeight="1" spans="1:52">
      <c r="A3" s="4" t="s">
        <v>3</v>
      </c>
      <c r="B3" s="28"/>
      <c r="C3" s="4"/>
      <c r="D3" s="29" t="s">
        <v>4</v>
      </c>
      <c r="E3" s="30" t="s">
        <v>5</v>
      </c>
      <c r="F3" s="29" t="s">
        <v>6</v>
      </c>
      <c r="G3" s="29" t="s">
        <v>7</v>
      </c>
      <c r="H3" s="31" t="s">
        <v>4</v>
      </c>
      <c r="I3" s="31" t="s">
        <v>5</v>
      </c>
      <c r="J3" s="31" t="s">
        <v>6</v>
      </c>
      <c r="K3" s="31" t="s">
        <v>7</v>
      </c>
      <c r="L3" s="29" t="s">
        <v>4</v>
      </c>
      <c r="M3" s="29" t="s">
        <v>5</v>
      </c>
      <c r="N3" s="29" t="s">
        <v>6</v>
      </c>
      <c r="O3" s="29" t="s">
        <v>7</v>
      </c>
      <c r="P3" s="31" t="s">
        <v>4</v>
      </c>
      <c r="Q3" s="31" t="s">
        <v>5</v>
      </c>
      <c r="R3" s="31" t="s">
        <v>6</v>
      </c>
      <c r="S3" s="31" t="s">
        <v>7</v>
      </c>
      <c r="T3" s="29" t="s">
        <v>4</v>
      </c>
      <c r="U3" s="29" t="s">
        <v>5</v>
      </c>
      <c r="V3" s="29" t="s">
        <v>6</v>
      </c>
      <c r="W3" s="71" t="s">
        <v>7</v>
      </c>
      <c r="X3" s="72" t="s">
        <v>8</v>
      </c>
      <c r="Y3" s="72" t="s">
        <v>5</v>
      </c>
      <c r="Z3" s="72" t="s">
        <v>9</v>
      </c>
      <c r="AA3" s="72" t="s">
        <v>7</v>
      </c>
      <c r="AB3" s="29" t="s">
        <v>8</v>
      </c>
      <c r="AC3" s="29" t="s">
        <v>5</v>
      </c>
      <c r="AD3" s="29" t="s">
        <v>9</v>
      </c>
      <c r="AE3" s="29" t="s">
        <v>7</v>
      </c>
      <c r="AF3" s="72" t="s">
        <v>8</v>
      </c>
      <c r="AG3" s="72" t="s">
        <v>5</v>
      </c>
      <c r="AH3" s="72" t="s">
        <v>9</v>
      </c>
      <c r="AI3" s="72" t="s">
        <v>7</v>
      </c>
      <c r="AJ3" s="29" t="s">
        <v>8</v>
      </c>
      <c r="AK3" s="29" t="s">
        <v>5</v>
      </c>
      <c r="AL3" s="29" t="s">
        <v>9</v>
      </c>
      <c r="AM3" s="29" t="s">
        <v>7</v>
      </c>
      <c r="AN3" s="72" t="s">
        <v>8</v>
      </c>
      <c r="AO3" s="72" t="s">
        <v>5</v>
      </c>
      <c r="AP3" s="72" t="s">
        <v>9</v>
      </c>
      <c r="AQ3" s="72" t="s">
        <v>7</v>
      </c>
      <c r="AR3" s="72" t="s">
        <v>8</v>
      </c>
      <c r="AS3" s="72" t="s">
        <v>5</v>
      </c>
      <c r="AT3" s="72" t="s">
        <v>9</v>
      </c>
      <c r="AU3" s="72" t="s">
        <v>7</v>
      </c>
      <c r="AV3" s="72" t="s">
        <v>8</v>
      </c>
      <c r="AW3" s="72" t="s">
        <v>5</v>
      </c>
      <c r="AX3" s="72" t="s">
        <v>9</v>
      </c>
      <c r="AY3" s="72" t="s">
        <v>7</v>
      </c>
      <c r="AZ3" s="114" t="s">
        <v>10</v>
      </c>
    </row>
    <row r="4" ht="23.25" customHeight="1" spans="1:52">
      <c r="A4" s="32" t="s">
        <v>11</v>
      </c>
      <c r="B4" s="33" t="s">
        <v>12</v>
      </c>
      <c r="C4" s="4" t="s">
        <v>13</v>
      </c>
      <c r="D4" s="34"/>
      <c r="E4" s="35"/>
      <c r="F4" s="34"/>
      <c r="G4" s="34"/>
      <c r="H4" s="23">
        <v>59</v>
      </c>
      <c r="I4" s="33"/>
      <c r="J4" s="23">
        <v>20161</v>
      </c>
      <c r="K4" s="23"/>
      <c r="L4" s="34">
        <v>59</v>
      </c>
      <c r="M4" s="35"/>
      <c r="N4" s="34">
        <v>21240</v>
      </c>
      <c r="O4" s="34"/>
      <c r="P4" s="23"/>
      <c r="Q4" s="33"/>
      <c r="R4" s="23"/>
      <c r="S4" s="23"/>
      <c r="T4" s="34"/>
      <c r="U4" s="35"/>
      <c r="V4" s="34"/>
      <c r="W4" s="73"/>
      <c r="X4" s="74"/>
      <c r="Y4" s="91"/>
      <c r="Z4" s="74"/>
      <c r="AA4" s="74"/>
      <c r="AB4" s="34"/>
      <c r="AC4" s="34"/>
      <c r="AD4" s="34"/>
      <c r="AE4" s="34"/>
      <c r="AF4" s="74"/>
      <c r="AG4" s="74"/>
      <c r="AH4" s="74"/>
      <c r="AI4" s="74"/>
      <c r="AJ4" s="34"/>
      <c r="AK4" s="34"/>
      <c r="AL4" s="34"/>
      <c r="AM4" s="34"/>
      <c r="AN4" s="74"/>
      <c r="AO4" s="74"/>
      <c r="AP4" s="74"/>
      <c r="AQ4" s="74"/>
      <c r="AR4" s="74"/>
      <c r="AS4" s="74"/>
      <c r="AT4" s="74"/>
      <c r="AU4" s="74"/>
      <c r="AV4" s="106"/>
      <c r="AW4" s="74"/>
      <c r="AX4" s="74"/>
      <c r="AY4" s="74"/>
      <c r="AZ4" s="115"/>
    </row>
    <row r="5" ht="32.25" customHeight="1" spans="1:52">
      <c r="A5" s="36" t="s">
        <v>11</v>
      </c>
      <c r="B5" s="37" t="s">
        <v>14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44">
        <v>38</v>
      </c>
      <c r="U5" s="38"/>
      <c r="V5" s="44">
        <v>4799</v>
      </c>
      <c r="W5" s="38"/>
      <c r="X5" s="44">
        <v>38</v>
      </c>
      <c r="Y5" s="45">
        <f>(X5*20)</f>
        <v>760</v>
      </c>
      <c r="Z5" s="44">
        <v>5242</v>
      </c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107"/>
      <c r="AW5" s="92"/>
      <c r="AX5" s="92"/>
      <c r="AY5" s="92"/>
      <c r="AZ5" s="116"/>
    </row>
    <row r="6" ht="29.25" customHeight="1" spans="1:54">
      <c r="A6" s="39" t="s">
        <v>15</v>
      </c>
      <c r="B6" s="40" t="s">
        <v>16</v>
      </c>
      <c r="C6" s="32" t="s">
        <v>17</v>
      </c>
      <c r="D6" s="34">
        <v>37</v>
      </c>
      <c r="E6" s="35"/>
      <c r="F6" s="34">
        <v>12850</v>
      </c>
      <c r="G6" s="34"/>
      <c r="H6" s="23">
        <v>37</v>
      </c>
      <c r="I6" s="33">
        <f>H6*30</f>
        <v>1110</v>
      </c>
      <c r="J6" s="61">
        <f>14189+14189/36</f>
        <v>14583.1388888889</v>
      </c>
      <c r="K6" s="61">
        <f>(J6-F6)/I6</f>
        <v>1.56138638638639</v>
      </c>
      <c r="L6" s="34">
        <v>37</v>
      </c>
      <c r="M6" s="35">
        <f>L6*30</f>
        <v>1110</v>
      </c>
      <c r="N6" s="62">
        <f>15345+15345/36</f>
        <v>15771.25</v>
      </c>
      <c r="O6" s="62">
        <f>(N6-J6)/M6</f>
        <v>1.07037037037037</v>
      </c>
      <c r="P6" s="23">
        <v>37</v>
      </c>
      <c r="Q6" s="33">
        <f>P6*30</f>
        <v>1110</v>
      </c>
      <c r="R6" s="23">
        <v>16960</v>
      </c>
      <c r="S6" s="75">
        <f>(R6-N6)/Q6</f>
        <v>1.07094594594595</v>
      </c>
      <c r="T6" s="34">
        <v>37</v>
      </c>
      <c r="U6" s="35">
        <f>T6*36</f>
        <v>1332</v>
      </c>
      <c r="V6" s="34">
        <v>18335</v>
      </c>
      <c r="W6" s="76">
        <f>(V6-R6)/U6</f>
        <v>1.03228228228228</v>
      </c>
      <c r="X6" s="77">
        <v>37</v>
      </c>
      <c r="Y6" s="93">
        <f>X6*24</f>
        <v>888</v>
      </c>
      <c r="Z6" s="77">
        <v>19221</v>
      </c>
      <c r="AA6" s="82">
        <f>(Z6-V6)/Y6</f>
        <v>0.997747747747748</v>
      </c>
      <c r="AB6" s="62">
        <v>37</v>
      </c>
      <c r="AC6" s="94">
        <f>AB6*30</f>
        <v>1110</v>
      </c>
      <c r="AD6" s="62">
        <v>20336</v>
      </c>
      <c r="AE6" s="65">
        <f>(AD6-Z6)/AC6</f>
        <v>1.0045045045045</v>
      </c>
      <c r="AF6" s="77">
        <v>37</v>
      </c>
      <c r="AG6" s="77">
        <f>AF6*30</f>
        <v>1110</v>
      </c>
      <c r="AH6" s="77">
        <v>21460</v>
      </c>
      <c r="AI6" s="82">
        <f>(AH6-AD6)/AG6</f>
        <v>1.01261261261261</v>
      </c>
      <c r="AJ6" s="62">
        <v>33</v>
      </c>
      <c r="AK6" s="62">
        <f>AJ6*30+1*4+2*22+1*24</f>
        <v>1062</v>
      </c>
      <c r="AL6" s="103">
        <f>AL7+600+1257+600</f>
        <v>21777</v>
      </c>
      <c r="AM6" s="65">
        <f>(AL6-AH6)/AK6</f>
        <v>0.2984934086629</v>
      </c>
      <c r="AN6" s="77">
        <v>31</v>
      </c>
      <c r="AO6" s="77">
        <f>AN6*30+2*9</f>
        <v>948</v>
      </c>
      <c r="AP6" s="77">
        <f>AP7+966</f>
        <v>20216</v>
      </c>
      <c r="AQ6" s="82">
        <f>(AP6-AL7)/AO6</f>
        <v>0.945147679324895</v>
      </c>
      <c r="AR6" s="77">
        <v>31</v>
      </c>
      <c r="AS6" s="77">
        <f>AR6*30</f>
        <v>930</v>
      </c>
      <c r="AT6" s="77">
        <v>20168</v>
      </c>
      <c r="AU6" s="82">
        <f>(AT6-AP7)/AS6</f>
        <v>0.987096774193548</v>
      </c>
      <c r="AV6" s="106">
        <v>22</v>
      </c>
      <c r="AW6" s="77">
        <f>22*30+5*26+4*21</f>
        <v>874</v>
      </c>
      <c r="AX6" s="77">
        <f>AX7+2780+3370</f>
        <v>21028</v>
      </c>
      <c r="AY6" s="82">
        <f>(AX6-AT6)/AW6</f>
        <v>0.983981693363844</v>
      </c>
      <c r="AZ6" s="117">
        <f>(AX7+600+1257+600+966+2780+3370-F6)/(I6+M6+Q6+U6+Y6+AC6+AG6+AK6+AO6+AS6+AW6)</f>
        <v>1.00146754143646</v>
      </c>
      <c r="BB6" s="102"/>
    </row>
    <row r="7" ht="23.25" customHeight="1" spans="1:55">
      <c r="A7" s="41"/>
      <c r="B7" s="42" t="s">
        <v>18</v>
      </c>
      <c r="C7" s="32"/>
      <c r="D7" s="34"/>
      <c r="E7" s="35"/>
      <c r="F7" s="34"/>
      <c r="G7" s="34"/>
      <c r="H7" s="23"/>
      <c r="I7" s="33"/>
      <c r="J7" s="61"/>
      <c r="K7" s="61"/>
      <c r="L7" s="34"/>
      <c r="M7" s="35"/>
      <c r="N7" s="62"/>
      <c r="O7" s="62"/>
      <c r="P7" s="23"/>
      <c r="Q7" s="33"/>
      <c r="R7" s="23"/>
      <c r="S7" s="75"/>
      <c r="T7" s="34"/>
      <c r="U7" s="35"/>
      <c r="V7" s="34"/>
      <c r="W7" s="76"/>
      <c r="X7" s="77"/>
      <c r="Y7" s="93"/>
      <c r="Z7" s="77"/>
      <c r="AA7" s="82"/>
      <c r="AB7" s="62"/>
      <c r="AC7" s="94"/>
      <c r="AD7" s="62"/>
      <c r="AE7" s="65"/>
      <c r="AF7" s="77"/>
      <c r="AG7" s="77"/>
      <c r="AH7" s="77"/>
      <c r="AI7" s="82"/>
      <c r="AJ7" s="62"/>
      <c r="AK7" s="65"/>
      <c r="AL7" s="104">
        <v>19320</v>
      </c>
      <c r="AM7" s="65"/>
      <c r="AN7" s="82"/>
      <c r="AO7" s="82"/>
      <c r="AP7" s="96">
        <v>19250</v>
      </c>
      <c r="AQ7" s="82"/>
      <c r="AR7" s="82"/>
      <c r="AS7" s="82"/>
      <c r="AT7" s="82"/>
      <c r="AU7" s="82"/>
      <c r="AV7" s="106"/>
      <c r="AW7" s="82"/>
      <c r="AX7" s="77">
        <v>14878</v>
      </c>
      <c r="AY7" s="82"/>
      <c r="AZ7" s="117"/>
      <c r="BC7" s="102"/>
    </row>
    <row r="8" ht="26.25" customHeight="1" spans="1:52">
      <c r="A8" s="36" t="s">
        <v>15</v>
      </c>
      <c r="B8" s="43" t="s">
        <v>19</v>
      </c>
      <c r="C8" s="36"/>
      <c r="D8" s="44"/>
      <c r="E8" s="45"/>
      <c r="F8" s="44"/>
      <c r="G8" s="44"/>
      <c r="H8" s="44"/>
      <c r="I8" s="45"/>
      <c r="J8" s="63"/>
      <c r="K8" s="63"/>
      <c r="L8" s="44"/>
      <c r="M8" s="45"/>
      <c r="N8" s="63"/>
      <c r="O8" s="63"/>
      <c r="P8" s="44"/>
      <c r="Q8" s="45"/>
      <c r="R8" s="44"/>
      <c r="S8" s="78"/>
      <c r="T8" s="44">
        <v>38</v>
      </c>
      <c r="U8" s="45"/>
      <c r="V8" s="44">
        <v>6787</v>
      </c>
      <c r="W8" s="79"/>
      <c r="X8" s="63">
        <v>38</v>
      </c>
      <c r="Y8" s="95">
        <f>X8*20</f>
        <v>760</v>
      </c>
      <c r="Z8" s="63">
        <v>7561</v>
      </c>
      <c r="AA8" s="92">
        <f>(Z8-V8)/Y8</f>
        <v>1.01842105263158</v>
      </c>
      <c r="AB8" s="63">
        <v>38</v>
      </c>
      <c r="AC8" s="95">
        <f>AB8*30</f>
        <v>1140</v>
      </c>
      <c r="AD8" s="63">
        <v>8708</v>
      </c>
      <c r="AE8" s="92">
        <f>(AD8-Z8)/AC8</f>
        <v>1.00614035087719</v>
      </c>
      <c r="AF8" s="63">
        <v>38</v>
      </c>
      <c r="AG8" s="63">
        <f>AF8*30</f>
        <v>1140</v>
      </c>
      <c r="AH8" s="63">
        <v>9850</v>
      </c>
      <c r="AI8" s="92">
        <f>(AH8-AD8)/AG8</f>
        <v>1.00175438596491</v>
      </c>
      <c r="AJ8" s="92">
        <v>38</v>
      </c>
      <c r="AK8" s="63">
        <f>AJ8*30</f>
        <v>1140</v>
      </c>
      <c r="AL8" s="63">
        <v>11000</v>
      </c>
      <c r="AM8" s="92">
        <f>(AL8-AH8)/AK8</f>
        <v>1.00877192982456</v>
      </c>
      <c r="AN8" s="63">
        <v>38</v>
      </c>
      <c r="AO8" s="63">
        <f>AN8*30</f>
        <v>1140</v>
      </c>
      <c r="AP8" s="63">
        <v>12100</v>
      </c>
      <c r="AQ8" s="92">
        <f>(AP8-AL8)/AO8</f>
        <v>0.964912280701754</v>
      </c>
      <c r="AR8" s="63">
        <v>38</v>
      </c>
      <c r="AS8" s="63">
        <f>AR8*30</f>
        <v>1140</v>
      </c>
      <c r="AT8" s="63">
        <v>13260</v>
      </c>
      <c r="AU8" s="92">
        <f>(AT8-AP8)/AS8</f>
        <v>1.01754385964912</v>
      </c>
      <c r="AV8" s="107">
        <v>38</v>
      </c>
      <c r="AW8" s="63">
        <f>AV8*30</f>
        <v>1140</v>
      </c>
      <c r="AX8" s="63">
        <v>14383</v>
      </c>
      <c r="AY8" s="92">
        <f>(AX8-AT8)/AW8</f>
        <v>0.985087719298246</v>
      </c>
      <c r="AZ8" s="117">
        <f>(AX8-V8)/(Y8+AC8+AG8+AK8+AO8+AS8+AW8)</f>
        <v>0.999473684210526</v>
      </c>
    </row>
    <row r="9" ht="23.25" customHeight="1" spans="1:52">
      <c r="A9" s="46" t="s">
        <v>20</v>
      </c>
      <c r="B9" s="28" t="s">
        <v>21</v>
      </c>
      <c r="C9" s="4" t="s">
        <v>22</v>
      </c>
      <c r="D9" s="34">
        <v>23</v>
      </c>
      <c r="E9" s="35"/>
      <c r="F9" s="34">
        <v>10838</v>
      </c>
      <c r="G9" s="34"/>
      <c r="H9" s="23">
        <v>23</v>
      </c>
      <c r="I9" s="33">
        <f>23*30</f>
        <v>690</v>
      </c>
      <c r="J9" s="23">
        <v>11630</v>
      </c>
      <c r="K9" s="64">
        <f>(J9-F9)/I9</f>
        <v>1.14782608695652</v>
      </c>
      <c r="L9" s="34">
        <v>22</v>
      </c>
      <c r="M9" s="35">
        <f>L9*30+1*19</f>
        <v>679</v>
      </c>
      <c r="N9" s="34">
        <f>11572+750</f>
        <v>12322</v>
      </c>
      <c r="O9" s="65">
        <f>(N9-J9)/M9</f>
        <v>1.01914580265096</v>
      </c>
      <c r="P9" s="23">
        <v>21</v>
      </c>
      <c r="Q9" s="33">
        <f>20*30+1*17</f>
        <v>617</v>
      </c>
      <c r="R9" s="61">
        <f>11450+750</f>
        <v>12200</v>
      </c>
      <c r="S9" s="64">
        <f>(R9-N10)/Q9</f>
        <v>1.01782820097245</v>
      </c>
      <c r="T9" s="34">
        <v>19</v>
      </c>
      <c r="U9" s="35">
        <f>19*36+1*6+1*8</f>
        <v>698</v>
      </c>
      <c r="V9" s="34">
        <f>11128+750+300</f>
        <v>12178</v>
      </c>
      <c r="W9" s="76">
        <f>(V9-R10)/U9</f>
        <v>1.04297994269341</v>
      </c>
      <c r="X9" s="77">
        <v>19</v>
      </c>
      <c r="Y9" s="93">
        <f>X9*24</f>
        <v>456</v>
      </c>
      <c r="Z9" s="77">
        <v>11586</v>
      </c>
      <c r="AA9" s="82">
        <f>(Z9-V10)/Y9</f>
        <v>1.00438596491228</v>
      </c>
      <c r="AB9" s="62">
        <v>18</v>
      </c>
      <c r="AC9" s="94">
        <f>18*30+1*23</f>
        <v>563</v>
      </c>
      <c r="AD9" s="62">
        <f>AD10+800</f>
        <v>12152</v>
      </c>
      <c r="AE9" s="65">
        <f>(AD9-Z9)/AC9</f>
        <v>1.00532859680284</v>
      </c>
      <c r="AF9" s="77">
        <v>18</v>
      </c>
      <c r="AG9" s="77">
        <f>AF9*30</f>
        <v>540</v>
      </c>
      <c r="AH9" s="77">
        <v>11892</v>
      </c>
      <c r="AI9" s="82">
        <f>(AH9-AD10)/AG9</f>
        <v>1</v>
      </c>
      <c r="AJ9" s="62">
        <v>18</v>
      </c>
      <c r="AK9" s="62">
        <f>AJ9*30</f>
        <v>540</v>
      </c>
      <c r="AL9" s="62">
        <v>12260</v>
      </c>
      <c r="AM9" s="65">
        <f>(AL9-AH9)/AK9</f>
        <v>0.681481481481481</v>
      </c>
      <c r="AN9" s="77">
        <v>17</v>
      </c>
      <c r="AO9" s="77">
        <f>AN9*30+1*20</f>
        <v>530</v>
      </c>
      <c r="AP9" s="77">
        <f>AP10+880</f>
        <v>12910</v>
      </c>
      <c r="AQ9" s="82">
        <f>(AP9-AL9)/AO9</f>
        <v>1.22641509433962</v>
      </c>
      <c r="AR9" s="77">
        <v>15</v>
      </c>
      <c r="AS9" s="77">
        <f>AR9*30+2*21</f>
        <v>492</v>
      </c>
      <c r="AT9" s="77">
        <v>12450</v>
      </c>
      <c r="AU9" s="82">
        <f>(AT9-AP10)/AS9</f>
        <v>0.853658536585366</v>
      </c>
      <c r="AV9" s="106">
        <v>15</v>
      </c>
      <c r="AW9" s="77">
        <f>AV9*30</f>
        <v>450</v>
      </c>
      <c r="AX9" s="77">
        <v>12773</v>
      </c>
      <c r="AY9" s="82">
        <f>(AX9-AT9)/AW9</f>
        <v>0.717777777777778</v>
      </c>
      <c r="AZ9" s="117">
        <f>(AX9+1050+750+750+800+880+1530-F9)/(U9+Q9+M9+I9+Y9+AC9+AG9+AK9+AO9+AS9+AW9)</f>
        <v>1.23021582733813</v>
      </c>
    </row>
    <row r="10" ht="19.5" customHeight="1" spans="1:52">
      <c r="A10" s="47"/>
      <c r="B10" s="42" t="s">
        <v>18</v>
      </c>
      <c r="C10" s="48"/>
      <c r="D10" s="49"/>
      <c r="E10" s="49"/>
      <c r="F10" s="49"/>
      <c r="G10" s="49"/>
      <c r="H10" s="50"/>
      <c r="I10" s="50"/>
      <c r="J10" s="50"/>
      <c r="K10" s="50"/>
      <c r="L10" s="49"/>
      <c r="M10" s="49"/>
      <c r="N10" s="49">
        <f>N9-750</f>
        <v>11572</v>
      </c>
      <c r="O10" s="49"/>
      <c r="P10" s="50"/>
      <c r="Q10" s="50"/>
      <c r="R10" s="80">
        <f>R9-750</f>
        <v>11450</v>
      </c>
      <c r="S10" s="50"/>
      <c r="T10" s="49"/>
      <c r="U10" s="49"/>
      <c r="V10" s="49">
        <f>V9-750-300</f>
        <v>11128</v>
      </c>
      <c r="W10" s="81"/>
      <c r="X10" s="74"/>
      <c r="Y10" s="91"/>
      <c r="Z10" s="96"/>
      <c r="AA10" s="74"/>
      <c r="AB10" s="34"/>
      <c r="AC10" s="34"/>
      <c r="AD10" s="97">
        <v>11352</v>
      </c>
      <c r="AE10" s="34"/>
      <c r="AF10" s="74"/>
      <c r="AG10" s="74"/>
      <c r="AH10" s="74"/>
      <c r="AI10" s="74"/>
      <c r="AJ10" s="34"/>
      <c r="AK10" s="34"/>
      <c r="AL10" s="34"/>
      <c r="AM10" s="34"/>
      <c r="AN10" s="74"/>
      <c r="AO10" s="74"/>
      <c r="AP10" s="108">
        <v>12030</v>
      </c>
      <c r="AQ10" s="74"/>
      <c r="AR10" s="74"/>
      <c r="AS10" s="74"/>
      <c r="AT10" s="96">
        <v>10920</v>
      </c>
      <c r="AU10" s="74"/>
      <c r="AV10" s="106"/>
      <c r="AW10" s="74"/>
      <c r="AX10" s="74"/>
      <c r="AY10" s="74"/>
      <c r="AZ10" s="115"/>
    </row>
    <row r="11" ht="25.5" customHeight="1" spans="1:55">
      <c r="A11" s="51" t="s">
        <v>23</v>
      </c>
      <c r="B11" s="37" t="s">
        <v>24</v>
      </c>
      <c r="C11" s="36"/>
      <c r="D11" s="44"/>
      <c r="E11" s="45"/>
      <c r="F11" s="44"/>
      <c r="G11" s="44"/>
      <c r="H11" s="44"/>
      <c r="I11" s="45"/>
      <c r="J11" s="63"/>
      <c r="K11" s="63"/>
      <c r="L11" s="44"/>
      <c r="M11" s="45"/>
      <c r="N11" s="63"/>
      <c r="O11" s="63"/>
      <c r="P11" s="44"/>
      <c r="Q11" s="45"/>
      <c r="R11" s="44"/>
      <c r="S11" s="78"/>
      <c r="T11" s="44">
        <v>17</v>
      </c>
      <c r="U11" s="45"/>
      <c r="V11" s="44">
        <v>3007</v>
      </c>
      <c r="W11" s="79"/>
      <c r="X11" s="63">
        <v>17</v>
      </c>
      <c r="Y11" s="95">
        <f>X11*20</f>
        <v>340</v>
      </c>
      <c r="Z11" s="63">
        <v>3351</v>
      </c>
      <c r="AA11" s="92">
        <f>(Z11-V11)/Y11</f>
        <v>1.01176470588235</v>
      </c>
      <c r="AB11" s="63">
        <v>17</v>
      </c>
      <c r="AC11" s="95">
        <f>AB11*30</f>
        <v>510</v>
      </c>
      <c r="AD11" s="63">
        <v>3871</v>
      </c>
      <c r="AE11" s="92">
        <f>(AD11-Z11)/AC11</f>
        <v>1.01960784313725</v>
      </c>
      <c r="AF11" s="63">
        <v>16</v>
      </c>
      <c r="AG11" s="63">
        <f>16*30+1*20</f>
        <v>500</v>
      </c>
      <c r="AH11" s="63">
        <v>4380</v>
      </c>
      <c r="AI11" s="92">
        <f>(AH11-AD11)/AG11</f>
        <v>1.018</v>
      </c>
      <c r="AJ11" s="63">
        <v>16</v>
      </c>
      <c r="AK11" s="63">
        <f>AJ11*30</f>
        <v>480</v>
      </c>
      <c r="AL11" s="63">
        <v>4498</v>
      </c>
      <c r="AM11" s="92">
        <f>(AL11-AH12)/AK11</f>
        <v>0.995833333333333</v>
      </c>
      <c r="AN11" s="63">
        <v>16</v>
      </c>
      <c r="AO11" s="63">
        <f>16*30</f>
        <v>480</v>
      </c>
      <c r="AP11" s="63">
        <v>5010</v>
      </c>
      <c r="AQ11" s="92">
        <f>(AP11-AL11)/AO11</f>
        <v>1.06666666666667</v>
      </c>
      <c r="AR11" s="63">
        <v>16</v>
      </c>
      <c r="AS11" s="63">
        <f>AR11*30</f>
        <v>480</v>
      </c>
      <c r="AT11" s="63">
        <v>5500</v>
      </c>
      <c r="AU11" s="92">
        <f>(AT11-AP11)/AS11</f>
        <v>1.02083333333333</v>
      </c>
      <c r="AV11" s="107">
        <v>16</v>
      </c>
      <c r="AW11" s="63">
        <f>AV11*30</f>
        <v>480</v>
      </c>
      <c r="AX11" s="63">
        <v>6012</v>
      </c>
      <c r="AY11" s="92">
        <f>(AX11-AT11)/AW11</f>
        <v>1.06666666666667</v>
      </c>
      <c r="AZ11" s="117">
        <f>(AX11+360-V11)/(Y11+AC11+AG11+AK11+AO11+AS11+AW11)</f>
        <v>1.02905198776758</v>
      </c>
      <c r="BC11" s="102"/>
    </row>
    <row r="12" ht="23.25" customHeight="1" spans="1:54">
      <c r="A12" s="52"/>
      <c r="B12" s="53" t="s">
        <v>18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105">
        <f>AH11-360</f>
        <v>4020</v>
      </c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109"/>
      <c r="AW12" s="38"/>
      <c r="AX12" s="38"/>
      <c r="AY12" s="38"/>
      <c r="AZ12" s="117"/>
      <c r="BB12" s="102"/>
    </row>
    <row r="13" ht="23.25" customHeight="1" spans="1:55">
      <c r="A13" s="31" t="s">
        <v>25</v>
      </c>
      <c r="B13" s="28" t="s">
        <v>26</v>
      </c>
      <c r="C13" s="4" t="s">
        <v>27</v>
      </c>
      <c r="D13" s="34">
        <v>95</v>
      </c>
      <c r="E13" s="35"/>
      <c r="F13" s="34">
        <v>41594</v>
      </c>
      <c r="G13" s="34"/>
      <c r="H13" s="23">
        <v>95</v>
      </c>
      <c r="I13" s="33">
        <f>H13*30</f>
        <v>2850</v>
      </c>
      <c r="J13" s="23">
        <v>44539</v>
      </c>
      <c r="K13" s="64">
        <f>(J13-F13)/I13</f>
        <v>1.03333333333333</v>
      </c>
      <c r="L13" s="34">
        <v>56</v>
      </c>
      <c r="M13" s="35">
        <f>56*30+39*26</f>
        <v>2694</v>
      </c>
      <c r="N13" s="34">
        <f>23555+23700</f>
        <v>47255</v>
      </c>
      <c r="O13" s="65">
        <f>(N13-J13)/M13</f>
        <v>1.00816629547142</v>
      </c>
      <c r="P13" s="23">
        <v>87</v>
      </c>
      <c r="Q13" s="33">
        <f>87*30+1*20+26*24+25*25+1*25</f>
        <v>3904</v>
      </c>
      <c r="R13" s="23">
        <f>41550+550+7900+8000+7050+8100+400</f>
        <v>73550</v>
      </c>
      <c r="S13" s="64">
        <f>(R13-N14-N16)/Q13</f>
        <v>1.02715163934426</v>
      </c>
      <c r="T13" s="34"/>
      <c r="U13" s="35"/>
      <c r="V13" s="34"/>
      <c r="W13" s="76"/>
      <c r="X13" s="82"/>
      <c r="Y13" s="98"/>
      <c r="Z13" s="82"/>
      <c r="AA13" s="82"/>
      <c r="AB13" s="65"/>
      <c r="AC13" s="65"/>
      <c r="AD13" s="65"/>
      <c r="AE13" s="65"/>
      <c r="AF13" s="82"/>
      <c r="AG13" s="82"/>
      <c r="AH13" s="82"/>
      <c r="AI13" s="82"/>
      <c r="AJ13" s="65"/>
      <c r="AK13" s="65"/>
      <c r="AL13" s="65"/>
      <c r="AM13" s="65"/>
      <c r="AN13" s="82"/>
      <c r="AO13" s="82"/>
      <c r="AP13" s="82"/>
      <c r="AQ13" s="82"/>
      <c r="AR13" s="82"/>
      <c r="AS13" s="82"/>
      <c r="AT13" s="82"/>
      <c r="AU13" s="82"/>
      <c r="AV13" s="106"/>
      <c r="AW13" s="82"/>
      <c r="AX13" s="82"/>
      <c r="AY13" s="82"/>
      <c r="AZ13" s="115"/>
      <c r="BC13" s="102"/>
    </row>
    <row r="14" ht="23.25" customHeight="1" spans="1:55">
      <c r="A14" s="31"/>
      <c r="B14" s="42" t="s">
        <v>18</v>
      </c>
      <c r="C14" s="42"/>
      <c r="D14" s="49"/>
      <c r="E14" s="49"/>
      <c r="F14" s="49"/>
      <c r="G14" s="49"/>
      <c r="H14" s="50"/>
      <c r="I14" s="50"/>
      <c r="J14" s="50"/>
      <c r="K14" s="50"/>
      <c r="L14" s="49"/>
      <c r="M14" s="49"/>
      <c r="N14" s="49">
        <v>23555</v>
      </c>
      <c r="O14" s="49"/>
      <c r="P14" s="50"/>
      <c r="Q14" s="50"/>
      <c r="R14" s="50">
        <v>41550</v>
      </c>
      <c r="S14" s="50"/>
      <c r="T14" s="49"/>
      <c r="U14" s="49"/>
      <c r="V14" s="49"/>
      <c r="W14" s="83"/>
      <c r="X14" s="84"/>
      <c r="Y14" s="84"/>
      <c r="Z14" s="84"/>
      <c r="AA14" s="84"/>
      <c r="AB14" s="49"/>
      <c r="AC14" s="49"/>
      <c r="AD14" s="49"/>
      <c r="AE14" s="49"/>
      <c r="AF14" s="84"/>
      <c r="AG14" s="84"/>
      <c r="AH14" s="84"/>
      <c r="AI14" s="84"/>
      <c r="AJ14" s="49"/>
      <c r="AK14" s="49"/>
      <c r="AL14" s="49"/>
      <c r="AM14" s="49"/>
      <c r="AN14" s="84"/>
      <c r="AO14" s="84"/>
      <c r="AP14" s="84"/>
      <c r="AQ14" s="84"/>
      <c r="AR14" s="84"/>
      <c r="AS14" s="84"/>
      <c r="AT14" s="84"/>
      <c r="AU14" s="84"/>
      <c r="AV14" s="110"/>
      <c r="AW14" s="84"/>
      <c r="AX14" s="84"/>
      <c r="AY14" s="84"/>
      <c r="AZ14" s="115"/>
      <c r="BC14" s="102"/>
    </row>
    <row r="15" ht="23.25" customHeight="1" spans="1:52">
      <c r="A15" s="31" t="s">
        <v>28</v>
      </c>
      <c r="B15" s="28" t="s">
        <v>29</v>
      </c>
      <c r="C15" s="4" t="s">
        <v>30</v>
      </c>
      <c r="D15" s="34">
        <v>90</v>
      </c>
      <c r="E15" s="35"/>
      <c r="F15" s="34">
        <v>40365</v>
      </c>
      <c r="G15" s="34"/>
      <c r="H15" s="23">
        <v>84</v>
      </c>
      <c r="I15" s="33">
        <f>84*30+4*4+1*6+1*8</f>
        <v>2550</v>
      </c>
      <c r="J15" s="23">
        <f>42818+2550+675+445</f>
        <v>46488</v>
      </c>
      <c r="K15" s="64">
        <f>(J15-F15)/I15</f>
        <v>2.40117647058824</v>
      </c>
      <c r="L15" s="34">
        <v>84</v>
      </c>
      <c r="M15" s="35">
        <f>L15*30</f>
        <v>2520</v>
      </c>
      <c r="N15" s="34">
        <v>45985</v>
      </c>
      <c r="O15" s="65">
        <f>(N15-J16)/M15</f>
        <v>1.25674603174603</v>
      </c>
      <c r="P15" s="23"/>
      <c r="Q15" s="33"/>
      <c r="R15" s="23"/>
      <c r="S15" s="23"/>
      <c r="T15" s="34"/>
      <c r="U15" s="35"/>
      <c r="V15" s="34"/>
      <c r="W15" s="73"/>
      <c r="X15" s="74"/>
      <c r="Y15" s="91"/>
      <c r="Z15" s="74"/>
      <c r="AA15" s="74"/>
      <c r="AB15" s="34"/>
      <c r="AC15" s="34"/>
      <c r="AD15" s="34"/>
      <c r="AE15" s="34"/>
      <c r="AF15" s="74"/>
      <c r="AG15" s="74"/>
      <c r="AH15" s="74"/>
      <c r="AI15" s="74"/>
      <c r="AJ15" s="34"/>
      <c r="AK15" s="34"/>
      <c r="AL15" s="34"/>
      <c r="AM15" s="34"/>
      <c r="AN15" s="74"/>
      <c r="AO15" s="74"/>
      <c r="AP15" s="74"/>
      <c r="AQ15" s="74"/>
      <c r="AR15" s="74"/>
      <c r="AS15" s="74"/>
      <c r="AT15" s="74"/>
      <c r="AU15" s="74"/>
      <c r="AV15" s="106"/>
      <c r="AW15" s="74"/>
      <c r="AX15" s="74"/>
      <c r="AY15" s="74"/>
      <c r="AZ15" s="115"/>
    </row>
    <row r="16" ht="23.25" customHeight="1" spans="1:52">
      <c r="A16" s="31"/>
      <c r="B16" s="42" t="s">
        <v>18</v>
      </c>
      <c r="C16" s="42"/>
      <c r="D16" s="49"/>
      <c r="E16" s="49"/>
      <c r="F16" s="49"/>
      <c r="G16" s="49"/>
      <c r="H16" s="50"/>
      <c r="I16" s="50"/>
      <c r="J16" s="50">
        <f>43263-445</f>
        <v>42818</v>
      </c>
      <c r="K16" s="50"/>
      <c r="L16" s="49"/>
      <c r="M16" s="49"/>
      <c r="N16" s="49">
        <v>45985</v>
      </c>
      <c r="O16" s="49"/>
      <c r="P16" s="50"/>
      <c r="Q16" s="50"/>
      <c r="R16" s="50"/>
      <c r="S16" s="50"/>
      <c r="T16" s="49"/>
      <c r="U16" s="49"/>
      <c r="V16" s="49"/>
      <c r="W16" s="83"/>
      <c r="X16" s="84"/>
      <c r="Y16" s="84"/>
      <c r="Z16" s="84"/>
      <c r="AA16" s="84"/>
      <c r="AB16" s="49"/>
      <c r="AC16" s="49"/>
      <c r="AD16" s="49"/>
      <c r="AE16" s="49"/>
      <c r="AF16" s="84"/>
      <c r="AG16" s="84"/>
      <c r="AH16" s="84"/>
      <c r="AI16" s="84"/>
      <c r="AJ16" s="49"/>
      <c r="AK16" s="49"/>
      <c r="AL16" s="49"/>
      <c r="AM16" s="49"/>
      <c r="AN16" s="84"/>
      <c r="AO16" s="84"/>
      <c r="AP16" s="84"/>
      <c r="AQ16" s="84"/>
      <c r="AR16" s="84"/>
      <c r="AS16" s="84"/>
      <c r="AT16" s="84"/>
      <c r="AU16" s="84"/>
      <c r="AV16" s="110"/>
      <c r="AW16" s="84"/>
      <c r="AX16" s="84"/>
      <c r="AY16" s="84"/>
      <c r="AZ16" s="115"/>
    </row>
    <row r="17" ht="23.25" customHeight="1" spans="1:52">
      <c r="A17" s="31" t="s">
        <v>31</v>
      </c>
      <c r="B17" s="54" t="s">
        <v>32</v>
      </c>
      <c r="C17" s="54"/>
      <c r="D17" s="55">
        <f>D15+D13</f>
        <v>185</v>
      </c>
      <c r="E17" s="55">
        <f>E13+E15</f>
        <v>0</v>
      </c>
      <c r="F17" s="55">
        <f>F13+F15</f>
        <v>81959</v>
      </c>
      <c r="G17" s="55"/>
      <c r="H17" s="55">
        <f>H13+H15</f>
        <v>179</v>
      </c>
      <c r="I17" s="55">
        <f>I13+I15</f>
        <v>5400</v>
      </c>
      <c r="J17" s="55">
        <f>J13+J15</f>
        <v>91027</v>
      </c>
      <c r="K17" s="55"/>
      <c r="L17" s="55">
        <f>L13+L15</f>
        <v>140</v>
      </c>
      <c r="M17" s="55">
        <f>M13+M15</f>
        <v>5214</v>
      </c>
      <c r="N17" s="55">
        <f>N13+N15</f>
        <v>93240</v>
      </c>
      <c r="O17" s="55"/>
      <c r="P17" s="55">
        <f>P13</f>
        <v>87</v>
      </c>
      <c r="Q17" s="85">
        <f>87*30+1*20+26*24+25*25+1*25</f>
        <v>3904</v>
      </c>
      <c r="R17" s="55">
        <f>41550+550+7900+8000+7050+8100+400</f>
        <v>73550</v>
      </c>
      <c r="S17" s="86">
        <f>(R17-N18)/Q17</f>
        <v>1.02715163934426</v>
      </c>
      <c r="T17" s="55">
        <v>87</v>
      </c>
      <c r="U17" s="85">
        <f>T17*36</f>
        <v>3132</v>
      </c>
      <c r="V17" s="55">
        <v>44710</v>
      </c>
      <c r="W17" s="86">
        <f>(V17-R18)/U17</f>
        <v>1.00893997445722</v>
      </c>
      <c r="X17" s="87">
        <v>87</v>
      </c>
      <c r="Y17" s="99">
        <f>X17*24</f>
        <v>2088</v>
      </c>
      <c r="Z17" s="87">
        <v>46788</v>
      </c>
      <c r="AA17" s="86">
        <f>(Z17-V17)/Y17</f>
        <v>0.995210727969349</v>
      </c>
      <c r="AB17" s="87">
        <v>86</v>
      </c>
      <c r="AC17" s="87">
        <f>86*30+1*23</f>
        <v>2603</v>
      </c>
      <c r="AD17" s="87">
        <f>AD18+600</f>
        <v>49406</v>
      </c>
      <c r="AE17" s="86">
        <f>(AD17-Z17)/AC17</f>
        <v>1.00576258163657</v>
      </c>
      <c r="AF17" s="87">
        <v>85</v>
      </c>
      <c r="AG17" s="87">
        <f>85*30+1*20</f>
        <v>2570</v>
      </c>
      <c r="AH17" s="87">
        <v>51390</v>
      </c>
      <c r="AI17" s="86">
        <f>(AH17-AD18)/AG17</f>
        <v>1.00544747081712</v>
      </c>
      <c r="AJ17" s="87">
        <v>51</v>
      </c>
      <c r="AK17" s="87">
        <f>AJ17*30+10*15+5*17+1*18+7*19+5*22+6*24</f>
        <v>2170</v>
      </c>
      <c r="AL17" s="87">
        <f>AL18+21093</f>
        <v>49613</v>
      </c>
      <c r="AM17" s="86">
        <f>(AL17-AH18)/AK17</f>
        <v>-0.473271889400922</v>
      </c>
      <c r="AN17" s="87">
        <v>48</v>
      </c>
      <c r="AO17" s="87">
        <f>AN17*30+2*9+1*15</f>
        <v>1473</v>
      </c>
      <c r="AP17" s="87">
        <f>AP18+1250+483</f>
        <v>29653</v>
      </c>
      <c r="AQ17" s="86">
        <f>(AP17-AL18)/AO17</f>
        <v>0.76917854718262</v>
      </c>
      <c r="AR17" s="87">
        <v>48</v>
      </c>
      <c r="AS17" s="87">
        <f>AR17*30</f>
        <v>1440</v>
      </c>
      <c r="AT17" s="87">
        <v>29060</v>
      </c>
      <c r="AU17" s="86">
        <f>(AT17-AP18)/AS17</f>
        <v>0.791666666666667</v>
      </c>
      <c r="AV17" s="111">
        <v>48</v>
      </c>
      <c r="AW17" s="87">
        <f>AV17*30</f>
        <v>1440</v>
      </c>
      <c r="AX17" s="87">
        <v>30580</v>
      </c>
      <c r="AY17" s="86">
        <f>(AX17-AT17)/AW17</f>
        <v>1.05555555555556</v>
      </c>
      <c r="AZ17" s="117">
        <f>(AX17+550+15900+15150+400+23700+2550+675+445+600+750+21093+1250+483-F17)/(I17+M17+Q17+U17+Y17+AC17+AG17+AK17+AO17+AS17+AW17)</f>
        <v>1.02331869949736</v>
      </c>
    </row>
    <row r="18" ht="23.25" customHeight="1" spans="1:52">
      <c r="A18" s="31"/>
      <c r="B18" s="56" t="s">
        <v>18</v>
      </c>
      <c r="C18" s="54" t="s">
        <v>33</v>
      </c>
      <c r="D18" s="56"/>
      <c r="E18" s="56"/>
      <c r="F18" s="56"/>
      <c r="G18" s="56"/>
      <c r="H18" s="56"/>
      <c r="I18" s="56"/>
      <c r="J18" s="56">
        <f>J17-2550-675-445</f>
        <v>87357</v>
      </c>
      <c r="K18" s="56"/>
      <c r="L18" s="56"/>
      <c r="M18" s="56"/>
      <c r="N18" s="56">
        <f>N14+N16</f>
        <v>69540</v>
      </c>
      <c r="O18" s="56"/>
      <c r="P18" s="56"/>
      <c r="Q18" s="56"/>
      <c r="R18" s="56">
        <v>41550</v>
      </c>
      <c r="S18" s="56"/>
      <c r="T18" s="56"/>
      <c r="U18" s="56"/>
      <c r="V18" s="56">
        <v>44710</v>
      </c>
      <c r="W18" s="56"/>
      <c r="X18" s="56"/>
      <c r="Y18" s="56"/>
      <c r="Z18" s="100"/>
      <c r="AA18" s="56"/>
      <c r="AB18" s="56"/>
      <c r="AC18" s="56"/>
      <c r="AD18" s="100">
        <v>48806</v>
      </c>
      <c r="AE18" s="56"/>
      <c r="AF18" s="56"/>
      <c r="AG18" s="56"/>
      <c r="AH18" s="100">
        <f>AH17-750</f>
        <v>50640</v>
      </c>
      <c r="AI18" s="56"/>
      <c r="AJ18" s="56"/>
      <c r="AK18" s="56"/>
      <c r="AL18" s="56">
        <v>28520</v>
      </c>
      <c r="AM18" s="56"/>
      <c r="AN18" s="56"/>
      <c r="AO18" s="56"/>
      <c r="AP18" s="56">
        <v>27920</v>
      </c>
      <c r="AQ18" s="56"/>
      <c r="AR18" s="56"/>
      <c r="AS18" s="56"/>
      <c r="AT18" s="56"/>
      <c r="AU18" s="56"/>
      <c r="AV18" s="112"/>
      <c r="AW18" s="56"/>
      <c r="AX18" s="56"/>
      <c r="AY18" s="56"/>
      <c r="AZ18" s="118"/>
    </row>
    <row r="19" ht="36" customHeight="1" spans="1:52">
      <c r="A19" s="57" t="s">
        <v>34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 t="s">
        <v>35</v>
      </c>
      <c r="Z19" s="57"/>
      <c r="AA19" s="57"/>
      <c r="AB19" s="57"/>
      <c r="AC19" s="57"/>
      <c r="AD19" s="57"/>
      <c r="AF19" s="101" t="s">
        <v>36</v>
      </c>
      <c r="AG19" s="101"/>
      <c r="AH19" s="101"/>
      <c r="AI19" s="101"/>
      <c r="AJ19" s="101"/>
      <c r="AL19" s="101"/>
      <c r="AM19" s="101" t="s">
        <v>37</v>
      </c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</row>
    <row r="20" ht="36" customHeight="1" spans="1:52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</row>
    <row r="21" spans="10:54">
      <c r="J21" s="66"/>
      <c r="K21" s="66"/>
      <c r="Q21" s="66"/>
      <c r="S21" t="s">
        <v>38</v>
      </c>
      <c r="BB21" s="102"/>
    </row>
    <row r="22" spans="29:29">
      <c r="AC22" s="102"/>
    </row>
    <row r="23" spans="52:52">
      <c r="AZ23" s="102"/>
    </row>
  </sheetData>
  <mergeCells count="24">
    <mergeCell ref="A1:AZ1"/>
    <mergeCell ref="A2:B2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R2:AU2"/>
    <mergeCell ref="AV2:AY2"/>
    <mergeCell ref="A19:X19"/>
    <mergeCell ref="Y19:AD19"/>
    <mergeCell ref="A20:AZ20"/>
    <mergeCell ref="A6:A7"/>
    <mergeCell ref="A9:A10"/>
    <mergeCell ref="A11:A12"/>
    <mergeCell ref="A13:A14"/>
    <mergeCell ref="A15:A16"/>
    <mergeCell ref="A17:A18"/>
    <mergeCell ref="AZ11:AZ12"/>
  </mergeCells>
  <pageMargins left="0.25" right="0.25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topLeftCell="A59" workbookViewId="0">
      <selection activeCell="J81" sqref="J81"/>
    </sheetView>
  </sheetViews>
  <sheetFormatPr defaultColWidth="9" defaultRowHeight="13.5"/>
  <cols>
    <col min="2" max="2" width="8.125" customWidth="1"/>
    <col min="3" max="4" width="8.25" customWidth="1"/>
    <col min="5" max="5" width="6.75" customWidth="1"/>
    <col min="6" max="6" width="7.375" style="1" customWidth="1"/>
    <col min="9" max="9" width="7.875" style="1" customWidth="1"/>
    <col min="10" max="10" width="8" customWidth="1"/>
    <col min="11" max="11" width="7.375" customWidth="1"/>
  </cols>
  <sheetData>
    <row r="1" ht="27" customHeight="1" spans="1:14">
      <c r="A1" s="2" t="s">
        <v>39</v>
      </c>
      <c r="B1" s="2"/>
      <c r="C1" s="2"/>
      <c r="D1" s="2"/>
      <c r="E1" s="2"/>
      <c r="F1" s="3"/>
      <c r="G1" s="2"/>
      <c r="H1" s="2"/>
      <c r="I1" s="3"/>
      <c r="J1" s="2"/>
      <c r="K1" s="2"/>
      <c r="L1" s="2"/>
      <c r="M1" s="2"/>
      <c r="N1" s="2"/>
    </row>
    <row r="2" ht="24" customHeight="1" spans="1:14">
      <c r="A2" s="2"/>
      <c r="B2" s="2"/>
      <c r="C2" s="2"/>
      <c r="D2" s="2"/>
      <c r="E2" s="2"/>
      <c r="F2" s="3"/>
      <c r="G2" s="19" t="s">
        <v>40</v>
      </c>
      <c r="H2" s="19"/>
      <c r="I2" s="3"/>
      <c r="J2" s="2"/>
      <c r="K2" s="2"/>
      <c r="L2" s="2"/>
      <c r="M2" s="2"/>
      <c r="N2" s="2"/>
    </row>
    <row r="3" ht="21.95" customHeight="1" spans="1:14">
      <c r="A3" s="4" t="s">
        <v>41</v>
      </c>
      <c r="B3" s="6" t="s">
        <v>42</v>
      </c>
      <c r="C3" s="6"/>
      <c r="D3" s="6" t="s">
        <v>43</v>
      </c>
      <c r="E3" s="6"/>
      <c r="F3" s="5">
        <v>44983</v>
      </c>
      <c r="G3" s="6" t="s">
        <v>43</v>
      </c>
      <c r="H3" s="4"/>
      <c r="I3" s="5">
        <v>45013</v>
      </c>
      <c r="J3" s="6" t="s">
        <v>43</v>
      </c>
      <c r="K3" s="4">
        <v>30</v>
      </c>
      <c r="L3" s="7" t="s">
        <v>44</v>
      </c>
      <c r="M3" s="6" t="s">
        <v>43</v>
      </c>
      <c r="N3" s="4"/>
    </row>
    <row r="4" spans="1:14">
      <c r="A4" s="4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8" t="s">
        <v>47</v>
      </c>
      <c r="G4" s="4" t="s">
        <v>48</v>
      </c>
      <c r="H4" s="4" t="s">
        <v>49</v>
      </c>
      <c r="I4" s="8" t="s">
        <v>47</v>
      </c>
      <c r="J4" s="4" t="s">
        <v>48</v>
      </c>
      <c r="K4" s="4" t="s">
        <v>49</v>
      </c>
      <c r="L4" s="4" t="s">
        <v>47</v>
      </c>
      <c r="M4" s="4" t="s">
        <v>48</v>
      </c>
      <c r="N4" s="4" t="s">
        <v>49</v>
      </c>
    </row>
    <row r="5" spans="1:14">
      <c r="A5" s="4" t="s">
        <v>50</v>
      </c>
      <c r="B5" s="4"/>
      <c r="C5" s="4"/>
      <c r="D5" s="4"/>
      <c r="E5" s="4"/>
      <c r="F5" s="16">
        <v>344</v>
      </c>
      <c r="G5" s="4"/>
      <c r="H5" s="4"/>
      <c r="I5" s="16">
        <v>380</v>
      </c>
      <c r="J5" s="4">
        <f t="shared" ref="J5:J58" si="0">I5-F5</f>
        <v>36</v>
      </c>
      <c r="K5" s="15">
        <f t="shared" ref="K5:K60" si="1">J5/30</f>
        <v>1.2</v>
      </c>
      <c r="L5" s="4"/>
      <c r="M5" s="4"/>
      <c r="N5" s="4"/>
    </row>
    <row r="6" spans="1:14">
      <c r="A6" s="4" t="s">
        <v>51</v>
      </c>
      <c r="B6" s="4"/>
      <c r="C6" s="4"/>
      <c r="D6" s="4"/>
      <c r="E6" s="4"/>
      <c r="F6" s="16">
        <v>222</v>
      </c>
      <c r="G6" s="4"/>
      <c r="H6" s="4"/>
      <c r="I6" s="16">
        <v>241</v>
      </c>
      <c r="J6" s="4">
        <f t="shared" si="0"/>
        <v>19</v>
      </c>
      <c r="K6" s="15">
        <f t="shared" si="1"/>
        <v>0.633333333333333</v>
      </c>
      <c r="L6" s="4"/>
      <c r="M6" s="4"/>
      <c r="N6" s="4"/>
    </row>
    <row r="7" spans="1:14">
      <c r="A7" s="4" t="s">
        <v>52</v>
      </c>
      <c r="B7" s="4"/>
      <c r="C7" s="4"/>
      <c r="D7" s="4"/>
      <c r="E7" s="4"/>
      <c r="F7" s="16">
        <v>281</v>
      </c>
      <c r="G7" s="4"/>
      <c r="H7" s="4"/>
      <c r="I7" s="16">
        <v>320</v>
      </c>
      <c r="J7" s="4">
        <f t="shared" si="0"/>
        <v>39</v>
      </c>
      <c r="K7" s="15">
        <f t="shared" si="1"/>
        <v>1.3</v>
      </c>
      <c r="L7" s="4"/>
      <c r="M7" s="4"/>
      <c r="N7" s="4"/>
    </row>
    <row r="8" spans="1:14">
      <c r="A8" s="4" t="s">
        <v>53</v>
      </c>
      <c r="B8" s="4"/>
      <c r="C8" s="4"/>
      <c r="D8" s="4"/>
      <c r="E8" s="4"/>
      <c r="F8" s="16">
        <v>206</v>
      </c>
      <c r="G8" s="4"/>
      <c r="H8" s="4"/>
      <c r="I8" s="16">
        <v>238</v>
      </c>
      <c r="J8" s="4">
        <f t="shared" si="0"/>
        <v>32</v>
      </c>
      <c r="K8" s="15">
        <f t="shared" si="1"/>
        <v>1.06666666666667</v>
      </c>
      <c r="L8" s="4"/>
      <c r="M8" s="4"/>
      <c r="N8" s="4"/>
    </row>
    <row r="9" spans="1:14">
      <c r="A9" s="4" t="s">
        <v>54</v>
      </c>
      <c r="B9" s="4"/>
      <c r="C9" s="4"/>
      <c r="D9" s="4"/>
      <c r="E9" s="4"/>
      <c r="F9" s="16">
        <v>279</v>
      </c>
      <c r="G9" s="4"/>
      <c r="H9" s="4"/>
      <c r="I9" s="16">
        <v>305</v>
      </c>
      <c r="J9" s="4">
        <f t="shared" si="0"/>
        <v>26</v>
      </c>
      <c r="K9" s="15">
        <f t="shared" si="1"/>
        <v>0.866666666666667</v>
      </c>
      <c r="L9" s="4"/>
      <c r="M9" s="4"/>
      <c r="N9" s="4"/>
    </row>
    <row r="10" spans="1:14">
      <c r="A10" s="4" t="s">
        <v>55</v>
      </c>
      <c r="B10" s="4"/>
      <c r="C10" s="4"/>
      <c r="D10" s="4"/>
      <c r="E10" s="4"/>
      <c r="F10" s="16">
        <v>314</v>
      </c>
      <c r="G10" s="4"/>
      <c r="H10" s="4"/>
      <c r="I10" s="16">
        <v>320</v>
      </c>
      <c r="J10" s="4">
        <f t="shared" si="0"/>
        <v>6</v>
      </c>
      <c r="K10" s="15">
        <f t="shared" si="1"/>
        <v>0.2</v>
      </c>
      <c r="L10" s="4"/>
      <c r="M10" s="4"/>
      <c r="N10" s="4"/>
    </row>
    <row r="11" spans="1:14">
      <c r="A11" s="4" t="s">
        <v>56</v>
      </c>
      <c r="B11" s="4"/>
      <c r="C11" s="4"/>
      <c r="D11" s="4"/>
      <c r="E11" s="4"/>
      <c r="F11" s="16">
        <v>272</v>
      </c>
      <c r="G11" s="4"/>
      <c r="H11" s="4"/>
      <c r="I11" s="16">
        <v>300</v>
      </c>
      <c r="J11" s="4">
        <f t="shared" si="0"/>
        <v>28</v>
      </c>
      <c r="K11" s="15">
        <f t="shared" si="1"/>
        <v>0.933333333333333</v>
      </c>
      <c r="L11" s="4"/>
      <c r="M11" s="4"/>
      <c r="N11" s="4"/>
    </row>
    <row r="12" spans="1:14">
      <c r="A12" s="4" t="s">
        <v>57</v>
      </c>
      <c r="B12" s="4"/>
      <c r="C12" s="4"/>
      <c r="D12" s="4"/>
      <c r="E12" s="4"/>
      <c r="F12" s="16">
        <v>257</v>
      </c>
      <c r="G12" s="4"/>
      <c r="H12" s="4"/>
      <c r="I12" s="16">
        <v>290</v>
      </c>
      <c r="J12" s="4">
        <f t="shared" si="0"/>
        <v>33</v>
      </c>
      <c r="K12" s="15">
        <f t="shared" si="1"/>
        <v>1.1</v>
      </c>
      <c r="L12" s="4"/>
      <c r="M12" s="4"/>
      <c r="N12" s="4"/>
    </row>
    <row r="13" spans="1:14">
      <c r="A13" s="4" t="s">
        <v>58</v>
      </c>
      <c r="B13" s="4"/>
      <c r="C13" s="4"/>
      <c r="D13" s="4"/>
      <c r="E13" s="4"/>
      <c r="F13" s="16">
        <v>286</v>
      </c>
      <c r="G13" s="4"/>
      <c r="H13" s="4"/>
      <c r="I13" s="16">
        <v>325</v>
      </c>
      <c r="J13" s="4">
        <f t="shared" si="0"/>
        <v>39</v>
      </c>
      <c r="K13" s="15">
        <f t="shared" si="1"/>
        <v>1.3</v>
      </c>
      <c r="L13" s="4"/>
      <c r="M13" s="4"/>
      <c r="N13" s="4"/>
    </row>
    <row r="14" spans="1:14">
      <c r="A14" s="4" t="s">
        <v>59</v>
      </c>
      <c r="B14" s="4"/>
      <c r="C14" s="4"/>
      <c r="D14" s="4"/>
      <c r="E14" s="4"/>
      <c r="F14" s="16">
        <v>223</v>
      </c>
      <c r="G14" s="4"/>
      <c r="H14" s="4"/>
      <c r="I14" s="16">
        <v>255</v>
      </c>
      <c r="J14" s="4">
        <f t="shared" si="0"/>
        <v>32</v>
      </c>
      <c r="K14" s="15">
        <f t="shared" si="1"/>
        <v>1.06666666666667</v>
      </c>
      <c r="L14" s="4"/>
      <c r="M14" s="4"/>
      <c r="N14" s="4"/>
    </row>
    <row r="15" spans="1:14">
      <c r="A15" s="4" t="s">
        <v>60</v>
      </c>
      <c r="B15" s="4"/>
      <c r="C15" s="4"/>
      <c r="D15" s="4"/>
      <c r="E15" s="4"/>
      <c r="F15" s="16">
        <v>229</v>
      </c>
      <c r="G15" s="4"/>
      <c r="H15" s="4"/>
      <c r="I15" s="16">
        <v>266</v>
      </c>
      <c r="J15" s="4">
        <f t="shared" si="0"/>
        <v>37</v>
      </c>
      <c r="K15" s="15">
        <f t="shared" si="1"/>
        <v>1.23333333333333</v>
      </c>
      <c r="L15" s="4"/>
      <c r="M15" s="4"/>
      <c r="N15" s="4"/>
    </row>
    <row r="16" spans="1:14">
      <c r="A16" s="4" t="s">
        <v>61</v>
      </c>
      <c r="B16" s="4"/>
      <c r="C16" s="4"/>
      <c r="D16" s="4"/>
      <c r="E16" s="4"/>
      <c r="F16" s="16">
        <v>226</v>
      </c>
      <c r="G16" s="4"/>
      <c r="H16" s="4"/>
      <c r="I16" s="16">
        <v>260</v>
      </c>
      <c r="J16" s="4">
        <f t="shared" si="0"/>
        <v>34</v>
      </c>
      <c r="K16" s="15">
        <f t="shared" si="1"/>
        <v>1.13333333333333</v>
      </c>
      <c r="L16" s="4"/>
      <c r="M16" s="4"/>
      <c r="N16" s="4"/>
    </row>
    <row r="17" spans="1:14">
      <c r="A17" s="4" t="s">
        <v>62</v>
      </c>
      <c r="B17" s="4"/>
      <c r="C17" s="4"/>
      <c r="D17" s="4"/>
      <c r="E17" s="4"/>
      <c r="F17" s="16">
        <v>266</v>
      </c>
      <c r="G17" s="4"/>
      <c r="H17" s="4"/>
      <c r="I17" s="16">
        <v>300</v>
      </c>
      <c r="J17" s="4">
        <f t="shared" si="0"/>
        <v>34</v>
      </c>
      <c r="K17" s="15">
        <f t="shared" si="1"/>
        <v>1.13333333333333</v>
      </c>
      <c r="L17" s="4"/>
      <c r="M17" s="4"/>
      <c r="N17" s="4"/>
    </row>
    <row r="18" spans="1:14">
      <c r="A18" s="4" t="s">
        <v>63</v>
      </c>
      <c r="B18" s="4"/>
      <c r="C18" s="4"/>
      <c r="D18" s="4"/>
      <c r="E18" s="4"/>
      <c r="F18" s="16">
        <v>256</v>
      </c>
      <c r="G18" s="4"/>
      <c r="H18" s="4"/>
      <c r="I18" s="16">
        <v>290</v>
      </c>
      <c r="J18" s="4">
        <f t="shared" si="0"/>
        <v>34</v>
      </c>
      <c r="K18" s="15">
        <f t="shared" si="1"/>
        <v>1.13333333333333</v>
      </c>
      <c r="L18" s="4"/>
      <c r="M18" s="4"/>
      <c r="N18" s="4"/>
    </row>
    <row r="19" spans="1:14">
      <c r="A19" s="4" t="s">
        <v>64</v>
      </c>
      <c r="B19" s="4"/>
      <c r="C19" s="4"/>
      <c r="D19" s="4"/>
      <c r="E19" s="4"/>
      <c r="F19" s="16">
        <v>262</v>
      </c>
      <c r="G19" s="4"/>
      <c r="H19" s="4"/>
      <c r="I19" s="16">
        <v>305</v>
      </c>
      <c r="J19" s="4">
        <f t="shared" si="0"/>
        <v>43</v>
      </c>
      <c r="K19" s="15">
        <f t="shared" si="1"/>
        <v>1.43333333333333</v>
      </c>
      <c r="L19" s="4"/>
      <c r="M19" s="4"/>
      <c r="N19" s="4"/>
    </row>
    <row r="20" spans="1:14">
      <c r="A20" s="4" t="s">
        <v>65</v>
      </c>
      <c r="B20" s="4"/>
      <c r="C20" s="4"/>
      <c r="D20" s="4"/>
      <c r="E20" s="4"/>
      <c r="F20" s="16">
        <v>272</v>
      </c>
      <c r="G20" s="4"/>
      <c r="H20" s="4"/>
      <c r="I20" s="16">
        <v>305</v>
      </c>
      <c r="J20" s="4">
        <f t="shared" si="0"/>
        <v>33</v>
      </c>
      <c r="K20" s="15">
        <f t="shared" si="1"/>
        <v>1.1</v>
      </c>
      <c r="L20" s="4"/>
      <c r="M20" s="4"/>
      <c r="N20" s="4"/>
    </row>
    <row r="21" spans="1:14">
      <c r="A21" s="4" t="s">
        <v>66</v>
      </c>
      <c r="B21" s="4"/>
      <c r="C21" s="4"/>
      <c r="D21" s="4"/>
      <c r="E21" s="4"/>
      <c r="F21" s="16">
        <v>217</v>
      </c>
      <c r="G21" s="4"/>
      <c r="H21" s="4"/>
      <c r="I21" s="16">
        <v>230</v>
      </c>
      <c r="J21" s="4">
        <f t="shared" si="0"/>
        <v>13</v>
      </c>
      <c r="K21" s="15">
        <f t="shared" si="1"/>
        <v>0.433333333333333</v>
      </c>
      <c r="L21" s="4"/>
      <c r="M21" s="4"/>
      <c r="N21" s="4"/>
    </row>
    <row r="22" spans="1:14">
      <c r="A22" s="4" t="s">
        <v>67</v>
      </c>
      <c r="B22" s="4"/>
      <c r="C22" s="4"/>
      <c r="D22" s="4"/>
      <c r="E22" s="4"/>
      <c r="F22" s="16">
        <v>139</v>
      </c>
      <c r="G22" s="4"/>
      <c r="H22" s="4"/>
      <c r="I22" s="16">
        <v>150</v>
      </c>
      <c r="J22" s="4">
        <f t="shared" si="0"/>
        <v>11</v>
      </c>
      <c r="K22" s="15">
        <f t="shared" si="1"/>
        <v>0.366666666666667</v>
      </c>
      <c r="L22" s="4"/>
      <c r="M22" s="4"/>
      <c r="N22" s="4"/>
    </row>
    <row r="23" spans="1:14">
      <c r="A23" s="4" t="s">
        <v>68</v>
      </c>
      <c r="B23" s="4"/>
      <c r="C23" s="4"/>
      <c r="D23" s="4"/>
      <c r="E23" s="4"/>
      <c r="F23" s="16">
        <v>347</v>
      </c>
      <c r="G23" s="4"/>
      <c r="H23" s="4"/>
      <c r="I23" s="16">
        <v>380</v>
      </c>
      <c r="J23" s="4">
        <f t="shared" si="0"/>
        <v>33</v>
      </c>
      <c r="K23" s="15">
        <f t="shared" si="1"/>
        <v>1.1</v>
      </c>
      <c r="L23" s="4"/>
      <c r="M23" s="4"/>
      <c r="N23" s="4"/>
    </row>
    <row r="24" spans="1:14">
      <c r="A24" s="4" t="s">
        <v>69</v>
      </c>
      <c r="B24" s="4"/>
      <c r="C24" s="4"/>
      <c r="D24" s="4"/>
      <c r="E24" s="4"/>
      <c r="F24" s="16">
        <v>280</v>
      </c>
      <c r="G24" s="4"/>
      <c r="H24" s="4"/>
      <c r="I24" s="16">
        <v>290</v>
      </c>
      <c r="J24" s="4">
        <f t="shared" si="0"/>
        <v>10</v>
      </c>
      <c r="K24" s="15">
        <f t="shared" si="1"/>
        <v>0.333333333333333</v>
      </c>
      <c r="L24" s="4"/>
      <c r="M24" s="4"/>
      <c r="N24" s="4"/>
    </row>
    <row r="25" spans="1:14">
      <c r="A25" s="4" t="s">
        <v>70</v>
      </c>
      <c r="B25" s="4"/>
      <c r="C25" s="4"/>
      <c r="D25" s="4"/>
      <c r="E25" s="4"/>
      <c r="F25" s="16">
        <v>294</v>
      </c>
      <c r="G25" s="4"/>
      <c r="H25" s="4"/>
      <c r="I25" s="16">
        <v>339</v>
      </c>
      <c r="J25" s="4">
        <f t="shared" si="0"/>
        <v>45</v>
      </c>
      <c r="K25" s="15">
        <f t="shared" si="1"/>
        <v>1.5</v>
      </c>
      <c r="L25" s="4"/>
      <c r="M25" s="4"/>
      <c r="N25" s="4"/>
    </row>
    <row r="26" spans="1:14">
      <c r="A26" s="4" t="s">
        <v>71</v>
      </c>
      <c r="B26" s="4"/>
      <c r="C26" s="4"/>
      <c r="D26" s="4"/>
      <c r="E26" s="4"/>
      <c r="F26" s="16">
        <v>405</v>
      </c>
      <c r="G26" s="4"/>
      <c r="H26" s="4"/>
      <c r="I26" s="16">
        <v>430</v>
      </c>
      <c r="J26" s="4">
        <f t="shared" si="0"/>
        <v>25</v>
      </c>
      <c r="K26" s="15">
        <f t="shared" si="1"/>
        <v>0.833333333333333</v>
      </c>
      <c r="L26" s="4"/>
      <c r="M26" s="4"/>
      <c r="N26" s="4"/>
    </row>
    <row r="27" spans="1:14">
      <c r="A27" s="4" t="s">
        <v>72</v>
      </c>
      <c r="B27" s="4"/>
      <c r="C27" s="4"/>
      <c r="D27" s="4"/>
      <c r="E27" s="4"/>
      <c r="F27" s="16">
        <v>265</v>
      </c>
      <c r="G27" s="4"/>
      <c r="H27" s="4"/>
      <c r="I27" s="16">
        <v>290</v>
      </c>
      <c r="J27" s="4">
        <f t="shared" si="0"/>
        <v>25</v>
      </c>
      <c r="K27" s="15">
        <f t="shared" si="1"/>
        <v>0.833333333333333</v>
      </c>
      <c r="L27" s="4"/>
      <c r="M27" s="4"/>
      <c r="N27" s="4"/>
    </row>
    <row r="28" spans="1:14">
      <c r="A28" s="4" t="s">
        <v>73</v>
      </c>
      <c r="B28" s="4"/>
      <c r="C28" s="4"/>
      <c r="D28" s="4"/>
      <c r="E28" s="4"/>
      <c r="F28" s="16">
        <v>340</v>
      </c>
      <c r="G28" s="4"/>
      <c r="H28" s="4"/>
      <c r="I28" s="16">
        <v>378</v>
      </c>
      <c r="J28" s="4">
        <f t="shared" si="0"/>
        <v>38</v>
      </c>
      <c r="K28" s="15">
        <f t="shared" si="1"/>
        <v>1.26666666666667</v>
      </c>
      <c r="L28" s="4"/>
      <c r="M28" s="4"/>
      <c r="N28" s="4"/>
    </row>
    <row r="29" spans="1:14">
      <c r="A29" s="4" t="s">
        <v>74</v>
      </c>
      <c r="B29" s="4"/>
      <c r="C29" s="4"/>
      <c r="D29" s="4"/>
      <c r="E29" s="4"/>
      <c r="F29" s="16">
        <v>277</v>
      </c>
      <c r="G29" s="4"/>
      <c r="H29" s="4"/>
      <c r="I29" s="16">
        <v>315</v>
      </c>
      <c r="J29" s="4">
        <f t="shared" si="0"/>
        <v>38</v>
      </c>
      <c r="K29" s="15">
        <f t="shared" si="1"/>
        <v>1.26666666666667</v>
      </c>
      <c r="L29" s="4"/>
      <c r="M29" s="4"/>
      <c r="N29" s="4"/>
    </row>
    <row r="30" spans="1:14">
      <c r="A30" s="4" t="s">
        <v>75</v>
      </c>
      <c r="B30" s="4"/>
      <c r="C30" s="4"/>
      <c r="D30" s="4"/>
      <c r="E30" s="4"/>
      <c r="F30" s="16">
        <v>290</v>
      </c>
      <c r="G30" s="4"/>
      <c r="H30" s="4"/>
      <c r="I30" s="16">
        <v>310</v>
      </c>
      <c r="J30" s="4">
        <f t="shared" si="0"/>
        <v>20</v>
      </c>
      <c r="K30" s="15">
        <f t="shared" si="1"/>
        <v>0.666666666666667</v>
      </c>
      <c r="L30" s="4"/>
      <c r="M30" s="4"/>
      <c r="N30" s="4"/>
    </row>
    <row r="31" spans="1:14">
      <c r="A31" s="4" t="s">
        <v>76</v>
      </c>
      <c r="B31" s="4"/>
      <c r="C31" s="4"/>
      <c r="D31" s="4"/>
      <c r="E31" s="4"/>
      <c r="F31" s="16">
        <v>279</v>
      </c>
      <c r="G31" s="4"/>
      <c r="H31" s="4"/>
      <c r="I31" s="16">
        <v>296</v>
      </c>
      <c r="J31" s="4">
        <f t="shared" si="0"/>
        <v>17</v>
      </c>
      <c r="K31" s="15">
        <f t="shared" si="1"/>
        <v>0.566666666666667</v>
      </c>
      <c r="L31" s="4"/>
      <c r="M31" s="4"/>
      <c r="N31" s="4"/>
    </row>
    <row r="32" spans="1:14">
      <c r="A32" s="4" t="s">
        <v>77</v>
      </c>
      <c r="B32" s="4"/>
      <c r="C32" s="4"/>
      <c r="D32" s="4"/>
      <c r="E32" s="4"/>
      <c r="F32" s="16">
        <v>307</v>
      </c>
      <c r="G32" s="4"/>
      <c r="H32" s="4"/>
      <c r="I32" s="16">
        <v>345</v>
      </c>
      <c r="J32" s="4">
        <f t="shared" si="0"/>
        <v>38</v>
      </c>
      <c r="K32" s="15">
        <f t="shared" si="1"/>
        <v>1.26666666666667</v>
      </c>
      <c r="L32" s="4"/>
      <c r="M32" s="4"/>
      <c r="N32" s="4"/>
    </row>
    <row r="33" spans="1:14">
      <c r="A33" s="4" t="s">
        <v>78</v>
      </c>
      <c r="B33" s="4"/>
      <c r="C33" s="4"/>
      <c r="D33" s="4"/>
      <c r="E33" s="4"/>
      <c r="F33" s="16">
        <v>369</v>
      </c>
      <c r="G33" s="4"/>
      <c r="H33" s="4"/>
      <c r="I33" s="16">
        <v>390</v>
      </c>
      <c r="J33" s="4">
        <f t="shared" si="0"/>
        <v>21</v>
      </c>
      <c r="K33" s="15">
        <f t="shared" si="1"/>
        <v>0.7</v>
      </c>
      <c r="L33" s="4"/>
      <c r="M33" s="4"/>
      <c r="N33" s="4"/>
    </row>
    <row r="34" spans="1:14">
      <c r="A34" s="4" t="s">
        <v>79</v>
      </c>
      <c r="B34" s="4"/>
      <c r="C34" s="4"/>
      <c r="D34" s="4"/>
      <c r="E34" s="4"/>
      <c r="F34" s="16">
        <v>434</v>
      </c>
      <c r="G34" s="4"/>
      <c r="H34" s="4"/>
      <c r="I34" s="16">
        <v>475</v>
      </c>
      <c r="J34" s="4">
        <f t="shared" si="0"/>
        <v>41</v>
      </c>
      <c r="K34" s="15">
        <f t="shared" si="1"/>
        <v>1.36666666666667</v>
      </c>
      <c r="L34" s="4"/>
      <c r="M34" s="4"/>
      <c r="N34" s="4"/>
    </row>
    <row r="35" spans="1:14">
      <c r="A35" s="4" t="s">
        <v>80</v>
      </c>
      <c r="B35" s="4"/>
      <c r="C35" s="4"/>
      <c r="D35" s="4"/>
      <c r="E35" s="4"/>
      <c r="F35" s="16">
        <v>340</v>
      </c>
      <c r="G35" s="4"/>
      <c r="H35" s="4"/>
      <c r="I35" s="16">
        <v>365</v>
      </c>
      <c r="J35" s="4">
        <f t="shared" si="0"/>
        <v>25</v>
      </c>
      <c r="K35" s="15">
        <f t="shared" si="1"/>
        <v>0.833333333333333</v>
      </c>
      <c r="L35" s="4"/>
      <c r="M35" s="4"/>
      <c r="N35" s="4"/>
    </row>
    <row r="36" spans="1:14">
      <c r="A36" s="4" t="s">
        <v>81</v>
      </c>
      <c r="B36" s="4"/>
      <c r="C36" s="4"/>
      <c r="D36" s="4"/>
      <c r="E36" s="4"/>
      <c r="F36" s="16">
        <v>319</v>
      </c>
      <c r="G36" s="4"/>
      <c r="H36" s="4"/>
      <c r="I36" s="16">
        <v>360</v>
      </c>
      <c r="J36" s="4">
        <f t="shared" si="0"/>
        <v>41</v>
      </c>
      <c r="K36" s="15">
        <f t="shared" si="1"/>
        <v>1.36666666666667</v>
      </c>
      <c r="L36" s="4"/>
      <c r="M36" s="4"/>
      <c r="N36" s="4"/>
    </row>
    <row r="37" spans="1:14">
      <c r="A37" s="4" t="s">
        <v>82</v>
      </c>
      <c r="B37" s="4"/>
      <c r="C37" s="4"/>
      <c r="D37" s="4"/>
      <c r="E37" s="4"/>
      <c r="F37" s="16">
        <v>349</v>
      </c>
      <c r="G37" s="4"/>
      <c r="H37" s="4"/>
      <c r="I37" s="16">
        <v>390</v>
      </c>
      <c r="J37" s="4">
        <f t="shared" si="0"/>
        <v>41</v>
      </c>
      <c r="K37" s="15">
        <f t="shared" si="1"/>
        <v>1.36666666666667</v>
      </c>
      <c r="L37" s="4"/>
      <c r="M37" s="4"/>
      <c r="N37" s="4"/>
    </row>
    <row r="38" spans="1:14">
      <c r="A38" s="4" t="s">
        <v>83</v>
      </c>
      <c r="B38" s="4"/>
      <c r="C38" s="4"/>
      <c r="D38" s="4"/>
      <c r="E38" s="4"/>
      <c r="F38" s="16">
        <v>295</v>
      </c>
      <c r="G38" s="4"/>
      <c r="H38" s="4"/>
      <c r="I38" s="16">
        <v>325</v>
      </c>
      <c r="J38" s="4">
        <f t="shared" si="0"/>
        <v>30</v>
      </c>
      <c r="K38" s="15">
        <f t="shared" si="1"/>
        <v>1</v>
      </c>
      <c r="L38" s="4"/>
      <c r="M38" s="4"/>
      <c r="N38" s="4"/>
    </row>
    <row r="39" spans="1:14">
      <c r="A39" s="4" t="s">
        <v>84</v>
      </c>
      <c r="B39" s="4"/>
      <c r="C39" s="4"/>
      <c r="D39" s="4"/>
      <c r="E39" s="4"/>
      <c r="F39" s="16">
        <v>300</v>
      </c>
      <c r="G39" s="4"/>
      <c r="H39" s="4"/>
      <c r="I39" s="16">
        <v>320</v>
      </c>
      <c r="J39" s="4">
        <f t="shared" si="0"/>
        <v>20</v>
      </c>
      <c r="K39" s="15">
        <f t="shared" si="1"/>
        <v>0.666666666666667</v>
      </c>
      <c r="L39" s="4"/>
      <c r="M39" s="4"/>
      <c r="N39" s="4"/>
    </row>
    <row r="40" spans="1:14">
      <c r="A40" s="4" t="s">
        <v>85</v>
      </c>
      <c r="B40" s="4"/>
      <c r="C40" s="4"/>
      <c r="D40" s="4"/>
      <c r="E40" s="4"/>
      <c r="F40" s="16">
        <v>350</v>
      </c>
      <c r="G40" s="4"/>
      <c r="H40" s="4"/>
      <c r="I40" s="16">
        <v>390</v>
      </c>
      <c r="J40" s="4">
        <f t="shared" si="0"/>
        <v>40</v>
      </c>
      <c r="K40" s="15">
        <f t="shared" si="1"/>
        <v>1.33333333333333</v>
      </c>
      <c r="L40" s="4"/>
      <c r="M40" s="4"/>
      <c r="N40" s="4"/>
    </row>
    <row r="41" spans="1:14">
      <c r="A41" s="4" t="s">
        <v>86</v>
      </c>
      <c r="B41" s="4"/>
      <c r="C41" s="4"/>
      <c r="D41" s="4"/>
      <c r="E41" s="4"/>
      <c r="F41" s="16">
        <v>190</v>
      </c>
      <c r="G41" s="4"/>
      <c r="H41" s="4"/>
      <c r="I41" s="16">
        <v>225</v>
      </c>
      <c r="J41" s="4">
        <f t="shared" si="0"/>
        <v>35</v>
      </c>
      <c r="K41" s="15">
        <f t="shared" si="1"/>
        <v>1.16666666666667</v>
      </c>
      <c r="L41" s="4"/>
      <c r="M41" s="4"/>
      <c r="N41" s="4"/>
    </row>
    <row r="42" spans="1:14">
      <c r="A42" s="4" t="s">
        <v>87</v>
      </c>
      <c r="B42" s="4"/>
      <c r="C42" s="4"/>
      <c r="D42" s="4"/>
      <c r="E42" s="4"/>
      <c r="F42" s="16">
        <v>265</v>
      </c>
      <c r="G42" s="4"/>
      <c r="H42" s="4"/>
      <c r="I42" s="16">
        <v>300</v>
      </c>
      <c r="J42" s="4">
        <f t="shared" si="0"/>
        <v>35</v>
      </c>
      <c r="K42" s="15">
        <f t="shared" si="1"/>
        <v>1.16666666666667</v>
      </c>
      <c r="L42" s="4"/>
      <c r="M42" s="4"/>
      <c r="N42" s="4"/>
    </row>
    <row r="43" spans="1:14">
      <c r="A43" s="4" t="s">
        <v>88</v>
      </c>
      <c r="B43" s="4"/>
      <c r="C43" s="4"/>
      <c r="D43" s="4"/>
      <c r="E43" s="4"/>
      <c r="F43" s="16">
        <v>293</v>
      </c>
      <c r="G43" s="4"/>
      <c r="H43" s="4"/>
      <c r="I43" s="16">
        <v>317</v>
      </c>
      <c r="J43" s="4">
        <f t="shared" si="0"/>
        <v>24</v>
      </c>
      <c r="K43" s="15">
        <f t="shared" si="1"/>
        <v>0.8</v>
      </c>
      <c r="L43" s="4"/>
      <c r="M43" s="4"/>
      <c r="N43" s="4"/>
    </row>
    <row r="44" spans="1:14">
      <c r="A44" s="4" t="s">
        <v>89</v>
      </c>
      <c r="B44" s="4"/>
      <c r="C44" s="4"/>
      <c r="D44" s="4"/>
      <c r="E44" s="4"/>
      <c r="F44" s="16">
        <v>229</v>
      </c>
      <c r="G44" s="4"/>
      <c r="H44" s="4"/>
      <c r="I44" s="16">
        <v>250</v>
      </c>
      <c r="J44" s="4">
        <f t="shared" si="0"/>
        <v>21</v>
      </c>
      <c r="K44" s="15">
        <f t="shared" si="1"/>
        <v>0.7</v>
      </c>
      <c r="L44" s="4"/>
      <c r="M44" s="4"/>
      <c r="N44" s="4"/>
    </row>
    <row r="45" spans="1:14">
      <c r="A45" s="4" t="s">
        <v>90</v>
      </c>
      <c r="B45" s="4"/>
      <c r="C45" s="4"/>
      <c r="D45" s="4"/>
      <c r="E45" s="4"/>
      <c r="F45" s="16">
        <v>416</v>
      </c>
      <c r="G45" s="4"/>
      <c r="H45" s="4"/>
      <c r="I45" s="16">
        <v>440</v>
      </c>
      <c r="J45" s="4">
        <f t="shared" si="0"/>
        <v>24</v>
      </c>
      <c r="K45" s="15">
        <f t="shared" si="1"/>
        <v>0.8</v>
      </c>
      <c r="L45" s="4"/>
      <c r="M45" s="4"/>
      <c r="N45" s="4"/>
    </row>
    <row r="46" spans="1:14">
      <c r="A46" s="4" t="s">
        <v>91</v>
      </c>
      <c r="B46" s="4"/>
      <c r="C46" s="4"/>
      <c r="D46" s="4"/>
      <c r="E46" s="4"/>
      <c r="F46" s="16">
        <v>372</v>
      </c>
      <c r="G46" s="4"/>
      <c r="H46" s="4"/>
      <c r="I46" s="16">
        <v>400</v>
      </c>
      <c r="J46" s="4">
        <f t="shared" si="0"/>
        <v>28</v>
      </c>
      <c r="K46" s="15">
        <f t="shared" si="1"/>
        <v>0.933333333333333</v>
      </c>
      <c r="L46" s="4"/>
      <c r="M46" s="4"/>
      <c r="N46" s="4"/>
    </row>
    <row r="47" spans="1:14">
      <c r="A47" s="4" t="s">
        <v>92</v>
      </c>
      <c r="B47" s="4"/>
      <c r="C47" s="4"/>
      <c r="D47" s="4"/>
      <c r="E47" s="4"/>
      <c r="F47" s="16">
        <v>297</v>
      </c>
      <c r="G47" s="4"/>
      <c r="H47" s="4"/>
      <c r="I47" s="16">
        <v>330</v>
      </c>
      <c r="J47" s="4">
        <f t="shared" si="0"/>
        <v>33</v>
      </c>
      <c r="K47" s="15">
        <f t="shared" si="1"/>
        <v>1.1</v>
      </c>
      <c r="L47" s="4"/>
      <c r="M47" s="4"/>
      <c r="N47" s="4"/>
    </row>
    <row r="48" spans="1:14">
      <c r="A48" s="4" t="s">
        <v>93</v>
      </c>
      <c r="B48" s="4"/>
      <c r="C48" s="4"/>
      <c r="D48" s="4"/>
      <c r="E48" s="4"/>
      <c r="F48" s="16">
        <v>256</v>
      </c>
      <c r="G48" s="4"/>
      <c r="H48" s="4"/>
      <c r="I48" s="16">
        <v>270</v>
      </c>
      <c r="J48" s="4">
        <f t="shared" si="0"/>
        <v>14</v>
      </c>
      <c r="K48" s="15">
        <f t="shared" si="1"/>
        <v>0.466666666666667</v>
      </c>
      <c r="L48" s="4"/>
      <c r="M48" s="4"/>
      <c r="N48" s="4"/>
    </row>
    <row r="49" spans="1:14">
      <c r="A49" s="4" t="s">
        <v>94</v>
      </c>
      <c r="B49" s="4"/>
      <c r="C49" s="4"/>
      <c r="D49" s="4"/>
      <c r="E49" s="4"/>
      <c r="F49" s="16">
        <v>389</v>
      </c>
      <c r="G49" s="4"/>
      <c r="H49" s="4"/>
      <c r="I49" s="16">
        <v>410</v>
      </c>
      <c r="J49" s="4">
        <f t="shared" si="0"/>
        <v>21</v>
      </c>
      <c r="K49" s="15">
        <f t="shared" si="1"/>
        <v>0.7</v>
      </c>
      <c r="L49" s="4"/>
      <c r="M49" s="4"/>
      <c r="N49" s="4"/>
    </row>
    <row r="50" spans="1:14">
      <c r="A50" s="4" t="s">
        <v>95</v>
      </c>
      <c r="B50" s="4"/>
      <c r="C50" s="4"/>
      <c r="D50" s="4"/>
      <c r="E50" s="4"/>
      <c r="F50" s="16">
        <v>406</v>
      </c>
      <c r="G50" s="4"/>
      <c r="H50" s="4"/>
      <c r="I50" s="16">
        <v>440</v>
      </c>
      <c r="J50" s="4">
        <f t="shared" si="0"/>
        <v>34</v>
      </c>
      <c r="K50" s="15">
        <f t="shared" si="1"/>
        <v>1.13333333333333</v>
      </c>
      <c r="L50" s="4"/>
      <c r="M50" s="4"/>
      <c r="N50" s="4"/>
    </row>
    <row r="51" spans="1:14">
      <c r="A51" s="4" t="s">
        <v>96</v>
      </c>
      <c r="B51" s="4"/>
      <c r="C51" s="4"/>
      <c r="D51" s="4"/>
      <c r="E51" s="4"/>
      <c r="F51" s="16">
        <v>280</v>
      </c>
      <c r="G51" s="4"/>
      <c r="H51" s="4"/>
      <c r="I51" s="16">
        <v>310</v>
      </c>
      <c r="J51" s="4">
        <f t="shared" si="0"/>
        <v>30</v>
      </c>
      <c r="K51" s="15">
        <f t="shared" si="1"/>
        <v>1</v>
      </c>
      <c r="L51" s="4"/>
      <c r="M51" s="4"/>
      <c r="N51" s="4"/>
    </row>
    <row r="52" spans="1:14">
      <c r="A52" s="4" t="s">
        <v>97</v>
      </c>
      <c r="B52" s="4"/>
      <c r="C52" s="4"/>
      <c r="D52" s="4"/>
      <c r="E52" s="4"/>
      <c r="F52" s="16">
        <v>379</v>
      </c>
      <c r="G52" s="4"/>
      <c r="H52" s="4"/>
      <c r="I52" s="16">
        <v>402</v>
      </c>
      <c r="J52" s="4">
        <f t="shared" si="0"/>
        <v>23</v>
      </c>
      <c r="K52" s="15">
        <f t="shared" si="1"/>
        <v>0.766666666666667</v>
      </c>
      <c r="L52" s="4"/>
      <c r="M52" s="4"/>
      <c r="N52" s="4"/>
    </row>
    <row r="53" spans="1:14">
      <c r="A53" s="4" t="s">
        <v>98</v>
      </c>
      <c r="B53" s="4"/>
      <c r="C53" s="4"/>
      <c r="D53" s="4"/>
      <c r="E53" s="4"/>
      <c r="F53" s="16">
        <v>309</v>
      </c>
      <c r="G53" s="4"/>
      <c r="H53" s="4"/>
      <c r="I53" s="16">
        <v>325</v>
      </c>
      <c r="J53" s="4">
        <f t="shared" si="0"/>
        <v>16</v>
      </c>
      <c r="K53" s="15">
        <f t="shared" si="1"/>
        <v>0.533333333333333</v>
      </c>
      <c r="L53" s="4"/>
      <c r="M53" s="4"/>
      <c r="N53" s="4"/>
    </row>
    <row r="54" spans="1:14">
      <c r="A54" s="4" t="s">
        <v>99</v>
      </c>
      <c r="B54" s="4"/>
      <c r="C54" s="4"/>
      <c r="D54" s="4"/>
      <c r="E54" s="4"/>
      <c r="F54" s="16">
        <v>203</v>
      </c>
      <c r="G54" s="4"/>
      <c r="H54" s="4"/>
      <c r="I54" s="16">
        <v>220</v>
      </c>
      <c r="J54" s="4">
        <f t="shared" si="0"/>
        <v>17</v>
      </c>
      <c r="K54" s="15">
        <f t="shared" si="1"/>
        <v>0.566666666666667</v>
      </c>
      <c r="L54" s="4"/>
      <c r="M54" s="4"/>
      <c r="N54" s="4"/>
    </row>
    <row r="55" spans="1:14">
      <c r="A55" s="4" t="s">
        <v>100</v>
      </c>
      <c r="B55" s="4"/>
      <c r="C55" s="4"/>
      <c r="D55" s="4"/>
      <c r="E55" s="4"/>
      <c r="F55" s="16">
        <v>385</v>
      </c>
      <c r="G55" s="4"/>
      <c r="H55" s="4"/>
      <c r="I55" s="16">
        <v>425</v>
      </c>
      <c r="J55" s="4">
        <f t="shared" si="0"/>
        <v>40</v>
      </c>
      <c r="K55" s="15">
        <f t="shared" si="1"/>
        <v>1.33333333333333</v>
      </c>
      <c r="L55" s="4"/>
      <c r="M55" s="4"/>
      <c r="N55" s="4"/>
    </row>
    <row r="56" spans="1:14">
      <c r="A56" s="4" t="s">
        <v>101</v>
      </c>
      <c r="B56" s="4"/>
      <c r="C56" s="4"/>
      <c r="D56" s="4"/>
      <c r="E56" s="4"/>
      <c r="F56" s="16">
        <v>332</v>
      </c>
      <c r="G56" s="4"/>
      <c r="H56" s="4"/>
      <c r="I56" s="16">
        <v>374</v>
      </c>
      <c r="J56" s="4">
        <f t="shared" si="0"/>
        <v>42</v>
      </c>
      <c r="K56" s="15">
        <f t="shared" si="1"/>
        <v>1.4</v>
      </c>
      <c r="L56" s="4"/>
      <c r="M56" s="4"/>
      <c r="N56" s="4"/>
    </row>
    <row r="57" spans="1:14">
      <c r="A57" s="4" t="s">
        <v>102</v>
      </c>
      <c r="B57" s="4"/>
      <c r="C57" s="4"/>
      <c r="D57" s="4"/>
      <c r="E57" s="4"/>
      <c r="F57" s="16">
        <v>380</v>
      </c>
      <c r="G57" s="4"/>
      <c r="H57" s="4"/>
      <c r="I57" s="16">
        <v>406</v>
      </c>
      <c r="J57" s="4">
        <f t="shared" si="0"/>
        <v>26</v>
      </c>
      <c r="K57" s="15">
        <f t="shared" si="1"/>
        <v>0.866666666666667</v>
      </c>
      <c r="L57" s="4"/>
      <c r="M57" s="4"/>
      <c r="N57" s="4"/>
    </row>
    <row r="58" spans="1:14">
      <c r="A58" s="4" t="s">
        <v>103</v>
      </c>
      <c r="B58" s="4"/>
      <c r="C58" s="4"/>
      <c r="D58" s="4"/>
      <c r="E58" s="4"/>
      <c r="F58" s="16">
        <v>317</v>
      </c>
      <c r="G58" s="4"/>
      <c r="H58" s="4"/>
      <c r="I58" s="16">
        <v>352</v>
      </c>
      <c r="J58" s="4">
        <f t="shared" si="0"/>
        <v>35</v>
      </c>
      <c r="K58" s="15">
        <f t="shared" si="1"/>
        <v>1.16666666666667</v>
      </c>
      <c r="L58" s="4"/>
      <c r="M58" s="4"/>
      <c r="N58" s="4"/>
    </row>
    <row r="59" spans="1:14">
      <c r="A59" s="4" t="s">
        <v>104</v>
      </c>
      <c r="B59" s="4"/>
      <c r="C59" s="4"/>
      <c r="D59" s="4"/>
      <c r="E59" s="4"/>
      <c r="F59" s="16">
        <f t="shared" ref="F59:J59" si="2">SUM(F5:F58)</f>
        <v>16089</v>
      </c>
      <c r="G59" s="16">
        <f t="shared" si="2"/>
        <v>0</v>
      </c>
      <c r="H59" s="16">
        <f t="shared" si="2"/>
        <v>0</v>
      </c>
      <c r="I59" s="16">
        <f t="shared" si="2"/>
        <v>17664</v>
      </c>
      <c r="J59" s="16">
        <f t="shared" si="2"/>
        <v>1575</v>
      </c>
      <c r="K59" s="15">
        <f t="shared" si="1"/>
        <v>52.5</v>
      </c>
      <c r="L59" s="4"/>
      <c r="M59" s="4"/>
      <c r="N59" s="4"/>
    </row>
    <row r="60" spans="1:14">
      <c r="A60" s="4" t="s">
        <v>105</v>
      </c>
      <c r="B60" s="4"/>
      <c r="C60" s="4"/>
      <c r="D60" s="4"/>
      <c r="E60" s="4"/>
      <c r="F60" s="17">
        <f t="shared" ref="F60:I60" si="3">F59/54</f>
        <v>297.944444444444</v>
      </c>
      <c r="G60" s="17">
        <f t="shared" si="3"/>
        <v>0</v>
      </c>
      <c r="H60" s="17">
        <f t="shared" si="3"/>
        <v>0</v>
      </c>
      <c r="I60" s="17">
        <f t="shared" si="3"/>
        <v>327.111111111111</v>
      </c>
      <c r="J60" s="15">
        <f>I60-F60</f>
        <v>29.1666666666666</v>
      </c>
      <c r="K60" s="15">
        <f t="shared" si="1"/>
        <v>0.972222222222221</v>
      </c>
      <c r="L60" s="4"/>
      <c r="M60" s="4"/>
      <c r="N60" s="4"/>
    </row>
  </sheetData>
  <mergeCells count="2">
    <mergeCell ref="A1:N1"/>
    <mergeCell ref="G2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S23" sqref="S23"/>
    </sheetView>
  </sheetViews>
  <sheetFormatPr defaultColWidth="9" defaultRowHeight="13.5"/>
  <cols>
    <col min="2" max="2" width="8.125" customWidth="1"/>
    <col min="3" max="4" width="8.25" customWidth="1"/>
    <col min="5" max="5" width="6.75" customWidth="1"/>
    <col min="6" max="6" width="7.375" style="1" customWidth="1"/>
    <col min="9" max="9" width="7.875" style="1" customWidth="1"/>
    <col min="10" max="10" width="8" customWidth="1"/>
    <col min="11" max="11" width="7.375" customWidth="1"/>
  </cols>
  <sheetData>
    <row r="1" ht="27" customHeight="1" spans="1:14">
      <c r="A1" s="2" t="s">
        <v>39</v>
      </c>
      <c r="B1" s="2"/>
      <c r="C1" s="2"/>
      <c r="D1" s="2"/>
      <c r="E1" s="2"/>
      <c r="F1" s="3"/>
      <c r="G1" s="2"/>
      <c r="H1" s="2"/>
      <c r="I1" s="3"/>
      <c r="J1" s="2"/>
      <c r="K1" s="2"/>
      <c r="L1" s="2"/>
      <c r="M1" s="2"/>
      <c r="N1" s="2"/>
    </row>
    <row r="2" ht="24" customHeight="1" spans="7:7">
      <c r="G2" s="21" t="s">
        <v>20</v>
      </c>
    </row>
    <row r="3" spans="1:14">
      <c r="A3" s="4" t="s">
        <v>41</v>
      </c>
      <c r="B3" s="6" t="s">
        <v>42</v>
      </c>
      <c r="C3" s="6"/>
      <c r="D3" s="6" t="s">
        <v>43</v>
      </c>
      <c r="E3" s="6"/>
      <c r="F3" s="5">
        <v>44983</v>
      </c>
      <c r="G3" s="6" t="s">
        <v>43</v>
      </c>
      <c r="H3" s="4"/>
      <c r="I3" s="5">
        <v>45013</v>
      </c>
      <c r="J3" s="6" t="s">
        <v>43</v>
      </c>
      <c r="K3" s="4">
        <v>30</v>
      </c>
      <c r="L3" s="7" t="s">
        <v>106</v>
      </c>
      <c r="M3" s="6" t="s">
        <v>43</v>
      </c>
      <c r="N3" s="4"/>
    </row>
    <row r="4" spans="1:14">
      <c r="A4" s="4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8" t="s">
        <v>47</v>
      </c>
      <c r="G4" s="4" t="s">
        <v>48</v>
      </c>
      <c r="H4" s="4" t="s">
        <v>49</v>
      </c>
      <c r="I4" s="8" t="s">
        <v>47</v>
      </c>
      <c r="J4" s="4" t="s">
        <v>48</v>
      </c>
      <c r="K4" s="4" t="s">
        <v>49</v>
      </c>
      <c r="L4" s="4" t="s">
        <v>47</v>
      </c>
      <c r="M4" s="4" t="s">
        <v>48</v>
      </c>
      <c r="N4" s="4" t="s">
        <v>49</v>
      </c>
    </row>
    <row r="5" spans="1:14">
      <c r="A5" s="4" t="s">
        <v>107</v>
      </c>
      <c r="B5" s="4"/>
      <c r="C5" s="4"/>
      <c r="D5" s="4"/>
      <c r="E5" s="4"/>
      <c r="F5" s="8"/>
      <c r="G5" s="4"/>
      <c r="H5" s="4"/>
      <c r="I5" s="8"/>
      <c r="J5" s="4"/>
      <c r="K5" s="4"/>
      <c r="L5" s="16">
        <v>330</v>
      </c>
      <c r="M5" s="4"/>
      <c r="N5" s="4"/>
    </row>
    <row r="6" spans="1:14">
      <c r="A6" s="4" t="s">
        <v>108</v>
      </c>
      <c r="B6" s="4"/>
      <c r="C6" s="4"/>
      <c r="D6" s="4"/>
      <c r="E6" s="4"/>
      <c r="F6" s="8"/>
      <c r="G6" s="4"/>
      <c r="H6" s="4"/>
      <c r="I6" s="8"/>
      <c r="J6" s="4"/>
      <c r="K6" s="4"/>
      <c r="L6" s="16">
        <v>350</v>
      </c>
      <c r="M6" s="4"/>
      <c r="N6" s="4"/>
    </row>
    <row r="7" spans="1:14">
      <c r="A7" s="4" t="s">
        <v>109</v>
      </c>
      <c r="B7" s="4"/>
      <c r="C7" s="4"/>
      <c r="D7" s="4"/>
      <c r="E7" s="4"/>
      <c r="F7" s="8"/>
      <c r="G7" s="4"/>
      <c r="H7" s="4"/>
      <c r="I7" s="8"/>
      <c r="J7" s="4"/>
      <c r="K7" s="4"/>
      <c r="L7" s="16">
        <v>290</v>
      </c>
      <c r="M7" s="4"/>
      <c r="N7" s="4"/>
    </row>
    <row r="8" spans="1:14">
      <c r="A8" s="4" t="s">
        <v>110</v>
      </c>
      <c r="B8" s="4"/>
      <c r="C8" s="4"/>
      <c r="D8" s="4"/>
      <c r="E8" s="4"/>
      <c r="F8" s="8"/>
      <c r="G8" s="4"/>
      <c r="H8" s="4"/>
      <c r="I8" s="8"/>
      <c r="J8" s="4"/>
      <c r="K8" s="4"/>
      <c r="L8" s="16">
        <v>257</v>
      </c>
      <c r="M8" s="4"/>
      <c r="N8" s="4"/>
    </row>
    <row r="9" spans="1:14">
      <c r="A9" s="4" t="s">
        <v>111</v>
      </c>
      <c r="B9" s="4"/>
      <c r="C9" s="4"/>
      <c r="D9" s="4"/>
      <c r="E9" s="4"/>
      <c r="F9" s="8"/>
      <c r="G9" s="4"/>
      <c r="H9" s="4"/>
      <c r="I9" s="8"/>
      <c r="J9" s="4"/>
      <c r="K9" s="4"/>
      <c r="L9" s="16">
        <v>339</v>
      </c>
      <c r="M9" s="4"/>
      <c r="N9" s="4"/>
    </row>
    <row r="10" spans="1:14">
      <c r="A10" s="4" t="s">
        <v>112</v>
      </c>
      <c r="B10" s="4"/>
      <c r="C10" s="4"/>
      <c r="D10" s="4"/>
      <c r="E10" s="4"/>
      <c r="F10" s="8"/>
      <c r="G10" s="4"/>
      <c r="H10" s="4"/>
      <c r="I10" s="8"/>
      <c r="J10" s="4"/>
      <c r="K10" s="4"/>
      <c r="L10" s="16">
        <v>650</v>
      </c>
      <c r="M10" s="4"/>
      <c r="N10" s="4"/>
    </row>
    <row r="11" spans="1:14">
      <c r="A11" s="4" t="s">
        <v>113</v>
      </c>
      <c r="B11" s="4"/>
      <c r="C11" s="4"/>
      <c r="D11" s="4"/>
      <c r="E11" s="4"/>
      <c r="F11" s="8"/>
      <c r="G11" s="4"/>
      <c r="H11" s="4"/>
      <c r="I11" s="8"/>
      <c r="J11" s="4"/>
      <c r="K11" s="4"/>
      <c r="L11" s="16">
        <v>660</v>
      </c>
      <c r="M11" s="4"/>
      <c r="N11" s="4"/>
    </row>
    <row r="12" spans="1:14">
      <c r="A12" s="4" t="s">
        <v>114</v>
      </c>
      <c r="B12" s="4"/>
      <c r="C12" s="4"/>
      <c r="D12" s="4"/>
      <c r="E12" s="4"/>
      <c r="F12" s="8"/>
      <c r="G12" s="4"/>
      <c r="H12" s="4"/>
      <c r="I12" s="8"/>
      <c r="J12" s="4"/>
      <c r="K12" s="4"/>
      <c r="L12" s="16">
        <v>596</v>
      </c>
      <c r="M12" s="4"/>
      <c r="N12" s="4"/>
    </row>
    <row r="13" spans="1:14">
      <c r="A13" s="4" t="s">
        <v>115</v>
      </c>
      <c r="B13" s="4"/>
      <c r="C13" s="4"/>
      <c r="D13" s="4"/>
      <c r="E13" s="4"/>
      <c r="F13" s="8"/>
      <c r="G13" s="4"/>
      <c r="H13" s="4"/>
      <c r="I13" s="8"/>
      <c r="J13" s="4"/>
      <c r="K13" s="4"/>
      <c r="L13" s="16">
        <v>590</v>
      </c>
      <c r="M13" s="4"/>
      <c r="N13" s="4"/>
    </row>
    <row r="14" spans="1:14">
      <c r="A14" s="4" t="s">
        <v>116</v>
      </c>
      <c r="B14" s="4"/>
      <c r="C14" s="4"/>
      <c r="D14" s="4"/>
      <c r="E14" s="4"/>
      <c r="F14" s="8"/>
      <c r="G14" s="4"/>
      <c r="H14" s="4"/>
      <c r="I14" s="8"/>
      <c r="J14" s="4"/>
      <c r="K14" s="4"/>
      <c r="L14" s="16">
        <v>610</v>
      </c>
      <c r="M14" s="4"/>
      <c r="N14" s="4"/>
    </row>
    <row r="15" spans="1:14">
      <c r="A15" s="4" t="s">
        <v>117</v>
      </c>
      <c r="B15" s="4"/>
      <c r="C15" s="4"/>
      <c r="D15" s="4"/>
      <c r="E15" s="4"/>
      <c r="F15" s="8"/>
      <c r="G15" s="4"/>
      <c r="H15" s="4"/>
      <c r="I15" s="8"/>
      <c r="J15" s="4"/>
      <c r="K15" s="4"/>
      <c r="L15" s="16">
        <v>537</v>
      </c>
      <c r="M15" s="4"/>
      <c r="N15" s="4"/>
    </row>
    <row r="16" spans="1:14">
      <c r="A16" s="4" t="s">
        <v>118</v>
      </c>
      <c r="B16" s="4"/>
      <c r="C16" s="4"/>
      <c r="D16" s="4"/>
      <c r="E16" s="4"/>
      <c r="F16" s="8"/>
      <c r="G16" s="4"/>
      <c r="H16" s="4"/>
      <c r="I16" s="8"/>
      <c r="J16" s="4"/>
      <c r="K16" s="4"/>
      <c r="L16" s="16">
        <v>430</v>
      </c>
      <c r="M16" s="4"/>
      <c r="N16" s="4"/>
    </row>
    <row r="17" spans="1:14">
      <c r="A17" s="4" t="s">
        <v>119</v>
      </c>
      <c r="B17" s="4"/>
      <c r="C17" s="4"/>
      <c r="D17" s="4"/>
      <c r="E17" s="4"/>
      <c r="F17" s="8"/>
      <c r="G17" s="4"/>
      <c r="H17" s="4"/>
      <c r="I17" s="8"/>
      <c r="J17" s="4"/>
      <c r="K17" s="4"/>
      <c r="L17" s="16">
        <v>450</v>
      </c>
      <c r="M17" s="4"/>
      <c r="N17" s="4"/>
    </row>
    <row r="18" spans="1:14">
      <c r="A18" s="4" t="s">
        <v>120</v>
      </c>
      <c r="B18" s="4"/>
      <c r="C18" s="4"/>
      <c r="D18" s="4"/>
      <c r="E18" s="4"/>
      <c r="F18" s="8"/>
      <c r="G18" s="4"/>
      <c r="H18" s="4"/>
      <c r="I18" s="8"/>
      <c r="J18" s="4"/>
      <c r="K18" s="4"/>
      <c r="L18" s="16">
        <v>507</v>
      </c>
      <c r="M18" s="4"/>
      <c r="N18" s="4"/>
    </row>
    <row r="19" spans="1:14">
      <c r="A19" s="4" t="s">
        <v>121</v>
      </c>
      <c r="B19" s="4"/>
      <c r="C19" s="4"/>
      <c r="D19" s="4"/>
      <c r="E19" s="4"/>
      <c r="F19" s="8"/>
      <c r="G19" s="4"/>
      <c r="H19" s="4"/>
      <c r="I19" s="8"/>
      <c r="J19" s="4"/>
      <c r="K19" s="4"/>
      <c r="L19" s="16">
        <v>450</v>
      </c>
      <c r="M19" s="4"/>
      <c r="N19" s="4"/>
    </row>
    <row r="20" spans="1:14">
      <c r="A20" s="4" t="s">
        <v>122</v>
      </c>
      <c r="B20" s="4"/>
      <c r="C20" s="4"/>
      <c r="D20" s="4"/>
      <c r="E20" s="4"/>
      <c r="F20" s="8"/>
      <c r="G20" s="4"/>
      <c r="H20" s="4"/>
      <c r="I20" s="8"/>
      <c r="J20" s="4"/>
      <c r="K20" s="4"/>
      <c r="L20" s="16">
        <v>418</v>
      </c>
      <c r="M20" s="4"/>
      <c r="N20" s="4"/>
    </row>
    <row r="21" spans="1:14">
      <c r="A21" s="4" t="s">
        <v>123</v>
      </c>
      <c r="B21" s="4"/>
      <c r="C21" s="4"/>
      <c r="D21" s="4"/>
      <c r="E21" s="4"/>
      <c r="F21" s="8"/>
      <c r="G21" s="4"/>
      <c r="H21" s="4"/>
      <c r="I21" s="8"/>
      <c r="J21" s="4"/>
      <c r="K21" s="4"/>
      <c r="L21" s="16">
        <v>410</v>
      </c>
      <c r="M21" s="4"/>
      <c r="N21" s="4"/>
    </row>
    <row r="22" spans="1:14">
      <c r="A22" s="4" t="s">
        <v>124</v>
      </c>
      <c r="B22" s="4"/>
      <c r="C22" s="4"/>
      <c r="D22" s="4"/>
      <c r="E22" s="4"/>
      <c r="F22" s="8"/>
      <c r="G22" s="4"/>
      <c r="H22" s="4"/>
      <c r="I22" s="8"/>
      <c r="J22" s="4"/>
      <c r="K22" s="4"/>
      <c r="L22" s="16">
        <v>380</v>
      </c>
      <c r="M22" s="4"/>
      <c r="N22" s="4"/>
    </row>
    <row r="23" spans="1:14">
      <c r="A23" s="4" t="s">
        <v>125</v>
      </c>
      <c r="B23" s="4"/>
      <c r="C23" s="4"/>
      <c r="D23" s="4"/>
      <c r="E23" s="4"/>
      <c r="F23" s="8"/>
      <c r="G23" s="4"/>
      <c r="H23" s="4"/>
      <c r="I23" s="8"/>
      <c r="J23" s="4"/>
      <c r="K23" s="4"/>
      <c r="L23" s="16">
        <v>319</v>
      </c>
      <c r="M23" s="4"/>
      <c r="N23" s="4"/>
    </row>
    <row r="24" spans="1:14">
      <c r="A24" s="4" t="s">
        <v>126</v>
      </c>
      <c r="B24" s="4"/>
      <c r="C24" s="4"/>
      <c r="D24" s="4"/>
      <c r="E24" s="4"/>
      <c r="F24" s="8"/>
      <c r="G24" s="4"/>
      <c r="H24" s="4"/>
      <c r="I24" s="8"/>
      <c r="J24" s="4"/>
      <c r="K24" s="4"/>
      <c r="L24" s="16">
        <v>401</v>
      </c>
      <c r="M24" s="4"/>
      <c r="N24" s="4"/>
    </row>
    <row r="25" spans="1:14">
      <c r="A25" s="4" t="s">
        <v>127</v>
      </c>
      <c r="B25" s="4"/>
      <c r="C25" s="4"/>
      <c r="D25" s="4"/>
      <c r="E25" s="4"/>
      <c r="F25" s="8"/>
      <c r="G25" s="4"/>
      <c r="H25" s="4"/>
      <c r="I25" s="8"/>
      <c r="J25" s="4"/>
      <c r="K25" s="4"/>
      <c r="L25" s="16">
        <v>440</v>
      </c>
      <c r="M25" s="4"/>
      <c r="N25" s="4"/>
    </row>
    <row r="26" spans="1:14">
      <c r="A26" s="4" t="s">
        <v>128</v>
      </c>
      <c r="B26" s="4"/>
      <c r="C26" s="4"/>
      <c r="D26" s="4"/>
      <c r="E26" s="4"/>
      <c r="F26" s="8"/>
      <c r="G26" s="4"/>
      <c r="H26" s="4"/>
      <c r="I26" s="8"/>
      <c r="J26" s="4"/>
      <c r="K26" s="4"/>
      <c r="L26" s="16">
        <v>410</v>
      </c>
      <c r="M26" s="4"/>
      <c r="N26" s="4"/>
    </row>
    <row r="27" spans="1:14">
      <c r="A27" s="4" t="s">
        <v>129</v>
      </c>
      <c r="B27" s="4"/>
      <c r="C27" s="4"/>
      <c r="D27" s="4"/>
      <c r="E27" s="4"/>
      <c r="F27" s="8"/>
      <c r="G27" s="4"/>
      <c r="H27" s="4"/>
      <c r="I27" s="8"/>
      <c r="J27" s="4"/>
      <c r="K27" s="4"/>
      <c r="L27" s="16">
        <v>390</v>
      </c>
      <c r="M27" s="4"/>
      <c r="N27" s="4"/>
    </row>
    <row r="28" spans="1:14">
      <c r="A28" s="4" t="s">
        <v>130</v>
      </c>
      <c r="B28" s="4"/>
      <c r="C28" s="4"/>
      <c r="D28" s="4"/>
      <c r="E28" s="4"/>
      <c r="F28" s="8"/>
      <c r="G28" s="4"/>
      <c r="H28" s="4"/>
      <c r="I28" s="8"/>
      <c r="J28" s="4"/>
      <c r="K28" s="4"/>
      <c r="L28" s="16">
        <v>269</v>
      </c>
      <c r="M28" s="4"/>
      <c r="N28" s="4"/>
    </row>
    <row r="29" spans="1:14">
      <c r="A29" s="4" t="s">
        <v>104</v>
      </c>
      <c r="B29" s="4"/>
      <c r="C29" s="4"/>
      <c r="D29" s="4"/>
      <c r="E29" s="4"/>
      <c r="F29" s="8"/>
      <c r="G29" s="4"/>
      <c r="H29" s="4"/>
      <c r="I29" s="8"/>
      <c r="J29" s="4"/>
      <c r="K29" s="4"/>
      <c r="L29" s="16">
        <f>SUM(L5:L28)</f>
        <v>10483</v>
      </c>
      <c r="M29" s="4"/>
      <c r="N29" s="4"/>
    </row>
    <row r="30" spans="1:14">
      <c r="A30" s="4" t="s">
        <v>105</v>
      </c>
      <c r="B30" s="4"/>
      <c r="C30" s="4"/>
      <c r="D30" s="4"/>
      <c r="E30" s="4"/>
      <c r="F30" s="8"/>
      <c r="G30" s="4"/>
      <c r="H30" s="4"/>
      <c r="I30" s="8"/>
      <c r="J30" s="4"/>
      <c r="K30" s="4"/>
      <c r="L30" s="17">
        <f>L29/24</f>
        <v>436.791666666667</v>
      </c>
      <c r="M30" s="4"/>
      <c r="N30" s="4"/>
    </row>
    <row r="31" spans="1:14">
      <c r="A31" s="4"/>
      <c r="B31" s="4"/>
      <c r="C31" s="4"/>
      <c r="D31" s="4"/>
      <c r="E31" s="4"/>
      <c r="F31" s="8"/>
      <c r="G31" s="4"/>
      <c r="H31" s="4"/>
      <c r="I31" s="8"/>
      <c r="J31" s="4"/>
      <c r="K31" s="4"/>
      <c r="L31" s="4"/>
      <c r="M31" s="4"/>
      <c r="N31" s="4"/>
    </row>
    <row r="32" spans="1:14">
      <c r="A32" s="4" t="s">
        <v>131</v>
      </c>
      <c r="B32" s="4"/>
      <c r="C32" s="4"/>
      <c r="D32" s="4"/>
      <c r="E32" s="4"/>
      <c r="F32" s="8"/>
      <c r="G32" s="4"/>
      <c r="H32" s="4"/>
      <c r="I32" s="8"/>
      <c r="J32" s="4"/>
      <c r="K32" s="4"/>
      <c r="L32" s="4">
        <v>290</v>
      </c>
      <c r="M32" s="4"/>
      <c r="N32" s="4"/>
    </row>
  </sheetData>
  <sortState ref="A62:N87">
    <sortCondition ref="A64"/>
  </sortState>
  <mergeCells count="1">
    <mergeCell ref="A1:N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topLeftCell="A5" workbookViewId="0">
      <selection activeCell="N5" sqref="N5:N64"/>
    </sheetView>
  </sheetViews>
  <sheetFormatPr defaultColWidth="9" defaultRowHeight="13.5"/>
  <cols>
    <col min="2" max="2" width="12.625"/>
    <col min="4" max="5" width="8.25" customWidth="1"/>
    <col min="6" max="6" width="6.75" customWidth="1"/>
    <col min="7" max="7" width="7.375" style="1" customWidth="1"/>
    <col min="10" max="10" width="7.875" style="1" customWidth="1"/>
    <col min="11" max="11" width="8" customWidth="1"/>
    <col min="12" max="12" width="7.375" customWidth="1"/>
  </cols>
  <sheetData>
    <row r="1" ht="27" customHeight="1" spans="1:15">
      <c r="A1" s="2" t="s">
        <v>39</v>
      </c>
      <c r="B1" s="2"/>
      <c r="C1" s="2"/>
      <c r="D1" s="2"/>
      <c r="E1" s="2"/>
      <c r="F1" s="2"/>
      <c r="G1" s="3"/>
      <c r="H1" s="2"/>
      <c r="I1" s="2"/>
      <c r="J1" s="3"/>
      <c r="K1" s="2"/>
      <c r="L1" s="2"/>
      <c r="M1" s="2"/>
      <c r="N1" s="2"/>
      <c r="O1" s="2"/>
    </row>
    <row r="2" ht="24" customHeight="1" spans="1:15">
      <c r="A2" s="2"/>
      <c r="B2" s="2"/>
      <c r="C2" s="2"/>
      <c r="D2" s="2"/>
      <c r="E2" s="2"/>
      <c r="F2" s="2"/>
      <c r="G2" s="3"/>
      <c r="H2" s="19" t="s">
        <v>132</v>
      </c>
      <c r="I2" s="19"/>
      <c r="J2" s="3"/>
      <c r="K2" s="2"/>
      <c r="L2" s="2"/>
      <c r="M2" s="2"/>
      <c r="N2" s="2"/>
      <c r="O2" s="2"/>
    </row>
    <row r="3" ht="21.95" customHeight="1" spans="1:15">
      <c r="A3" s="4" t="s">
        <v>41</v>
      </c>
      <c r="B3" s="20">
        <v>45279</v>
      </c>
      <c r="C3" s="4"/>
      <c r="D3" s="6" t="s">
        <v>42</v>
      </c>
      <c r="E3" s="6" t="s">
        <v>43</v>
      </c>
      <c r="F3" s="6"/>
      <c r="G3" s="5"/>
      <c r="H3" s="6" t="s">
        <v>43</v>
      </c>
      <c r="I3" s="4"/>
      <c r="J3" s="5">
        <v>45008</v>
      </c>
      <c r="K3" s="6" t="s">
        <v>43</v>
      </c>
      <c r="L3" s="4">
        <v>95</v>
      </c>
      <c r="M3" s="7" t="s">
        <v>133</v>
      </c>
      <c r="N3" s="6" t="s">
        <v>43</v>
      </c>
      <c r="O3" s="4">
        <v>58</v>
      </c>
    </row>
    <row r="4" spans="1:15">
      <c r="A4" s="4" t="s">
        <v>45</v>
      </c>
      <c r="B4" s="4" t="s">
        <v>46</v>
      </c>
      <c r="C4" s="4"/>
      <c r="D4" s="4" t="s">
        <v>47</v>
      </c>
      <c r="E4" s="4" t="s">
        <v>48</v>
      </c>
      <c r="F4" s="4" t="s">
        <v>49</v>
      </c>
      <c r="G4" s="8" t="s">
        <v>47</v>
      </c>
      <c r="H4" s="4" t="s">
        <v>48</v>
      </c>
      <c r="I4" s="4" t="s">
        <v>49</v>
      </c>
      <c r="J4" s="8" t="s">
        <v>47</v>
      </c>
      <c r="K4" s="4" t="s">
        <v>48</v>
      </c>
      <c r="L4" s="4" t="s">
        <v>49</v>
      </c>
      <c r="M4" s="4" t="s">
        <v>47</v>
      </c>
      <c r="N4" s="4" t="s">
        <v>48</v>
      </c>
      <c r="O4" s="4" t="s">
        <v>49</v>
      </c>
    </row>
    <row r="5" spans="1:15">
      <c r="A5" s="4">
        <v>1001</v>
      </c>
      <c r="B5" s="4"/>
      <c r="C5" s="4"/>
      <c r="D5" s="4"/>
      <c r="E5" s="4"/>
      <c r="F5" s="4"/>
      <c r="G5" s="8"/>
      <c r="H5" s="8"/>
      <c r="I5" s="8"/>
      <c r="J5" s="16">
        <v>550</v>
      </c>
      <c r="K5" s="8"/>
      <c r="L5" s="15"/>
      <c r="M5" s="4"/>
      <c r="N5" s="4">
        <v>590</v>
      </c>
      <c r="O5" s="4"/>
    </row>
    <row r="6" spans="1:15">
      <c r="A6" s="4">
        <v>1005</v>
      </c>
      <c r="B6" s="4"/>
      <c r="C6" s="4"/>
      <c r="D6" s="4"/>
      <c r="E6" s="4"/>
      <c r="F6" s="4"/>
      <c r="G6" s="8"/>
      <c r="H6" s="8"/>
      <c r="I6" s="8"/>
      <c r="J6" s="16">
        <v>427</v>
      </c>
      <c r="K6" s="8"/>
      <c r="L6" s="15"/>
      <c r="M6" s="4">
        <v>520</v>
      </c>
      <c r="N6" s="4"/>
      <c r="O6" s="4"/>
    </row>
    <row r="7" spans="1:15">
      <c r="A7" s="4">
        <v>1008</v>
      </c>
      <c r="B7" s="4"/>
      <c r="C7" s="4"/>
      <c r="D7" s="4"/>
      <c r="E7" s="4"/>
      <c r="F7" s="4"/>
      <c r="G7" s="8"/>
      <c r="H7" s="8"/>
      <c r="I7" s="8"/>
      <c r="J7" s="16">
        <v>440</v>
      </c>
      <c r="K7" s="8"/>
      <c r="L7" s="15"/>
      <c r="M7" s="4">
        <v>500</v>
      </c>
      <c r="N7" s="4"/>
      <c r="O7" s="4"/>
    </row>
    <row r="8" spans="1:15">
      <c r="A8" s="4">
        <v>1042</v>
      </c>
      <c r="B8" s="4"/>
      <c r="C8" s="4"/>
      <c r="D8" s="4"/>
      <c r="E8" s="4"/>
      <c r="F8" s="4"/>
      <c r="G8" s="8"/>
      <c r="H8" s="8"/>
      <c r="I8" s="8"/>
      <c r="J8" s="16">
        <v>450</v>
      </c>
      <c r="K8" s="8"/>
      <c r="L8" s="15"/>
      <c r="M8" s="4">
        <v>550</v>
      </c>
      <c r="N8" s="4"/>
      <c r="O8" s="4"/>
    </row>
    <row r="9" spans="1:15">
      <c r="A9" s="4">
        <v>1066</v>
      </c>
      <c r="B9" s="4"/>
      <c r="C9" s="4"/>
      <c r="D9" s="4"/>
      <c r="E9" s="4"/>
      <c r="F9" s="4"/>
      <c r="G9" s="8"/>
      <c r="H9" s="8"/>
      <c r="I9" s="8"/>
      <c r="J9" s="16">
        <v>530</v>
      </c>
      <c r="K9" s="8"/>
      <c r="L9" s="15"/>
      <c r="M9" s="4"/>
      <c r="N9" s="4">
        <v>600</v>
      </c>
      <c r="O9" s="4"/>
    </row>
    <row r="10" spans="1:15">
      <c r="A10" s="4">
        <v>1068</v>
      </c>
      <c r="B10" s="4"/>
      <c r="C10" s="4"/>
      <c r="D10" s="4"/>
      <c r="E10" s="4"/>
      <c r="F10" s="4"/>
      <c r="G10" s="8"/>
      <c r="H10" s="8"/>
      <c r="I10" s="8"/>
      <c r="J10" s="16">
        <v>480</v>
      </c>
      <c r="K10" s="8"/>
      <c r="L10" s="15"/>
      <c r="M10" s="4">
        <v>560</v>
      </c>
      <c r="N10" s="4"/>
      <c r="O10" s="4"/>
    </row>
    <row r="11" spans="1:15">
      <c r="A11" s="4">
        <v>1070</v>
      </c>
      <c r="B11" s="4"/>
      <c r="C11" s="4"/>
      <c r="D11" s="4"/>
      <c r="E11" s="4"/>
      <c r="F11" s="4"/>
      <c r="G11" s="8"/>
      <c r="H11" s="8"/>
      <c r="I11" s="8"/>
      <c r="J11" s="16">
        <v>449</v>
      </c>
      <c r="K11" s="8"/>
      <c r="L11" s="15"/>
      <c r="M11" s="4">
        <v>510</v>
      </c>
      <c r="N11" s="4"/>
      <c r="O11" s="4"/>
    </row>
    <row r="12" spans="1:15">
      <c r="A12" s="4">
        <v>1087</v>
      </c>
      <c r="B12" s="4"/>
      <c r="C12" s="4"/>
      <c r="D12" s="4"/>
      <c r="E12" s="4"/>
      <c r="F12" s="4"/>
      <c r="G12" s="8"/>
      <c r="H12" s="8"/>
      <c r="I12" s="8"/>
      <c r="J12" s="16">
        <v>528</v>
      </c>
      <c r="K12" s="8"/>
      <c r="L12" s="15"/>
      <c r="M12" s="4">
        <v>570</v>
      </c>
      <c r="N12" s="4"/>
      <c r="O12" s="4"/>
    </row>
    <row r="13" spans="1:15">
      <c r="A13" s="4">
        <v>1103</v>
      </c>
      <c r="B13" s="4"/>
      <c r="C13" s="4"/>
      <c r="D13" s="4"/>
      <c r="E13" s="4"/>
      <c r="F13" s="4"/>
      <c r="G13" s="8"/>
      <c r="H13" s="8"/>
      <c r="I13" s="8"/>
      <c r="J13" s="16">
        <v>464</v>
      </c>
      <c r="K13" s="8"/>
      <c r="L13" s="15"/>
      <c r="M13" s="16"/>
      <c r="N13" s="4">
        <v>500</v>
      </c>
      <c r="O13" s="4"/>
    </row>
    <row r="14" spans="1:15">
      <c r="A14" s="4">
        <v>1107</v>
      </c>
      <c r="B14" s="4"/>
      <c r="C14" s="4"/>
      <c r="D14" s="4"/>
      <c r="E14" s="4"/>
      <c r="F14" s="4"/>
      <c r="G14" s="8"/>
      <c r="H14" s="8"/>
      <c r="I14" s="8"/>
      <c r="J14" s="16">
        <v>510</v>
      </c>
      <c r="K14" s="8"/>
      <c r="L14" s="15"/>
      <c r="M14" s="4">
        <v>570</v>
      </c>
      <c r="N14" s="4"/>
      <c r="O14" s="4"/>
    </row>
    <row r="15" spans="1:15">
      <c r="A15" s="4">
        <v>1116</v>
      </c>
      <c r="B15" s="4"/>
      <c r="C15" s="4"/>
      <c r="D15" s="4"/>
      <c r="E15" s="4"/>
      <c r="F15" s="4"/>
      <c r="G15" s="8"/>
      <c r="H15" s="8"/>
      <c r="I15" s="8"/>
      <c r="J15" s="16">
        <v>460</v>
      </c>
      <c r="K15" s="8"/>
      <c r="L15" s="15"/>
      <c r="M15" s="4"/>
      <c r="N15" s="4">
        <v>520</v>
      </c>
      <c r="O15" s="4"/>
    </row>
    <row r="16" spans="1:15">
      <c r="A16" s="4">
        <v>1122</v>
      </c>
      <c r="B16" s="4"/>
      <c r="C16" s="4"/>
      <c r="D16" s="4"/>
      <c r="E16" s="4"/>
      <c r="F16" s="4"/>
      <c r="G16" s="8"/>
      <c r="H16" s="8"/>
      <c r="I16" s="8"/>
      <c r="J16" s="16">
        <v>450</v>
      </c>
      <c r="K16" s="8"/>
      <c r="L16" s="15"/>
      <c r="M16" s="4"/>
      <c r="N16" s="4">
        <v>530</v>
      </c>
      <c r="O16" s="4"/>
    </row>
    <row r="17" spans="1:15">
      <c r="A17" s="4">
        <v>1124</v>
      </c>
      <c r="B17" s="4"/>
      <c r="C17" s="4"/>
      <c r="D17" s="4"/>
      <c r="E17" s="4"/>
      <c r="F17" s="4"/>
      <c r="G17" s="8"/>
      <c r="H17" s="8"/>
      <c r="I17" s="8"/>
      <c r="J17" s="16">
        <v>530</v>
      </c>
      <c r="K17" s="8"/>
      <c r="L17" s="15"/>
      <c r="M17" s="4"/>
      <c r="N17" s="4">
        <v>590</v>
      </c>
      <c r="O17" s="4"/>
    </row>
    <row r="18" spans="1:15">
      <c r="A18" s="4">
        <v>1135</v>
      </c>
      <c r="B18" s="4"/>
      <c r="C18" s="4"/>
      <c r="D18" s="4"/>
      <c r="E18" s="4"/>
      <c r="F18" s="4"/>
      <c r="G18" s="8"/>
      <c r="H18" s="8"/>
      <c r="I18" s="8"/>
      <c r="J18" s="16">
        <v>460</v>
      </c>
      <c r="K18" s="8"/>
      <c r="L18" s="15"/>
      <c r="M18" s="4"/>
      <c r="N18" s="4">
        <v>490</v>
      </c>
      <c r="O18" s="4"/>
    </row>
    <row r="19" spans="1:15">
      <c r="A19" s="4">
        <v>1139</v>
      </c>
      <c r="B19" s="4"/>
      <c r="C19" s="4"/>
      <c r="D19" s="4"/>
      <c r="E19" s="4"/>
      <c r="F19" s="4"/>
      <c r="G19" s="8"/>
      <c r="H19" s="8"/>
      <c r="I19" s="8"/>
      <c r="J19" s="16">
        <v>460</v>
      </c>
      <c r="K19" s="8"/>
      <c r="L19" s="15"/>
      <c r="M19" s="4">
        <v>460</v>
      </c>
      <c r="N19" s="4"/>
      <c r="O19" s="4"/>
    </row>
    <row r="20" spans="1:15">
      <c r="A20" s="4">
        <v>1150</v>
      </c>
      <c r="B20" s="4"/>
      <c r="C20" s="4"/>
      <c r="D20" s="4"/>
      <c r="E20" s="4"/>
      <c r="F20" s="4"/>
      <c r="G20" s="8"/>
      <c r="H20" s="8"/>
      <c r="I20" s="8"/>
      <c r="J20" s="16">
        <v>415</v>
      </c>
      <c r="K20" s="8"/>
      <c r="L20" s="15"/>
      <c r="M20" s="4"/>
      <c r="N20" s="4">
        <v>480</v>
      </c>
      <c r="O20" s="4"/>
    </row>
    <row r="21" spans="1:15">
      <c r="A21" s="4">
        <v>1166</v>
      </c>
      <c r="B21" s="4"/>
      <c r="C21" s="4"/>
      <c r="D21" s="4"/>
      <c r="E21" s="4"/>
      <c r="F21" s="4"/>
      <c r="G21" s="8"/>
      <c r="H21" s="8"/>
      <c r="I21" s="8"/>
      <c r="J21" s="16">
        <v>470</v>
      </c>
      <c r="K21" s="8"/>
      <c r="L21" s="15"/>
      <c r="M21" s="4">
        <v>570</v>
      </c>
      <c r="N21" s="4"/>
      <c r="O21" s="4"/>
    </row>
    <row r="22" spans="1:15">
      <c r="A22" s="4">
        <v>1175</v>
      </c>
      <c r="B22" s="4"/>
      <c r="C22" s="4"/>
      <c r="D22" s="4"/>
      <c r="E22" s="4"/>
      <c r="F22" s="4"/>
      <c r="G22" s="8"/>
      <c r="H22" s="8"/>
      <c r="I22" s="8"/>
      <c r="J22" s="16">
        <v>520</v>
      </c>
      <c r="K22" s="8"/>
      <c r="L22" s="15"/>
      <c r="M22" s="4"/>
      <c r="N22" s="4">
        <v>580</v>
      </c>
      <c r="O22" s="4"/>
    </row>
    <row r="23" spans="1:15">
      <c r="A23" s="4">
        <v>1177</v>
      </c>
      <c r="B23" s="4"/>
      <c r="C23" s="4"/>
      <c r="D23" s="4"/>
      <c r="E23" s="4"/>
      <c r="F23" s="4"/>
      <c r="G23" s="8"/>
      <c r="H23" s="8"/>
      <c r="I23" s="8"/>
      <c r="J23" s="16">
        <v>420</v>
      </c>
      <c r="K23" s="8"/>
      <c r="L23" s="15"/>
      <c r="M23" s="4">
        <v>470</v>
      </c>
      <c r="N23" s="4"/>
      <c r="O23" s="4"/>
    </row>
    <row r="24" spans="1:15">
      <c r="A24" s="4">
        <v>1186</v>
      </c>
      <c r="B24" s="4"/>
      <c r="C24" s="4"/>
      <c r="D24" s="4"/>
      <c r="E24" s="4"/>
      <c r="F24" s="4"/>
      <c r="G24" s="8"/>
      <c r="H24" s="8"/>
      <c r="I24" s="8"/>
      <c r="J24" s="16">
        <v>426</v>
      </c>
      <c r="K24" s="8"/>
      <c r="L24" s="15"/>
      <c r="M24" s="16">
        <v>510</v>
      </c>
      <c r="N24" s="4"/>
      <c r="O24" s="4"/>
    </row>
    <row r="25" spans="1:15">
      <c r="A25" s="4">
        <v>1192</v>
      </c>
      <c r="B25" s="4"/>
      <c r="C25" s="4"/>
      <c r="D25" s="4"/>
      <c r="E25" s="4"/>
      <c r="F25" s="4"/>
      <c r="G25" s="8"/>
      <c r="H25" s="8"/>
      <c r="I25" s="8"/>
      <c r="J25" s="16">
        <v>444</v>
      </c>
      <c r="K25" s="8"/>
      <c r="L25" s="15"/>
      <c r="M25" s="4"/>
      <c r="N25" s="4">
        <v>480</v>
      </c>
      <c r="O25" s="4"/>
    </row>
    <row r="26" spans="1:15">
      <c r="A26" s="4">
        <v>1201</v>
      </c>
      <c r="B26" s="4"/>
      <c r="C26" s="4"/>
      <c r="D26" s="4"/>
      <c r="E26" s="4"/>
      <c r="F26" s="4"/>
      <c r="G26" s="8"/>
      <c r="H26" s="8"/>
      <c r="I26" s="8"/>
      <c r="J26" s="16">
        <v>417</v>
      </c>
      <c r="K26" s="8"/>
      <c r="L26" s="15"/>
      <c r="M26" s="4">
        <v>470</v>
      </c>
      <c r="N26" s="4"/>
      <c r="O26" s="4"/>
    </row>
    <row r="27" spans="1:15">
      <c r="A27" s="4">
        <v>1209</v>
      </c>
      <c r="B27" s="4"/>
      <c r="C27" s="4"/>
      <c r="D27" s="4"/>
      <c r="E27" s="4"/>
      <c r="F27" s="4"/>
      <c r="G27" s="8"/>
      <c r="H27" s="8"/>
      <c r="I27" s="8"/>
      <c r="J27" s="16">
        <v>330</v>
      </c>
      <c r="K27" s="8"/>
      <c r="L27" s="15"/>
      <c r="M27" s="4"/>
      <c r="N27" s="4">
        <v>360</v>
      </c>
      <c r="O27" s="4"/>
    </row>
    <row r="28" spans="1:15">
      <c r="A28" s="4">
        <v>1212</v>
      </c>
      <c r="B28" s="4"/>
      <c r="C28" s="4"/>
      <c r="D28" s="4"/>
      <c r="E28" s="4"/>
      <c r="F28" s="4"/>
      <c r="G28" s="8"/>
      <c r="H28" s="8"/>
      <c r="I28" s="8"/>
      <c r="J28" s="16">
        <v>386</v>
      </c>
      <c r="K28" s="8"/>
      <c r="L28" s="15"/>
      <c r="M28" s="4"/>
      <c r="N28" s="4">
        <v>440</v>
      </c>
      <c r="O28" s="4"/>
    </row>
    <row r="29" spans="1:15">
      <c r="A29" s="4">
        <v>1217</v>
      </c>
      <c r="B29" s="4"/>
      <c r="C29" s="4"/>
      <c r="D29" s="4"/>
      <c r="E29" s="4"/>
      <c r="F29" s="4"/>
      <c r="G29" s="8"/>
      <c r="H29" s="8"/>
      <c r="I29" s="8"/>
      <c r="J29" s="16">
        <v>470</v>
      </c>
      <c r="K29" s="8"/>
      <c r="L29" s="15"/>
      <c r="M29" s="4"/>
      <c r="N29" s="4">
        <v>530</v>
      </c>
      <c r="O29" s="4"/>
    </row>
    <row r="30" spans="1:15">
      <c r="A30" s="4">
        <v>1220</v>
      </c>
      <c r="B30" s="4"/>
      <c r="C30" s="4"/>
      <c r="D30" s="4"/>
      <c r="E30" s="4"/>
      <c r="F30" s="4"/>
      <c r="G30" s="8"/>
      <c r="H30" s="8"/>
      <c r="I30" s="8"/>
      <c r="J30" s="16">
        <v>346</v>
      </c>
      <c r="K30" s="8"/>
      <c r="L30" s="15"/>
      <c r="M30" s="4">
        <v>430</v>
      </c>
      <c r="N30" s="4"/>
      <c r="O30" s="4"/>
    </row>
    <row r="31" spans="1:15">
      <c r="A31" s="4">
        <v>1225</v>
      </c>
      <c r="B31" s="4"/>
      <c r="C31" s="4"/>
      <c r="D31" s="4"/>
      <c r="E31" s="4"/>
      <c r="F31" s="4"/>
      <c r="G31" s="8"/>
      <c r="H31" s="8"/>
      <c r="I31" s="8"/>
      <c r="J31" s="16">
        <v>430</v>
      </c>
      <c r="K31" s="8"/>
      <c r="L31" s="15"/>
      <c r="M31" s="4">
        <v>480</v>
      </c>
      <c r="N31" s="4"/>
      <c r="O31" s="4"/>
    </row>
    <row r="32" spans="1:15">
      <c r="A32" s="4">
        <v>1231</v>
      </c>
      <c r="B32" s="4"/>
      <c r="C32" s="4"/>
      <c r="D32" s="4"/>
      <c r="E32" s="4"/>
      <c r="F32" s="4"/>
      <c r="G32" s="8"/>
      <c r="H32" s="8"/>
      <c r="I32" s="8"/>
      <c r="J32" s="16">
        <v>490</v>
      </c>
      <c r="K32" s="8"/>
      <c r="L32" s="15"/>
      <c r="M32" s="4">
        <v>550</v>
      </c>
      <c r="N32" s="4"/>
      <c r="O32" s="4"/>
    </row>
    <row r="33" spans="1:15">
      <c r="A33" s="4">
        <v>1242</v>
      </c>
      <c r="B33" s="4"/>
      <c r="C33" s="4"/>
      <c r="D33" s="4"/>
      <c r="E33" s="4"/>
      <c r="F33" s="4"/>
      <c r="G33" s="8"/>
      <c r="H33" s="8"/>
      <c r="I33" s="8"/>
      <c r="J33" s="16">
        <v>405</v>
      </c>
      <c r="K33" s="8"/>
      <c r="L33" s="15"/>
      <c r="M33" s="4">
        <v>480</v>
      </c>
      <c r="N33" s="4"/>
      <c r="O33" s="4"/>
    </row>
    <row r="34" spans="1:15">
      <c r="A34" s="4">
        <v>3244</v>
      </c>
      <c r="B34" s="4"/>
      <c r="C34" s="4"/>
      <c r="D34" s="4"/>
      <c r="E34" s="4"/>
      <c r="F34" s="4"/>
      <c r="G34" s="8"/>
      <c r="H34" s="8"/>
      <c r="I34" s="8"/>
      <c r="J34" s="16">
        <v>420</v>
      </c>
      <c r="K34" s="8"/>
      <c r="L34" s="15"/>
      <c r="M34" s="16">
        <v>490</v>
      </c>
      <c r="N34" s="4"/>
      <c r="O34" s="4"/>
    </row>
    <row r="35" spans="1:15">
      <c r="A35" s="4">
        <v>21363</v>
      </c>
      <c r="B35" s="4"/>
      <c r="C35" s="4"/>
      <c r="D35" s="4"/>
      <c r="E35" s="4"/>
      <c r="F35" s="4"/>
      <c r="G35" s="8"/>
      <c r="H35" s="8"/>
      <c r="I35" s="8"/>
      <c r="J35" s="16">
        <v>385</v>
      </c>
      <c r="K35" s="8"/>
      <c r="L35" s="15"/>
      <c r="M35" s="4"/>
      <c r="N35" s="4">
        <v>410</v>
      </c>
      <c r="O35" s="4"/>
    </row>
    <row r="36" spans="1:15">
      <c r="A36" s="4">
        <v>21383</v>
      </c>
      <c r="B36" s="4"/>
      <c r="C36" s="4"/>
      <c r="D36" s="4"/>
      <c r="E36" s="4"/>
      <c r="F36" s="4"/>
      <c r="G36" s="8"/>
      <c r="H36" s="8"/>
      <c r="I36" s="8"/>
      <c r="J36" s="16">
        <v>583</v>
      </c>
      <c r="K36" s="8"/>
      <c r="L36" s="15"/>
      <c r="M36" s="4">
        <v>655</v>
      </c>
      <c r="N36" s="4"/>
      <c r="O36" s="4"/>
    </row>
    <row r="37" spans="1:15">
      <c r="A37" s="4">
        <v>21429</v>
      </c>
      <c r="B37" s="4"/>
      <c r="C37" s="4"/>
      <c r="D37" s="4"/>
      <c r="E37" s="4"/>
      <c r="F37" s="4"/>
      <c r="G37" s="8"/>
      <c r="H37" s="8"/>
      <c r="I37" s="8"/>
      <c r="J37" s="16">
        <v>517</v>
      </c>
      <c r="K37" s="8"/>
      <c r="L37" s="15"/>
      <c r="M37" s="4">
        <v>550</v>
      </c>
      <c r="N37" s="4"/>
      <c r="O37" s="4"/>
    </row>
    <row r="38" spans="1:15">
      <c r="A38" s="4">
        <v>21512</v>
      </c>
      <c r="B38" s="4"/>
      <c r="C38" s="4"/>
      <c r="D38" s="4"/>
      <c r="E38" s="4"/>
      <c r="F38" s="4"/>
      <c r="G38" s="8"/>
      <c r="H38" s="8"/>
      <c r="I38" s="8"/>
      <c r="J38" s="16">
        <v>480</v>
      </c>
      <c r="K38" s="8"/>
      <c r="L38" s="15"/>
      <c r="M38" s="4"/>
      <c r="N38" s="4">
        <v>570</v>
      </c>
      <c r="O38" s="4"/>
    </row>
    <row r="39" spans="1:15">
      <c r="A39" s="4">
        <v>21587</v>
      </c>
      <c r="B39" s="4"/>
      <c r="C39" s="4"/>
      <c r="D39" s="4"/>
      <c r="E39" s="4"/>
      <c r="F39" s="4"/>
      <c r="G39" s="8"/>
      <c r="H39" s="8"/>
      <c r="I39" s="8"/>
      <c r="J39" s="16">
        <v>540</v>
      </c>
      <c r="K39" s="8"/>
      <c r="L39" s="15"/>
      <c r="M39" s="4">
        <v>580</v>
      </c>
      <c r="N39" s="4"/>
      <c r="O39" s="4"/>
    </row>
    <row r="40" spans="1:15">
      <c r="A40" s="4">
        <v>21609</v>
      </c>
      <c r="B40" s="4"/>
      <c r="C40" s="4"/>
      <c r="D40" s="4"/>
      <c r="E40" s="4"/>
      <c r="F40" s="4"/>
      <c r="G40" s="8"/>
      <c r="H40" s="8"/>
      <c r="I40" s="8"/>
      <c r="J40" s="16">
        <v>436</v>
      </c>
      <c r="K40" s="8"/>
      <c r="L40" s="15"/>
      <c r="M40" s="4">
        <v>480</v>
      </c>
      <c r="N40" s="4"/>
      <c r="O40" s="4"/>
    </row>
    <row r="41" spans="1:15">
      <c r="A41" s="4">
        <v>21619</v>
      </c>
      <c r="B41" s="4"/>
      <c r="C41" s="4"/>
      <c r="D41" s="4"/>
      <c r="E41" s="4"/>
      <c r="F41" s="4"/>
      <c r="G41" s="8"/>
      <c r="H41" s="8"/>
      <c r="I41" s="8"/>
      <c r="J41" s="16">
        <v>313</v>
      </c>
      <c r="K41" s="8"/>
      <c r="L41" s="15"/>
      <c r="M41" s="4"/>
      <c r="N41" s="4">
        <v>480</v>
      </c>
      <c r="O41" s="4"/>
    </row>
    <row r="42" spans="1:15">
      <c r="A42" s="4">
        <v>21628</v>
      </c>
      <c r="B42" s="4"/>
      <c r="C42" s="4"/>
      <c r="D42" s="4"/>
      <c r="E42" s="4"/>
      <c r="F42" s="4"/>
      <c r="G42" s="8"/>
      <c r="H42" s="8"/>
      <c r="I42" s="8"/>
      <c r="J42" s="16">
        <v>620</v>
      </c>
      <c r="K42" s="8"/>
      <c r="L42" s="15"/>
      <c r="M42" s="4">
        <v>700</v>
      </c>
      <c r="N42" s="4"/>
      <c r="O42" s="4"/>
    </row>
    <row r="43" spans="1:15">
      <c r="A43" s="4">
        <v>21659</v>
      </c>
      <c r="B43" s="4"/>
      <c r="C43" s="4"/>
      <c r="D43" s="4"/>
      <c r="E43" s="4"/>
      <c r="F43" s="4"/>
      <c r="G43" s="8"/>
      <c r="H43" s="8"/>
      <c r="I43" s="8"/>
      <c r="J43" s="16">
        <v>470</v>
      </c>
      <c r="K43" s="8"/>
      <c r="L43" s="15"/>
      <c r="M43" s="4"/>
      <c r="N43" s="4">
        <v>500</v>
      </c>
      <c r="O43" s="4"/>
    </row>
    <row r="44" spans="1:15">
      <c r="A44" s="4">
        <v>21666</v>
      </c>
      <c r="B44" s="4"/>
      <c r="C44" s="4"/>
      <c r="D44" s="4"/>
      <c r="E44" s="4"/>
      <c r="F44" s="4"/>
      <c r="G44" s="8"/>
      <c r="H44" s="8"/>
      <c r="I44" s="8"/>
      <c r="J44" s="16">
        <v>580</v>
      </c>
      <c r="K44" s="8"/>
      <c r="L44" s="15"/>
      <c r="M44" s="4"/>
      <c r="N44" s="4">
        <v>600</v>
      </c>
      <c r="O44" s="4"/>
    </row>
    <row r="45" spans="1:15">
      <c r="A45" s="4">
        <v>21667</v>
      </c>
      <c r="B45" s="4"/>
      <c r="C45" s="4"/>
      <c r="D45" s="4"/>
      <c r="E45" s="4"/>
      <c r="F45" s="4"/>
      <c r="G45" s="8"/>
      <c r="H45" s="8"/>
      <c r="I45" s="8"/>
      <c r="J45" s="16">
        <v>488</v>
      </c>
      <c r="K45" s="8"/>
      <c r="L45" s="15"/>
      <c r="M45" s="4"/>
      <c r="N45" s="4">
        <v>570</v>
      </c>
      <c r="O45" s="4"/>
    </row>
    <row r="46" spans="1:15">
      <c r="A46" s="4">
        <v>21678</v>
      </c>
      <c r="B46" s="4"/>
      <c r="C46" s="4"/>
      <c r="D46" s="4"/>
      <c r="E46" s="4"/>
      <c r="F46" s="4"/>
      <c r="G46" s="8"/>
      <c r="H46" s="8"/>
      <c r="I46" s="8"/>
      <c r="J46" s="16">
        <v>530</v>
      </c>
      <c r="K46" s="8"/>
      <c r="L46" s="15"/>
      <c r="M46" s="4"/>
      <c r="N46" s="4">
        <v>570</v>
      </c>
      <c r="O46" s="4"/>
    </row>
    <row r="47" spans="1:15">
      <c r="A47" s="4">
        <v>23007</v>
      </c>
      <c r="B47" s="4"/>
      <c r="C47" s="4"/>
      <c r="D47" s="4"/>
      <c r="E47" s="4"/>
      <c r="F47" s="4"/>
      <c r="G47" s="8"/>
      <c r="H47" s="8"/>
      <c r="I47" s="8"/>
      <c r="J47" s="16">
        <v>403</v>
      </c>
      <c r="K47" s="8"/>
      <c r="L47" s="15"/>
      <c r="M47" s="4"/>
      <c r="N47" s="4">
        <v>470</v>
      </c>
      <c r="O47" s="4"/>
    </row>
    <row r="48" spans="1:15">
      <c r="A48" s="4">
        <v>23014</v>
      </c>
      <c r="B48" s="4"/>
      <c r="C48" s="4"/>
      <c r="D48" s="4"/>
      <c r="E48" s="4"/>
      <c r="F48" s="4"/>
      <c r="G48" s="8"/>
      <c r="H48" s="8"/>
      <c r="I48" s="8"/>
      <c r="J48" s="16">
        <v>431</v>
      </c>
      <c r="K48" s="8"/>
      <c r="L48" s="15"/>
      <c r="M48" s="4"/>
      <c r="N48" s="4">
        <v>490</v>
      </c>
      <c r="O48" s="4"/>
    </row>
    <row r="49" spans="1:15">
      <c r="A49" s="4">
        <v>23018</v>
      </c>
      <c r="B49" s="4"/>
      <c r="C49" s="4"/>
      <c r="D49" s="4"/>
      <c r="E49" s="4"/>
      <c r="F49" s="4"/>
      <c r="G49" s="8"/>
      <c r="H49" s="8"/>
      <c r="I49" s="8"/>
      <c r="J49" s="16">
        <v>473</v>
      </c>
      <c r="K49" s="8"/>
      <c r="L49" s="15"/>
      <c r="M49" s="4"/>
      <c r="N49" s="4">
        <v>530</v>
      </c>
      <c r="O49" s="4"/>
    </row>
    <row r="50" spans="1:15">
      <c r="A50" s="4">
        <v>23025</v>
      </c>
      <c r="B50" s="4"/>
      <c r="C50" s="4"/>
      <c r="D50" s="4"/>
      <c r="E50" s="4"/>
      <c r="F50" s="4"/>
      <c r="G50" s="8"/>
      <c r="H50" s="8"/>
      <c r="I50" s="8"/>
      <c r="J50" s="16">
        <v>430</v>
      </c>
      <c r="K50" s="8"/>
      <c r="L50" s="15"/>
      <c r="M50" s="16">
        <v>400</v>
      </c>
      <c r="N50" s="4"/>
      <c r="O50" s="4"/>
    </row>
    <row r="51" spans="1:15">
      <c r="A51" s="4">
        <v>23028</v>
      </c>
      <c r="B51" s="4"/>
      <c r="C51" s="4"/>
      <c r="D51" s="4"/>
      <c r="E51" s="4"/>
      <c r="F51" s="4"/>
      <c r="G51" s="8"/>
      <c r="H51" s="8"/>
      <c r="I51" s="8"/>
      <c r="J51" s="16">
        <v>380</v>
      </c>
      <c r="K51" s="8"/>
      <c r="L51" s="15"/>
      <c r="M51" s="4">
        <v>440</v>
      </c>
      <c r="N51" s="4"/>
      <c r="O51" s="4"/>
    </row>
    <row r="52" spans="1:15">
      <c r="A52" s="4">
        <v>23062</v>
      </c>
      <c r="B52" s="4"/>
      <c r="C52" s="4"/>
      <c r="D52" s="4"/>
      <c r="E52" s="4"/>
      <c r="F52" s="4"/>
      <c r="G52" s="8"/>
      <c r="H52" s="8"/>
      <c r="I52" s="8"/>
      <c r="J52" s="16">
        <v>427</v>
      </c>
      <c r="K52" s="8"/>
      <c r="L52" s="15"/>
      <c r="M52" s="4">
        <v>480</v>
      </c>
      <c r="N52" s="4"/>
      <c r="O52" s="4"/>
    </row>
    <row r="53" spans="1:15">
      <c r="A53" s="4">
        <v>23063</v>
      </c>
      <c r="B53" s="4"/>
      <c r="C53" s="4"/>
      <c r="D53" s="4"/>
      <c r="E53" s="4"/>
      <c r="F53" s="4"/>
      <c r="G53" s="8"/>
      <c r="H53" s="8"/>
      <c r="I53" s="8"/>
      <c r="J53" s="16">
        <v>410</v>
      </c>
      <c r="K53" s="8"/>
      <c r="L53" s="15"/>
      <c r="M53" s="4">
        <v>490</v>
      </c>
      <c r="N53" s="4"/>
      <c r="O53" s="4"/>
    </row>
    <row r="54" spans="1:15">
      <c r="A54" s="4">
        <v>23068</v>
      </c>
      <c r="B54" s="4"/>
      <c r="C54" s="4"/>
      <c r="D54" s="4"/>
      <c r="E54" s="4"/>
      <c r="F54" s="4"/>
      <c r="G54" s="8"/>
      <c r="H54" s="8"/>
      <c r="I54" s="8"/>
      <c r="J54" s="16">
        <v>376</v>
      </c>
      <c r="K54" s="8"/>
      <c r="L54" s="15"/>
      <c r="M54" s="4">
        <v>430</v>
      </c>
      <c r="N54" s="4"/>
      <c r="O54" s="4"/>
    </row>
    <row r="55" spans="1:15">
      <c r="A55" s="4">
        <v>23072</v>
      </c>
      <c r="B55" s="4"/>
      <c r="C55" s="4"/>
      <c r="D55" s="4"/>
      <c r="E55" s="4"/>
      <c r="F55" s="4"/>
      <c r="G55" s="8"/>
      <c r="H55" s="8"/>
      <c r="I55" s="8"/>
      <c r="J55" s="16">
        <v>409</v>
      </c>
      <c r="K55" s="8"/>
      <c r="L55" s="15"/>
      <c r="M55" s="4"/>
      <c r="N55" s="4">
        <v>450</v>
      </c>
      <c r="O55" s="4"/>
    </row>
    <row r="56" spans="1:15">
      <c r="A56" s="4">
        <v>23091</v>
      </c>
      <c r="B56" s="4"/>
      <c r="C56" s="4"/>
      <c r="D56" s="4"/>
      <c r="E56" s="4"/>
      <c r="F56" s="4"/>
      <c r="G56" s="8"/>
      <c r="H56" s="8"/>
      <c r="I56" s="8"/>
      <c r="J56" s="16">
        <v>395</v>
      </c>
      <c r="K56" s="8"/>
      <c r="L56" s="15"/>
      <c r="M56" s="4"/>
      <c r="N56" s="4">
        <v>450</v>
      </c>
      <c r="O56" s="4"/>
    </row>
    <row r="57" spans="1:15">
      <c r="A57" s="4">
        <v>23095</v>
      </c>
      <c r="B57" s="4"/>
      <c r="C57" s="4"/>
      <c r="D57" s="4"/>
      <c r="E57" s="4"/>
      <c r="F57" s="4"/>
      <c r="G57" s="8"/>
      <c r="H57" s="8"/>
      <c r="I57" s="8"/>
      <c r="J57" s="16">
        <v>425</v>
      </c>
      <c r="K57" s="8"/>
      <c r="L57" s="15"/>
      <c r="M57" s="4">
        <v>480</v>
      </c>
      <c r="N57" s="4"/>
      <c r="O57" s="4"/>
    </row>
    <row r="58" spans="1:15">
      <c r="A58" s="4">
        <v>23101</v>
      </c>
      <c r="B58" s="4"/>
      <c r="C58" s="4"/>
      <c r="D58" s="4"/>
      <c r="E58" s="4"/>
      <c r="F58" s="4"/>
      <c r="G58" s="8"/>
      <c r="H58" s="8"/>
      <c r="I58" s="8"/>
      <c r="J58" s="16">
        <v>410</v>
      </c>
      <c r="K58" s="8"/>
      <c r="L58" s="15"/>
      <c r="M58" s="16"/>
      <c r="N58" s="4"/>
      <c r="O58" s="4"/>
    </row>
    <row r="59" spans="1:15">
      <c r="A59" s="4">
        <v>23106</v>
      </c>
      <c r="B59" s="4"/>
      <c r="C59" s="4"/>
      <c r="D59" s="4"/>
      <c r="E59" s="4"/>
      <c r="F59" s="4"/>
      <c r="G59" s="8"/>
      <c r="H59" s="8"/>
      <c r="I59" s="8"/>
      <c r="J59" s="16">
        <v>450</v>
      </c>
      <c r="K59" s="8"/>
      <c r="L59" s="15"/>
      <c r="M59" s="4">
        <v>490</v>
      </c>
      <c r="N59" s="4"/>
      <c r="O59" s="4"/>
    </row>
    <row r="60" spans="1:15">
      <c r="A60" s="4" t="s">
        <v>134</v>
      </c>
      <c r="B60" s="4"/>
      <c r="C60" s="4"/>
      <c r="D60" s="4"/>
      <c r="E60" s="4"/>
      <c r="F60" s="4"/>
      <c r="G60" s="8"/>
      <c r="H60" s="8"/>
      <c r="I60" s="8"/>
      <c r="J60" s="16">
        <v>430</v>
      </c>
      <c r="K60" s="8"/>
      <c r="L60" s="15"/>
      <c r="M60" s="4"/>
      <c r="N60" s="4">
        <v>480</v>
      </c>
      <c r="O60" s="4"/>
    </row>
    <row r="61" spans="1:15">
      <c r="A61" s="4" t="s">
        <v>135</v>
      </c>
      <c r="B61" s="4"/>
      <c r="C61" s="4"/>
      <c r="D61" s="4"/>
      <c r="E61" s="4"/>
      <c r="F61" s="4"/>
      <c r="G61" s="8"/>
      <c r="H61" s="8"/>
      <c r="I61" s="8"/>
      <c r="J61" s="16">
        <v>400</v>
      </c>
      <c r="K61" s="8"/>
      <c r="L61" s="15"/>
      <c r="M61" s="4"/>
      <c r="N61" s="4">
        <v>430</v>
      </c>
      <c r="O61" s="4"/>
    </row>
    <row r="62" spans="1:15">
      <c r="A62" s="4" t="s">
        <v>136</v>
      </c>
      <c r="B62" s="4"/>
      <c r="C62" s="4"/>
      <c r="D62" s="4"/>
      <c r="E62" s="4"/>
      <c r="F62" s="4"/>
      <c r="G62" s="8"/>
      <c r="H62" s="8"/>
      <c r="I62" s="8"/>
      <c r="J62" s="16">
        <v>400</v>
      </c>
      <c r="K62" s="8"/>
      <c r="L62" s="15"/>
      <c r="M62" s="4"/>
      <c r="N62" s="4">
        <v>460</v>
      </c>
      <c r="O62" s="4"/>
    </row>
    <row r="63" spans="1:15">
      <c r="A63" s="4" t="s">
        <v>137</v>
      </c>
      <c r="B63" s="4"/>
      <c r="C63" s="4"/>
      <c r="D63" s="4"/>
      <c r="E63" s="4"/>
      <c r="F63" s="4"/>
      <c r="G63" s="8"/>
      <c r="H63" s="8"/>
      <c r="I63" s="8"/>
      <c r="J63" s="16">
        <v>380</v>
      </c>
      <c r="K63" s="8"/>
      <c r="L63" s="15"/>
      <c r="M63" s="4">
        <v>410</v>
      </c>
      <c r="N63" s="4"/>
      <c r="O63" s="4"/>
    </row>
    <row r="64" spans="1:15">
      <c r="A64" s="4" t="s">
        <v>138</v>
      </c>
      <c r="B64" s="4"/>
      <c r="C64" s="4"/>
      <c r="D64" s="4"/>
      <c r="E64" s="4"/>
      <c r="F64" s="4"/>
      <c r="G64" s="8"/>
      <c r="H64" s="8"/>
      <c r="I64" s="8"/>
      <c r="J64" s="16">
        <v>450</v>
      </c>
      <c r="K64" s="8"/>
      <c r="L64" s="15"/>
      <c r="M64" s="4"/>
      <c r="N64" s="4">
        <v>500</v>
      </c>
      <c r="O64" s="4"/>
    </row>
    <row r="65" spans="1:15">
      <c r="A65" s="4" t="s">
        <v>104</v>
      </c>
      <c r="B65" s="4">
        <v>22560</v>
      </c>
      <c r="C65" s="4"/>
      <c r="D65" s="4"/>
      <c r="E65" s="4"/>
      <c r="F65" s="4"/>
      <c r="G65" s="8"/>
      <c r="H65" s="8"/>
      <c r="I65" s="8"/>
      <c r="J65" s="16">
        <f>SUM(J5:J64)</f>
        <v>26998</v>
      </c>
      <c r="K65" s="16">
        <f t="shared" ref="K65:N65" si="0">SUM(K5:K64)</f>
        <v>0</v>
      </c>
      <c r="L65" s="16">
        <f t="shared" si="0"/>
        <v>0</v>
      </c>
      <c r="M65" s="16">
        <f t="shared" si="0"/>
        <v>15275</v>
      </c>
      <c r="N65" s="16">
        <f t="shared" si="0"/>
        <v>14650</v>
      </c>
      <c r="O65" s="4"/>
    </row>
    <row r="66" spans="1:15">
      <c r="A66" s="4" t="s">
        <v>139</v>
      </c>
      <c r="B66" s="4">
        <v>68</v>
      </c>
      <c r="C66" s="4"/>
      <c r="D66" s="4"/>
      <c r="E66" s="4"/>
      <c r="F66" s="4"/>
      <c r="G66" s="8"/>
      <c r="H66" s="8"/>
      <c r="I66" s="8"/>
      <c r="J66" s="16">
        <v>60</v>
      </c>
      <c r="K66" s="8"/>
      <c r="L66" s="15"/>
      <c r="M66" s="4">
        <v>60</v>
      </c>
      <c r="N66" s="4"/>
      <c r="O66" s="4"/>
    </row>
    <row r="67" spans="1:16">
      <c r="A67" s="4" t="s">
        <v>105</v>
      </c>
      <c r="B67" s="15">
        <f>B65/B66</f>
        <v>331.764705882353</v>
      </c>
      <c r="C67" s="4"/>
      <c r="D67" s="4"/>
      <c r="E67" s="4"/>
      <c r="F67" s="4"/>
      <c r="G67" s="9"/>
      <c r="H67" s="9"/>
      <c r="I67" s="9"/>
      <c r="J67" s="17">
        <f>J65/60</f>
        <v>449.966666666667</v>
      </c>
      <c r="K67" s="17">
        <f>J67-B67</f>
        <v>118.201960784314</v>
      </c>
      <c r="L67" s="17">
        <f>K67/L3</f>
        <v>1.24423116615067</v>
      </c>
      <c r="M67" s="4">
        <f>M68/M66</f>
        <v>498.75</v>
      </c>
      <c r="N67" s="15">
        <f>M67-J67</f>
        <v>48.783333333333</v>
      </c>
      <c r="O67" s="15">
        <f>N67/O3</f>
        <v>0.841091954022983</v>
      </c>
      <c r="P67" s="10">
        <f>167/153</f>
        <v>1.09150326797386</v>
      </c>
    </row>
    <row r="68" spans="13:16">
      <c r="M68">
        <f>M65+N65</f>
        <v>29925</v>
      </c>
      <c r="P68" s="18" t="s">
        <v>140</v>
      </c>
    </row>
  </sheetData>
  <sortState ref="A6:A65">
    <sortCondition ref="A6"/>
  </sortState>
  <mergeCells count="2">
    <mergeCell ref="A1:O1"/>
    <mergeCell ref="H2:I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1"/>
  <sheetViews>
    <sheetView tabSelected="1" topLeftCell="A12" workbookViewId="0">
      <selection activeCell="S41" sqref="S41"/>
    </sheetView>
  </sheetViews>
  <sheetFormatPr defaultColWidth="9" defaultRowHeight="13.5"/>
  <cols>
    <col min="1" max="1" width="12.625"/>
    <col min="2" max="2" width="7.875" style="1" customWidth="1"/>
    <col min="3" max="3" width="8" customWidth="1"/>
    <col min="4" max="4" width="7.375" customWidth="1"/>
    <col min="15" max="15" width="12.625"/>
    <col min="17" max="17" width="12.625"/>
  </cols>
  <sheetData>
    <row r="1" ht="27" customHeight="1" spans="1:9">
      <c r="A1" s="13" t="s">
        <v>39</v>
      </c>
      <c r="B1" s="14"/>
      <c r="C1" s="13"/>
      <c r="D1" s="13"/>
      <c r="E1" s="13"/>
      <c r="F1" s="13"/>
      <c r="G1" s="13"/>
      <c r="H1" s="13"/>
      <c r="I1" s="13"/>
    </row>
    <row r="2" ht="24" customHeight="1" spans="1:9">
      <c r="A2" s="2"/>
      <c r="B2" s="3"/>
      <c r="C2" s="2"/>
      <c r="D2" s="2"/>
      <c r="E2" s="2"/>
      <c r="F2" s="2"/>
      <c r="G2" s="2"/>
      <c r="H2" s="2"/>
      <c r="I2" s="2"/>
    </row>
    <row r="3" ht="21.95" customHeight="1" spans="1:9">
      <c r="A3" s="4" t="s">
        <v>41</v>
      </c>
      <c r="B3" s="5">
        <v>45008</v>
      </c>
      <c r="C3" s="6" t="s">
        <v>43</v>
      </c>
      <c r="D3" s="4">
        <v>95</v>
      </c>
      <c r="E3" s="7" t="s">
        <v>133</v>
      </c>
      <c r="F3" s="7"/>
      <c r="G3" s="5">
        <v>45008</v>
      </c>
      <c r="H3" s="7" t="s">
        <v>133</v>
      </c>
      <c r="I3" s="4">
        <v>58</v>
      </c>
    </row>
    <row r="4" spans="1:9">
      <c r="A4" s="4" t="s">
        <v>45</v>
      </c>
      <c r="B4" s="8" t="s">
        <v>47</v>
      </c>
      <c r="C4" s="4" t="s">
        <v>48</v>
      </c>
      <c r="D4" s="4" t="s">
        <v>49</v>
      </c>
      <c r="E4" s="4" t="s">
        <v>47</v>
      </c>
      <c r="F4" s="4"/>
      <c r="G4" s="4"/>
      <c r="H4" s="4" t="s">
        <v>48</v>
      </c>
      <c r="I4" s="4" t="s">
        <v>49</v>
      </c>
    </row>
    <row r="5" spans="3:9">
      <c r="C5" s="8"/>
      <c r="D5" s="15"/>
      <c r="E5" s="4"/>
      <c r="F5" s="4">
        <v>1001</v>
      </c>
      <c r="G5" s="16">
        <v>550</v>
      </c>
      <c r="H5" s="4">
        <v>590</v>
      </c>
      <c r="I5" s="4"/>
    </row>
    <row r="6" spans="1:9">
      <c r="A6" s="4">
        <v>1005</v>
      </c>
      <c r="B6" s="16">
        <v>427</v>
      </c>
      <c r="C6" s="8"/>
      <c r="D6" s="15"/>
      <c r="E6" s="4">
        <v>520</v>
      </c>
      <c r="F6" s="4"/>
      <c r="G6" s="4"/>
      <c r="H6" s="4"/>
      <c r="I6" s="4"/>
    </row>
    <row r="7" spans="1:9">
      <c r="A7" s="4">
        <v>1008</v>
      </c>
      <c r="B7" s="16">
        <v>440</v>
      </c>
      <c r="C7" s="8"/>
      <c r="D7" s="15"/>
      <c r="E7" s="4">
        <v>500</v>
      </c>
      <c r="F7" s="4"/>
      <c r="G7" s="4"/>
      <c r="H7" s="4"/>
      <c r="I7" s="4"/>
    </row>
    <row r="8" spans="1:10">
      <c r="A8" s="4">
        <v>1042</v>
      </c>
      <c r="B8" s="16">
        <v>450</v>
      </c>
      <c r="C8" s="8"/>
      <c r="D8" s="15"/>
      <c r="E8" s="4">
        <v>550</v>
      </c>
      <c r="F8" s="4"/>
      <c r="G8" s="4"/>
      <c r="H8" s="4"/>
      <c r="I8" s="4"/>
      <c r="J8">
        <v>550</v>
      </c>
    </row>
    <row r="9" spans="3:9">
      <c r="C9" s="8"/>
      <c r="D9" s="15"/>
      <c r="E9" s="4"/>
      <c r="F9" s="4">
        <v>1066</v>
      </c>
      <c r="G9" s="16">
        <v>530</v>
      </c>
      <c r="H9" s="4">
        <v>600</v>
      </c>
      <c r="I9" s="4"/>
    </row>
    <row r="10" spans="1:9">
      <c r="A10" s="4">
        <v>1068</v>
      </c>
      <c r="B10" s="16">
        <v>480</v>
      </c>
      <c r="C10" s="8"/>
      <c r="D10" s="15"/>
      <c r="E10" s="4">
        <v>560</v>
      </c>
      <c r="F10" s="4"/>
      <c r="G10" s="4"/>
      <c r="H10" s="4"/>
      <c r="I10" s="4"/>
    </row>
    <row r="11" spans="1:9">
      <c r="A11" s="4">
        <v>1070</v>
      </c>
      <c r="B11" s="16">
        <v>449</v>
      </c>
      <c r="C11" s="8"/>
      <c r="D11" s="15"/>
      <c r="E11" s="4">
        <v>510</v>
      </c>
      <c r="F11" s="4"/>
      <c r="G11" s="4"/>
      <c r="H11" s="4"/>
      <c r="I11" s="4"/>
    </row>
    <row r="12" spans="1:9">
      <c r="A12" s="4">
        <v>1087</v>
      </c>
      <c r="B12" s="16">
        <v>528</v>
      </c>
      <c r="C12" s="8"/>
      <c r="D12" s="15"/>
      <c r="E12" s="4">
        <v>570</v>
      </c>
      <c r="F12" s="4"/>
      <c r="G12" s="4"/>
      <c r="H12" s="4"/>
      <c r="I12" s="4"/>
    </row>
    <row r="13" spans="3:9">
      <c r="C13" s="8"/>
      <c r="D13" s="15"/>
      <c r="E13" s="16"/>
      <c r="F13" s="4">
        <v>1103</v>
      </c>
      <c r="G13" s="16">
        <v>464</v>
      </c>
      <c r="H13" s="4">
        <v>500</v>
      </c>
      <c r="I13" s="4"/>
    </row>
    <row r="14" spans="1:9">
      <c r="A14" s="4">
        <v>1107</v>
      </c>
      <c r="B14" s="16">
        <v>510</v>
      </c>
      <c r="C14" s="8"/>
      <c r="D14" s="15"/>
      <c r="E14" s="4">
        <v>570</v>
      </c>
      <c r="F14" s="4"/>
      <c r="G14" s="4"/>
      <c r="H14" s="4"/>
      <c r="I14" s="4"/>
    </row>
    <row r="15" spans="3:9">
      <c r="C15" s="8"/>
      <c r="D15" s="15"/>
      <c r="E15" s="4"/>
      <c r="F15" s="4">
        <v>1116</v>
      </c>
      <c r="G15" s="16">
        <v>460</v>
      </c>
      <c r="H15" s="4">
        <v>520</v>
      </c>
      <c r="I15" s="4"/>
    </row>
    <row r="16" spans="3:9">
      <c r="C16" s="8"/>
      <c r="D16" s="15"/>
      <c r="E16" s="4"/>
      <c r="F16" s="4">
        <v>1122</v>
      </c>
      <c r="G16" s="16">
        <v>450</v>
      </c>
      <c r="H16" s="4">
        <v>530</v>
      </c>
      <c r="I16" s="4"/>
    </row>
    <row r="17" spans="3:10">
      <c r="C17" s="8"/>
      <c r="D17" s="15"/>
      <c r="E17" s="4"/>
      <c r="F17" s="4">
        <v>1124</v>
      </c>
      <c r="G17" s="16">
        <v>530</v>
      </c>
      <c r="H17" s="4">
        <v>590</v>
      </c>
      <c r="I17" s="4"/>
      <c r="J17">
        <v>590</v>
      </c>
    </row>
    <row r="18" spans="3:9">
      <c r="C18" s="8"/>
      <c r="D18" s="15"/>
      <c r="E18" s="4"/>
      <c r="F18" s="4">
        <v>1135</v>
      </c>
      <c r="G18" s="16">
        <v>460</v>
      </c>
      <c r="H18" s="4">
        <v>490</v>
      </c>
      <c r="I18" s="4"/>
    </row>
    <row r="19" spans="1:9">
      <c r="A19" s="4">
        <v>1139</v>
      </c>
      <c r="B19" s="16">
        <v>460</v>
      </c>
      <c r="C19" s="8"/>
      <c r="D19" s="15"/>
      <c r="E19" s="4">
        <v>460</v>
      </c>
      <c r="F19" s="4"/>
      <c r="G19" s="4"/>
      <c r="H19" s="4"/>
      <c r="I19" s="4"/>
    </row>
    <row r="20" spans="3:9">
      <c r="C20" s="8"/>
      <c r="D20" s="15"/>
      <c r="E20" s="4"/>
      <c r="F20" s="4">
        <v>1150</v>
      </c>
      <c r="G20" s="16">
        <v>415</v>
      </c>
      <c r="H20" s="4">
        <v>480</v>
      </c>
      <c r="I20" s="4"/>
    </row>
    <row r="21" spans="1:9">
      <c r="A21" s="4">
        <v>1166</v>
      </c>
      <c r="B21" s="16">
        <v>470</v>
      </c>
      <c r="C21" s="8"/>
      <c r="D21" s="15"/>
      <c r="E21" s="4">
        <v>570</v>
      </c>
      <c r="F21" s="4"/>
      <c r="G21" s="4"/>
      <c r="H21" s="4"/>
      <c r="I21" s="4"/>
    </row>
    <row r="22" spans="3:9">
      <c r="C22" s="8"/>
      <c r="D22" s="15"/>
      <c r="E22" s="4"/>
      <c r="F22" s="4">
        <v>1175</v>
      </c>
      <c r="G22" s="16">
        <v>520</v>
      </c>
      <c r="H22" s="4">
        <v>580</v>
      </c>
      <c r="I22" s="4"/>
    </row>
    <row r="23" spans="1:9">
      <c r="A23" s="4">
        <v>1177</v>
      </c>
      <c r="B23" s="16">
        <v>420</v>
      </c>
      <c r="C23" s="8"/>
      <c r="D23" s="15"/>
      <c r="E23" s="4">
        <v>470</v>
      </c>
      <c r="F23" s="4"/>
      <c r="G23" s="4"/>
      <c r="H23" s="4"/>
      <c r="I23" s="4"/>
    </row>
    <row r="24" spans="1:9">
      <c r="A24" s="4">
        <v>1186</v>
      </c>
      <c r="B24" s="16">
        <v>426</v>
      </c>
      <c r="C24" s="8"/>
      <c r="D24" s="15"/>
      <c r="E24" s="16">
        <v>510</v>
      </c>
      <c r="F24" s="16"/>
      <c r="G24" s="4"/>
      <c r="H24" s="4"/>
      <c r="I24" s="4"/>
    </row>
    <row r="25" spans="3:9">
      <c r="C25" s="8"/>
      <c r="D25" s="15"/>
      <c r="E25" s="4"/>
      <c r="F25" s="4">
        <v>1192</v>
      </c>
      <c r="G25" s="16">
        <v>444</v>
      </c>
      <c r="H25" s="4">
        <v>480</v>
      </c>
      <c r="I25" s="4"/>
    </row>
    <row r="26" spans="1:9">
      <c r="A26" s="4">
        <v>1201</v>
      </c>
      <c r="B26" s="16">
        <v>417</v>
      </c>
      <c r="C26" s="8"/>
      <c r="D26" s="15"/>
      <c r="E26" s="4">
        <v>470</v>
      </c>
      <c r="F26" s="4"/>
      <c r="G26" s="4"/>
      <c r="H26" s="4"/>
      <c r="I26" s="4"/>
    </row>
    <row r="27" spans="3:9">
      <c r="C27" s="8"/>
      <c r="D27" s="15"/>
      <c r="E27" s="4"/>
      <c r="F27" s="4">
        <v>1209</v>
      </c>
      <c r="G27" s="16">
        <v>330</v>
      </c>
      <c r="H27" s="4">
        <v>360</v>
      </c>
      <c r="I27" s="4"/>
    </row>
    <row r="28" spans="3:9">
      <c r="C28" s="8"/>
      <c r="D28" s="15"/>
      <c r="E28" s="4"/>
      <c r="F28" s="4">
        <v>1212</v>
      </c>
      <c r="G28" s="16">
        <v>386</v>
      </c>
      <c r="H28" s="4">
        <v>440</v>
      </c>
      <c r="I28" s="4"/>
    </row>
    <row r="29" spans="3:9">
      <c r="C29" s="8"/>
      <c r="D29" s="15"/>
      <c r="E29" s="4"/>
      <c r="F29" s="4">
        <v>1217</v>
      </c>
      <c r="G29" s="16">
        <v>470</v>
      </c>
      <c r="H29" s="4">
        <v>530</v>
      </c>
      <c r="I29" s="4"/>
    </row>
    <row r="30" spans="1:9">
      <c r="A30" s="4">
        <v>1220</v>
      </c>
      <c r="B30" s="16">
        <v>346</v>
      </c>
      <c r="C30" s="8"/>
      <c r="D30" s="15"/>
      <c r="E30" s="4">
        <v>430</v>
      </c>
      <c r="F30" s="4"/>
      <c r="G30" s="4"/>
      <c r="H30" s="4"/>
      <c r="I30" s="4"/>
    </row>
    <row r="31" spans="1:9">
      <c r="A31" s="4">
        <v>1225</v>
      </c>
      <c r="B31" s="16">
        <v>430</v>
      </c>
      <c r="C31" s="8"/>
      <c r="D31" s="15"/>
      <c r="E31" s="4">
        <v>480</v>
      </c>
      <c r="F31" s="4"/>
      <c r="G31" s="4"/>
      <c r="H31" s="4"/>
      <c r="I31" s="4"/>
    </row>
    <row r="32" spans="1:10">
      <c r="A32" s="4">
        <v>1231</v>
      </c>
      <c r="B32" s="16">
        <v>490</v>
      </c>
      <c r="C32" s="8"/>
      <c r="D32" s="15"/>
      <c r="E32" s="4">
        <v>550</v>
      </c>
      <c r="F32" s="4"/>
      <c r="G32" s="4"/>
      <c r="H32" s="4"/>
      <c r="I32" s="4"/>
      <c r="J32">
        <v>550</v>
      </c>
    </row>
    <row r="33" spans="1:9">
      <c r="A33" s="4">
        <v>1242</v>
      </c>
      <c r="B33" s="16">
        <v>405</v>
      </c>
      <c r="C33" s="8"/>
      <c r="D33" s="15"/>
      <c r="E33" s="4">
        <v>480</v>
      </c>
      <c r="F33" s="4"/>
      <c r="G33" s="4"/>
      <c r="H33" s="4"/>
      <c r="I33" s="4"/>
    </row>
    <row r="34" spans="1:9">
      <c r="A34" s="4">
        <v>3244</v>
      </c>
      <c r="B34" s="16">
        <v>420</v>
      </c>
      <c r="C34" s="8"/>
      <c r="D34" s="15"/>
      <c r="E34" s="16">
        <v>490</v>
      </c>
      <c r="F34" s="16"/>
      <c r="G34" s="4"/>
      <c r="H34" s="4"/>
      <c r="I34" s="4"/>
    </row>
    <row r="35" spans="3:9">
      <c r="C35" s="8"/>
      <c r="D35" s="15"/>
      <c r="E35" s="4"/>
      <c r="F35" s="4">
        <v>21363</v>
      </c>
      <c r="G35" s="16">
        <v>385</v>
      </c>
      <c r="H35" s="4">
        <v>410</v>
      </c>
      <c r="I35" s="4"/>
    </row>
    <row r="36" spans="1:9">
      <c r="A36" s="4">
        <v>21383</v>
      </c>
      <c r="B36" s="16">
        <v>583</v>
      </c>
      <c r="C36" s="8"/>
      <c r="D36" s="15"/>
      <c r="E36" s="4">
        <v>655</v>
      </c>
      <c r="F36" s="4"/>
      <c r="G36" s="4"/>
      <c r="H36" s="4"/>
      <c r="I36" s="4"/>
    </row>
    <row r="37" spans="1:10">
      <c r="A37" s="4">
        <v>21429</v>
      </c>
      <c r="B37" s="16">
        <v>517</v>
      </c>
      <c r="C37" s="8"/>
      <c r="D37" s="15"/>
      <c r="E37" s="4">
        <v>550</v>
      </c>
      <c r="F37" s="4"/>
      <c r="G37" s="4"/>
      <c r="H37" s="4"/>
      <c r="I37" s="4"/>
      <c r="J37">
        <v>550</v>
      </c>
    </row>
    <row r="38" spans="3:9">
      <c r="C38" s="8"/>
      <c r="D38" s="15"/>
      <c r="E38" s="4"/>
      <c r="F38" s="4">
        <v>21512</v>
      </c>
      <c r="G38" s="16">
        <v>480</v>
      </c>
      <c r="H38" s="4">
        <v>570</v>
      </c>
      <c r="I38" s="4"/>
    </row>
    <row r="39" spans="1:9">
      <c r="A39" s="4">
        <v>21587</v>
      </c>
      <c r="B39" s="16">
        <v>540</v>
      </c>
      <c r="C39" s="8"/>
      <c r="D39" s="15"/>
      <c r="E39" s="4">
        <v>580</v>
      </c>
      <c r="F39" s="4"/>
      <c r="G39" s="4"/>
      <c r="H39" s="4"/>
      <c r="I39" s="4"/>
    </row>
    <row r="40" spans="1:9">
      <c r="A40" s="4">
        <v>21609</v>
      </c>
      <c r="B40" s="16">
        <v>436</v>
      </c>
      <c r="C40" s="8"/>
      <c r="D40" s="15"/>
      <c r="E40" s="4">
        <v>480</v>
      </c>
      <c r="F40" s="4"/>
      <c r="G40" s="4"/>
      <c r="H40" s="4"/>
      <c r="I40" s="4"/>
    </row>
    <row r="41" spans="3:9">
      <c r="C41" s="8"/>
      <c r="D41" s="15"/>
      <c r="E41" s="4"/>
      <c r="F41" s="4">
        <v>21619</v>
      </c>
      <c r="G41" s="16">
        <v>313</v>
      </c>
      <c r="H41" s="4">
        <v>480</v>
      </c>
      <c r="I41" s="4"/>
    </row>
    <row r="42" spans="1:9">
      <c r="A42" s="4">
        <v>21628</v>
      </c>
      <c r="B42" s="16">
        <v>620</v>
      </c>
      <c r="C42" s="8"/>
      <c r="D42" s="15"/>
      <c r="E42" s="4">
        <v>700</v>
      </c>
      <c r="F42" s="4"/>
      <c r="G42" s="4"/>
      <c r="H42" s="4"/>
      <c r="I42" s="4"/>
    </row>
    <row r="43" spans="3:9">
      <c r="C43" s="8"/>
      <c r="D43" s="15"/>
      <c r="E43" s="4"/>
      <c r="F43" s="4">
        <v>21659</v>
      </c>
      <c r="G43" s="16">
        <v>470</v>
      </c>
      <c r="H43" s="4">
        <v>500</v>
      </c>
      <c r="I43" s="4"/>
    </row>
    <row r="44" spans="3:9">
      <c r="C44" s="8"/>
      <c r="D44" s="15"/>
      <c r="E44" s="4"/>
      <c r="F44" s="4">
        <v>21666</v>
      </c>
      <c r="G44" s="16">
        <v>580</v>
      </c>
      <c r="H44" s="4">
        <v>600</v>
      </c>
      <c r="I44" s="4"/>
    </row>
    <row r="45" spans="3:10">
      <c r="C45" s="8"/>
      <c r="D45" s="15"/>
      <c r="E45" s="4"/>
      <c r="F45" s="4">
        <v>21667</v>
      </c>
      <c r="G45" s="16">
        <v>488</v>
      </c>
      <c r="H45" s="4">
        <v>570</v>
      </c>
      <c r="I45" s="4"/>
      <c r="J45">
        <v>570</v>
      </c>
    </row>
    <row r="46" spans="3:10">
      <c r="C46" s="8"/>
      <c r="D46" s="15"/>
      <c r="E46" s="4"/>
      <c r="F46" s="4">
        <v>21678</v>
      </c>
      <c r="G46" s="16">
        <v>530</v>
      </c>
      <c r="H46" s="4">
        <v>570</v>
      </c>
      <c r="I46" s="4"/>
      <c r="J46">
        <v>570</v>
      </c>
    </row>
    <row r="47" spans="3:9">
      <c r="C47" s="8"/>
      <c r="D47" s="15"/>
      <c r="E47" s="4"/>
      <c r="F47" s="4">
        <v>23007</v>
      </c>
      <c r="G47" s="16">
        <v>403</v>
      </c>
      <c r="H47" s="4">
        <v>470</v>
      </c>
      <c r="I47" s="4"/>
    </row>
    <row r="48" spans="3:17">
      <c r="C48" s="8"/>
      <c r="D48" s="15"/>
      <c r="E48" s="4"/>
      <c r="F48" s="4">
        <v>23014</v>
      </c>
      <c r="G48" s="16">
        <v>431</v>
      </c>
      <c r="H48" s="4">
        <v>490</v>
      </c>
      <c r="I48" s="4"/>
      <c r="J48">
        <v>490</v>
      </c>
      <c r="K48">
        <v>3870</v>
      </c>
      <c r="L48">
        <v>4120</v>
      </c>
      <c r="M48">
        <f>L48-K48</f>
        <v>250</v>
      </c>
      <c r="N48">
        <v>7</v>
      </c>
      <c r="O48" s="10">
        <f>M48/N48</f>
        <v>35.7142857142857</v>
      </c>
      <c r="P48">
        <f>60</f>
        <v>60</v>
      </c>
      <c r="Q48" s="10">
        <f>O48/P48</f>
        <v>0.595238095238095</v>
      </c>
    </row>
    <row r="49" spans="3:12">
      <c r="C49" s="8"/>
      <c r="D49" s="15"/>
      <c r="E49" s="4"/>
      <c r="F49" s="4">
        <v>23018</v>
      </c>
      <c r="G49" s="16">
        <v>473</v>
      </c>
      <c r="H49" s="4">
        <v>530</v>
      </c>
      <c r="I49" s="4"/>
      <c r="L49" t="s">
        <v>141</v>
      </c>
    </row>
    <row r="50" spans="1:9">
      <c r="A50" s="4">
        <v>23025</v>
      </c>
      <c r="B50" s="16">
        <v>430</v>
      </c>
      <c r="C50" s="8"/>
      <c r="D50" s="15"/>
      <c r="E50" s="16">
        <v>400</v>
      </c>
      <c r="F50" s="16"/>
      <c r="G50" s="4"/>
      <c r="H50" s="4"/>
      <c r="I50" s="4"/>
    </row>
    <row r="51" spans="1:9">
      <c r="A51" s="4">
        <v>23028</v>
      </c>
      <c r="B51" s="16">
        <v>380</v>
      </c>
      <c r="C51" s="8"/>
      <c r="D51" s="15"/>
      <c r="E51" s="4">
        <v>440</v>
      </c>
      <c r="F51" s="4"/>
      <c r="G51" s="4"/>
      <c r="H51" s="4"/>
      <c r="I51" s="4"/>
    </row>
    <row r="52" spans="1:9">
      <c r="A52" s="4">
        <v>23062</v>
      </c>
      <c r="B52" s="16">
        <v>427</v>
      </c>
      <c r="C52" s="8"/>
      <c r="D52" s="15"/>
      <c r="E52" s="4">
        <v>480</v>
      </c>
      <c r="F52" s="4"/>
      <c r="G52" s="4"/>
      <c r="H52" s="4"/>
      <c r="I52" s="4"/>
    </row>
    <row r="53" spans="1:9">
      <c r="A53" s="4">
        <v>23063</v>
      </c>
      <c r="B53" s="16">
        <v>410</v>
      </c>
      <c r="C53" s="8"/>
      <c r="D53" s="15"/>
      <c r="E53" s="4">
        <v>490</v>
      </c>
      <c r="F53" s="4"/>
      <c r="G53" s="4"/>
      <c r="H53" s="4"/>
      <c r="I53" s="4"/>
    </row>
    <row r="54" spans="1:9">
      <c r="A54" s="4">
        <v>23068</v>
      </c>
      <c r="B54" s="16">
        <v>376</v>
      </c>
      <c r="C54" s="8"/>
      <c r="D54" s="15"/>
      <c r="E54" s="4">
        <v>430</v>
      </c>
      <c r="F54" s="4"/>
      <c r="G54" s="4"/>
      <c r="H54" s="4"/>
      <c r="I54" s="4"/>
    </row>
    <row r="55" spans="3:9">
      <c r="C55" s="8"/>
      <c r="D55" s="15"/>
      <c r="E55" s="4"/>
      <c r="F55" s="4">
        <v>23072</v>
      </c>
      <c r="G55" s="16">
        <v>409</v>
      </c>
      <c r="H55" s="4">
        <v>450</v>
      </c>
      <c r="I55" s="4"/>
    </row>
    <row r="56" spans="3:9">
      <c r="C56" s="8"/>
      <c r="D56" s="15"/>
      <c r="E56" s="4"/>
      <c r="F56" s="4">
        <v>23091</v>
      </c>
      <c r="G56" s="16">
        <v>395</v>
      </c>
      <c r="H56" s="4">
        <v>450</v>
      </c>
      <c r="I56" s="4"/>
    </row>
    <row r="57" spans="1:9">
      <c r="A57" s="4">
        <v>23095</v>
      </c>
      <c r="B57" s="16">
        <v>425</v>
      </c>
      <c r="C57" s="8"/>
      <c r="D57" s="15"/>
      <c r="E57" s="4">
        <v>480</v>
      </c>
      <c r="F57" s="4"/>
      <c r="G57" s="4"/>
      <c r="H57" s="4"/>
      <c r="I57" s="4"/>
    </row>
    <row r="58" spans="1:9">
      <c r="A58" s="4">
        <v>23101</v>
      </c>
      <c r="B58" s="16">
        <v>410</v>
      </c>
      <c r="C58" s="8"/>
      <c r="D58" s="15"/>
      <c r="E58" s="16"/>
      <c r="F58" s="16"/>
      <c r="G58" s="4"/>
      <c r="H58" s="4"/>
      <c r="I58" s="4"/>
    </row>
    <row r="59" spans="1:9">
      <c r="A59" s="4">
        <v>23106</v>
      </c>
      <c r="B59" s="16">
        <v>450</v>
      </c>
      <c r="C59" s="8"/>
      <c r="D59" s="15"/>
      <c r="E59" s="4">
        <v>490</v>
      </c>
      <c r="F59" s="4"/>
      <c r="G59" s="4"/>
      <c r="H59" s="4"/>
      <c r="I59" s="4"/>
    </row>
    <row r="60" spans="3:9">
      <c r="C60" s="8"/>
      <c r="D60" s="15"/>
      <c r="E60" s="4"/>
      <c r="F60" s="4" t="s">
        <v>134</v>
      </c>
      <c r="G60" s="16">
        <v>430</v>
      </c>
      <c r="H60" s="4">
        <v>480</v>
      </c>
      <c r="I60" s="4"/>
    </row>
    <row r="61" spans="3:9">
      <c r="C61" s="8"/>
      <c r="D61" s="15"/>
      <c r="E61" s="4"/>
      <c r="F61" s="4" t="s">
        <v>135</v>
      </c>
      <c r="G61" s="16">
        <v>400</v>
      </c>
      <c r="H61" s="4">
        <v>430</v>
      </c>
      <c r="I61" s="4"/>
    </row>
    <row r="62" spans="3:9">
      <c r="C62" s="8"/>
      <c r="D62" s="15"/>
      <c r="E62" s="4"/>
      <c r="F62" s="4" t="s">
        <v>136</v>
      </c>
      <c r="G62" s="16">
        <v>400</v>
      </c>
      <c r="H62" s="4">
        <v>460</v>
      </c>
      <c r="I62" s="4"/>
    </row>
    <row r="63" spans="1:9">
      <c r="A63" s="4" t="s">
        <v>137</v>
      </c>
      <c r="B63" s="16">
        <v>380</v>
      </c>
      <c r="C63" s="8"/>
      <c r="D63" s="15"/>
      <c r="E63" s="4">
        <v>410</v>
      </c>
      <c r="F63" s="4"/>
      <c r="G63" s="4"/>
      <c r="H63" s="4"/>
      <c r="I63" s="4"/>
    </row>
    <row r="64" spans="3:9">
      <c r="C64" s="8"/>
      <c r="D64" s="15"/>
      <c r="E64" s="4"/>
      <c r="F64" s="4" t="s">
        <v>138</v>
      </c>
      <c r="G64" s="16">
        <v>450</v>
      </c>
      <c r="H64" s="4">
        <v>500</v>
      </c>
      <c r="I64" s="4"/>
    </row>
    <row r="65" spans="1:9">
      <c r="A65" s="4" t="s">
        <v>104</v>
      </c>
      <c r="B65" s="16">
        <f>SUM(B5:B64)</f>
        <v>13952</v>
      </c>
      <c r="C65" s="16">
        <f>SUM(C5:C64)</f>
        <v>0</v>
      </c>
      <c r="D65" s="16">
        <f>SUM(D5:D64)</f>
        <v>0</v>
      </c>
      <c r="E65" s="16">
        <f>SUM(E5:E64)</f>
        <v>15275</v>
      </c>
      <c r="F65" s="16"/>
      <c r="G65" s="16"/>
      <c r="H65" s="16">
        <f>SUM(H5:H64)</f>
        <v>14650</v>
      </c>
      <c r="I65" s="4"/>
    </row>
    <row r="66" spans="1:9">
      <c r="A66" s="4" t="s">
        <v>139</v>
      </c>
      <c r="B66" s="16">
        <v>60</v>
      </c>
      <c r="C66" s="8"/>
      <c r="D66" s="15"/>
      <c r="E66" s="4">
        <v>60</v>
      </c>
      <c r="F66" s="4"/>
      <c r="G66" s="4"/>
      <c r="H66" s="4"/>
      <c r="I66" s="4"/>
    </row>
    <row r="67" spans="1:10">
      <c r="A67" s="4" t="s">
        <v>105</v>
      </c>
      <c r="B67" s="17">
        <f>B65/60</f>
        <v>232.533333333333</v>
      </c>
      <c r="C67" s="17" t="e">
        <f>B67-#REF!</f>
        <v>#REF!</v>
      </c>
      <c r="D67" s="17" t="e">
        <f>C67/D3</f>
        <v>#REF!</v>
      </c>
      <c r="E67" s="4">
        <f>E68/E66</f>
        <v>498.75</v>
      </c>
      <c r="F67" s="4"/>
      <c r="G67" s="15"/>
      <c r="H67" s="15">
        <f>E67-B67</f>
        <v>266.216666666667</v>
      </c>
      <c r="I67" s="15">
        <f>H67/I3</f>
        <v>4.58994252873563</v>
      </c>
      <c r="J67" s="10">
        <f>167/153</f>
        <v>1.09150326797386</v>
      </c>
    </row>
    <row r="68" spans="5:10">
      <c r="E68">
        <f>E65+H65</f>
        <v>29925</v>
      </c>
      <c r="J68" s="18" t="s">
        <v>140</v>
      </c>
    </row>
    <row r="69" spans="1:6">
      <c r="A69" s="11">
        <v>22560</v>
      </c>
      <c r="E69">
        <v>60</v>
      </c>
      <c r="F69">
        <f>E68/E69</f>
        <v>498.75</v>
      </c>
    </row>
    <row r="70" spans="1:1">
      <c r="A70" s="11">
        <v>68</v>
      </c>
    </row>
    <row r="71" spans="1:1">
      <c r="A71" s="11">
        <v>331.764705882353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M31" sqref="M31"/>
    </sheetView>
  </sheetViews>
  <sheetFormatPr defaultColWidth="9" defaultRowHeight="13.5"/>
  <cols>
    <col min="2" max="2" width="7.875" style="1" customWidth="1"/>
    <col min="3" max="3" width="8" customWidth="1"/>
    <col min="4" max="4" width="7.375" customWidth="1"/>
    <col min="5" max="5" width="12.625"/>
    <col min="8" max="8" width="12.625"/>
  </cols>
  <sheetData>
    <row r="1" ht="27" customHeight="1" spans="1:9">
      <c r="A1" s="2" t="s">
        <v>39</v>
      </c>
      <c r="B1" s="3"/>
      <c r="C1" s="2"/>
      <c r="D1" s="2"/>
      <c r="E1" s="2"/>
      <c r="F1" s="2"/>
      <c r="G1" s="2"/>
      <c r="H1" s="2"/>
      <c r="I1" s="2"/>
    </row>
    <row r="2" ht="21.95" customHeight="1" spans="1:9">
      <c r="A2" s="4" t="s">
        <v>41</v>
      </c>
      <c r="B2" s="5">
        <v>45008</v>
      </c>
      <c r="C2" s="6" t="s">
        <v>43</v>
      </c>
      <c r="D2" s="4">
        <v>95</v>
      </c>
      <c r="E2" s="7" t="s">
        <v>133</v>
      </c>
      <c r="F2" s="6"/>
      <c r="G2" s="5">
        <v>45008</v>
      </c>
      <c r="H2" s="7" t="s">
        <v>133</v>
      </c>
      <c r="I2" s="4">
        <v>58</v>
      </c>
    </row>
    <row r="3" spans="1:9">
      <c r="A3" s="4" t="s">
        <v>45</v>
      </c>
      <c r="B3" s="8" t="s">
        <v>47</v>
      </c>
      <c r="C3" s="4" t="s">
        <v>48</v>
      </c>
      <c r="D3" s="4" t="s">
        <v>49</v>
      </c>
      <c r="E3" s="4" t="s">
        <v>47</v>
      </c>
      <c r="F3" s="4"/>
      <c r="G3" s="4"/>
      <c r="H3" s="4" t="s">
        <v>48</v>
      </c>
      <c r="I3" s="4" t="s">
        <v>49</v>
      </c>
    </row>
    <row r="4" spans="1:11">
      <c r="A4" s="8">
        <v>1005</v>
      </c>
      <c r="B4" s="8">
        <v>427</v>
      </c>
      <c r="C4" s="8"/>
      <c r="D4" s="9"/>
      <c r="E4" s="8">
        <v>520</v>
      </c>
      <c r="F4" s="8">
        <v>1001</v>
      </c>
      <c r="G4" s="8">
        <v>550</v>
      </c>
      <c r="H4" s="8">
        <v>590</v>
      </c>
      <c r="I4" s="8"/>
      <c r="J4" s="1"/>
      <c r="K4" s="1"/>
    </row>
    <row r="5" spans="1:11">
      <c r="A5" s="8">
        <v>1008</v>
      </c>
      <c r="B5" s="8">
        <v>440</v>
      </c>
      <c r="C5" s="8"/>
      <c r="D5" s="9"/>
      <c r="E5" s="8">
        <v>500</v>
      </c>
      <c r="F5" s="8">
        <v>1066</v>
      </c>
      <c r="G5" s="8">
        <v>530</v>
      </c>
      <c r="H5" s="8">
        <v>600</v>
      </c>
      <c r="I5" s="8"/>
      <c r="J5" s="1"/>
      <c r="K5" s="1"/>
    </row>
    <row r="6" spans="1:11">
      <c r="A6" s="8">
        <v>1042</v>
      </c>
      <c r="B6" s="8">
        <v>450</v>
      </c>
      <c r="C6" s="8"/>
      <c r="D6" s="9"/>
      <c r="E6" s="8">
        <v>550</v>
      </c>
      <c r="F6" s="8">
        <v>1103</v>
      </c>
      <c r="G6" s="8">
        <v>464</v>
      </c>
      <c r="H6" s="8">
        <v>500</v>
      </c>
      <c r="I6" s="8"/>
      <c r="J6" s="1"/>
      <c r="K6" s="1"/>
    </row>
    <row r="7" spans="1:11">
      <c r="A7" s="8">
        <v>1068</v>
      </c>
      <c r="B7" s="8">
        <v>480</v>
      </c>
      <c r="C7" s="8"/>
      <c r="D7" s="9"/>
      <c r="E7" s="8">
        <v>560</v>
      </c>
      <c r="F7" s="8">
        <v>1116</v>
      </c>
      <c r="G7" s="8">
        <v>460</v>
      </c>
      <c r="H7" s="8">
        <v>520</v>
      </c>
      <c r="I7" s="8"/>
      <c r="J7" s="1"/>
      <c r="K7" s="1"/>
    </row>
    <row r="8" spans="1:11">
      <c r="A8" s="8">
        <v>1070</v>
      </c>
      <c r="B8" s="8">
        <v>449</v>
      </c>
      <c r="C8" s="8"/>
      <c r="D8" s="9"/>
      <c r="E8" s="8">
        <v>510</v>
      </c>
      <c r="F8" s="8">
        <v>1122</v>
      </c>
      <c r="G8" s="8">
        <v>450</v>
      </c>
      <c r="H8" s="8">
        <v>530</v>
      </c>
      <c r="I8" s="8"/>
      <c r="J8" s="1"/>
      <c r="K8" s="1"/>
    </row>
    <row r="9" spans="1:11">
      <c r="A9" s="8">
        <v>1087</v>
      </c>
      <c r="B9" s="8">
        <v>528</v>
      </c>
      <c r="C9" s="8"/>
      <c r="D9" s="9"/>
      <c r="E9" s="8">
        <v>570</v>
      </c>
      <c r="F9" s="8">
        <v>1124</v>
      </c>
      <c r="G9" s="8">
        <v>530</v>
      </c>
      <c r="H9" s="8">
        <v>590</v>
      </c>
      <c r="I9" s="8"/>
      <c r="J9" s="1"/>
      <c r="K9" s="1"/>
    </row>
    <row r="10" spans="1:11">
      <c r="A10" s="8">
        <v>1107</v>
      </c>
      <c r="B10" s="8">
        <v>510</v>
      </c>
      <c r="C10" s="8"/>
      <c r="D10" s="9"/>
      <c r="E10" s="8">
        <v>570</v>
      </c>
      <c r="F10" s="8">
        <v>1135</v>
      </c>
      <c r="G10" s="8">
        <v>460</v>
      </c>
      <c r="H10" s="8">
        <v>490</v>
      </c>
      <c r="I10" s="8"/>
      <c r="J10" s="1"/>
      <c r="K10" s="1"/>
    </row>
    <row r="11" spans="1:11">
      <c r="A11" s="8">
        <v>1139</v>
      </c>
      <c r="B11" s="8">
        <v>460</v>
      </c>
      <c r="C11" s="8"/>
      <c r="D11" s="9"/>
      <c r="E11" s="8">
        <v>460</v>
      </c>
      <c r="F11" s="8">
        <v>1150</v>
      </c>
      <c r="G11" s="8">
        <v>415</v>
      </c>
      <c r="H11" s="8">
        <v>480</v>
      </c>
      <c r="I11" s="8"/>
      <c r="J11" s="1"/>
      <c r="K11" s="1"/>
    </row>
    <row r="12" spans="1:11">
      <c r="A12" s="8">
        <v>1166</v>
      </c>
      <c r="B12" s="8">
        <v>470</v>
      </c>
      <c r="C12" s="8"/>
      <c r="D12" s="9"/>
      <c r="E12" s="8">
        <v>570</v>
      </c>
      <c r="F12" s="8">
        <v>1175</v>
      </c>
      <c r="G12" s="8">
        <v>520</v>
      </c>
      <c r="H12" s="8">
        <v>580</v>
      </c>
      <c r="I12" s="8"/>
      <c r="J12" s="1"/>
      <c r="K12" s="1"/>
    </row>
    <row r="13" spans="1:11">
      <c r="A13" s="8">
        <v>1177</v>
      </c>
      <c r="B13" s="8">
        <v>420</v>
      </c>
      <c r="C13" s="8"/>
      <c r="D13" s="9"/>
      <c r="E13" s="8">
        <v>470</v>
      </c>
      <c r="F13" s="8">
        <v>1192</v>
      </c>
      <c r="G13" s="8">
        <v>444</v>
      </c>
      <c r="H13" s="8">
        <v>480</v>
      </c>
      <c r="I13" s="8"/>
      <c r="J13" s="1"/>
      <c r="K13" s="1"/>
    </row>
    <row r="14" spans="1:11">
      <c r="A14" s="8">
        <v>1186</v>
      </c>
      <c r="B14" s="8">
        <v>426</v>
      </c>
      <c r="C14" s="8"/>
      <c r="D14" s="9"/>
      <c r="E14" s="8">
        <v>510</v>
      </c>
      <c r="F14" s="8">
        <v>1209</v>
      </c>
      <c r="G14" s="8">
        <v>330</v>
      </c>
      <c r="H14" s="8">
        <v>360</v>
      </c>
      <c r="I14" s="8"/>
      <c r="J14" s="1"/>
      <c r="K14" s="1"/>
    </row>
    <row r="15" spans="1:11">
      <c r="A15" s="8">
        <v>1201</v>
      </c>
      <c r="B15" s="8">
        <v>417</v>
      </c>
      <c r="C15" s="8"/>
      <c r="D15" s="9"/>
      <c r="E15" s="8">
        <v>470</v>
      </c>
      <c r="F15" s="8">
        <v>1212</v>
      </c>
      <c r="G15" s="8">
        <v>386</v>
      </c>
      <c r="H15" s="8">
        <v>440</v>
      </c>
      <c r="I15" s="8"/>
      <c r="J15" s="1"/>
      <c r="K15" s="1"/>
    </row>
    <row r="16" spans="1:11">
      <c r="A16" s="8">
        <v>1220</v>
      </c>
      <c r="B16" s="8">
        <v>346</v>
      </c>
      <c r="C16" s="8"/>
      <c r="D16" s="9"/>
      <c r="E16" s="8">
        <v>430</v>
      </c>
      <c r="F16" s="8">
        <v>1217</v>
      </c>
      <c r="G16" s="8">
        <v>470</v>
      </c>
      <c r="H16" s="8">
        <v>530</v>
      </c>
      <c r="I16" s="8"/>
      <c r="J16" s="1"/>
      <c r="K16" s="1"/>
    </row>
    <row r="17" spans="1:11">
      <c r="A17" s="8">
        <v>1225</v>
      </c>
      <c r="B17" s="8">
        <v>430</v>
      </c>
      <c r="C17" s="8"/>
      <c r="D17" s="9"/>
      <c r="E17" s="8">
        <v>480</v>
      </c>
      <c r="F17" s="8">
        <v>21363</v>
      </c>
      <c r="G17" s="8">
        <v>385</v>
      </c>
      <c r="H17" s="8">
        <v>410</v>
      </c>
      <c r="I17" s="8"/>
      <c r="J17" s="1"/>
      <c r="K17" s="1"/>
    </row>
    <row r="18" spans="1:11">
      <c r="A18" s="8">
        <v>1231</v>
      </c>
      <c r="B18" s="8">
        <v>490</v>
      </c>
      <c r="C18" s="8"/>
      <c r="D18" s="9"/>
      <c r="E18" s="8">
        <v>550</v>
      </c>
      <c r="F18" s="8">
        <v>21512</v>
      </c>
      <c r="G18" s="8">
        <v>480</v>
      </c>
      <c r="H18" s="8">
        <v>570</v>
      </c>
      <c r="I18" s="8"/>
      <c r="J18" s="1"/>
      <c r="K18" s="1"/>
    </row>
    <row r="19" spans="1:11">
      <c r="A19" s="8">
        <v>1242</v>
      </c>
      <c r="B19" s="8">
        <v>405</v>
      </c>
      <c r="C19" s="8"/>
      <c r="D19" s="9"/>
      <c r="E19" s="8">
        <v>480</v>
      </c>
      <c r="F19" s="8">
        <v>21619</v>
      </c>
      <c r="G19" s="8">
        <v>313</v>
      </c>
      <c r="H19" s="8">
        <v>370</v>
      </c>
      <c r="I19" s="8"/>
      <c r="J19" s="1"/>
      <c r="K19" s="1"/>
    </row>
    <row r="20" spans="1:11">
      <c r="A20" s="8">
        <v>3244</v>
      </c>
      <c r="B20" s="8">
        <v>420</v>
      </c>
      <c r="C20" s="8"/>
      <c r="D20" s="9"/>
      <c r="E20" s="8">
        <v>490</v>
      </c>
      <c r="F20" s="8">
        <v>21659</v>
      </c>
      <c r="G20" s="8">
        <v>470</v>
      </c>
      <c r="H20" s="8">
        <v>500</v>
      </c>
      <c r="I20" s="8"/>
      <c r="J20" s="1"/>
      <c r="K20" s="1"/>
    </row>
    <row r="21" spans="1:11">
      <c r="A21" s="8">
        <v>21383</v>
      </c>
      <c r="B21" s="8">
        <v>583</v>
      </c>
      <c r="C21" s="8"/>
      <c r="D21" s="9"/>
      <c r="E21" s="8">
        <v>655</v>
      </c>
      <c r="F21" s="8">
        <v>21666</v>
      </c>
      <c r="G21" s="8">
        <v>580</v>
      </c>
      <c r="H21" s="8">
        <v>600</v>
      </c>
      <c r="I21" s="8"/>
      <c r="J21" s="1"/>
      <c r="K21" s="1"/>
    </row>
    <row r="22" spans="1:11">
      <c r="A22" s="8">
        <v>21429</v>
      </c>
      <c r="B22" s="8">
        <v>517</v>
      </c>
      <c r="C22" s="8"/>
      <c r="D22" s="9"/>
      <c r="E22" s="8">
        <v>550</v>
      </c>
      <c r="F22" s="8">
        <v>21667</v>
      </c>
      <c r="G22" s="8">
        <v>488</v>
      </c>
      <c r="H22" s="8">
        <v>576</v>
      </c>
      <c r="I22" s="8"/>
      <c r="J22" s="1"/>
      <c r="K22" s="1"/>
    </row>
    <row r="23" spans="1:11">
      <c r="A23" s="8">
        <v>21587</v>
      </c>
      <c r="B23" s="8">
        <v>540</v>
      </c>
      <c r="C23" s="8"/>
      <c r="D23" s="9"/>
      <c r="E23" s="8">
        <v>580</v>
      </c>
      <c r="F23" s="8">
        <v>21678</v>
      </c>
      <c r="G23" s="8">
        <v>530</v>
      </c>
      <c r="H23" s="8">
        <v>570</v>
      </c>
      <c r="I23" s="8"/>
      <c r="J23" s="1"/>
      <c r="K23" s="1"/>
    </row>
    <row r="24" spans="1:11">
      <c r="A24" s="8">
        <v>21609</v>
      </c>
      <c r="B24" s="8">
        <v>436</v>
      </c>
      <c r="C24" s="8"/>
      <c r="D24" s="9"/>
      <c r="E24" s="8">
        <v>480</v>
      </c>
      <c r="F24" s="8">
        <v>23007</v>
      </c>
      <c r="G24" s="8">
        <v>403</v>
      </c>
      <c r="H24" s="8">
        <v>470</v>
      </c>
      <c r="I24" s="8"/>
      <c r="J24" s="1"/>
      <c r="K24" s="1"/>
    </row>
    <row r="25" spans="1:11">
      <c r="A25" s="8">
        <v>21628</v>
      </c>
      <c r="B25" s="8">
        <v>620</v>
      </c>
      <c r="C25" s="8"/>
      <c r="D25" s="9"/>
      <c r="E25" s="8">
        <v>700</v>
      </c>
      <c r="F25" s="8">
        <v>23014</v>
      </c>
      <c r="G25" s="8">
        <v>431</v>
      </c>
      <c r="H25" s="8">
        <v>490</v>
      </c>
      <c r="I25" s="8"/>
      <c r="J25" s="1"/>
      <c r="K25" s="1"/>
    </row>
    <row r="26" spans="1:11">
      <c r="A26" s="8">
        <v>23028</v>
      </c>
      <c r="B26" s="8">
        <v>380</v>
      </c>
      <c r="C26" s="8"/>
      <c r="D26" s="9"/>
      <c r="E26" s="8">
        <v>440</v>
      </c>
      <c r="F26" s="8">
        <v>23018</v>
      </c>
      <c r="G26" s="8">
        <v>473</v>
      </c>
      <c r="H26" s="8">
        <v>530</v>
      </c>
      <c r="I26" s="8"/>
      <c r="J26" s="1"/>
      <c r="K26" s="1"/>
    </row>
    <row r="27" spans="1:11">
      <c r="A27" s="8">
        <v>23062</v>
      </c>
      <c r="B27" s="8">
        <v>427</v>
      </c>
      <c r="C27" s="8"/>
      <c r="D27" s="9"/>
      <c r="E27" s="8">
        <v>480</v>
      </c>
      <c r="F27" s="8">
        <v>23025</v>
      </c>
      <c r="G27" s="8">
        <v>430</v>
      </c>
      <c r="H27" s="8">
        <v>490</v>
      </c>
      <c r="I27" s="8"/>
      <c r="J27" s="1"/>
      <c r="K27" s="1"/>
    </row>
    <row r="28" spans="1:11">
      <c r="A28" s="8">
        <v>23063</v>
      </c>
      <c r="B28" s="8">
        <v>410</v>
      </c>
      <c r="C28" s="8"/>
      <c r="D28" s="9"/>
      <c r="E28" s="8">
        <v>490</v>
      </c>
      <c r="F28" s="8">
        <v>23072</v>
      </c>
      <c r="G28" s="8">
        <v>409</v>
      </c>
      <c r="H28" s="8">
        <v>450</v>
      </c>
      <c r="I28" s="8"/>
      <c r="J28" s="1"/>
      <c r="K28" s="1"/>
    </row>
    <row r="29" spans="1:11">
      <c r="A29" s="8">
        <v>23068</v>
      </c>
      <c r="B29" s="8">
        <v>376</v>
      </c>
      <c r="C29" s="8"/>
      <c r="D29" s="9"/>
      <c r="E29" s="8">
        <v>430</v>
      </c>
      <c r="F29" s="8">
        <v>23091</v>
      </c>
      <c r="G29" s="8">
        <v>395</v>
      </c>
      <c r="H29" s="8">
        <v>450</v>
      </c>
      <c r="I29" s="8"/>
      <c r="J29" s="1"/>
      <c r="K29" s="1"/>
    </row>
    <row r="30" spans="1:11">
      <c r="A30" s="8">
        <v>23095</v>
      </c>
      <c r="B30" s="8">
        <v>425</v>
      </c>
      <c r="C30" s="8"/>
      <c r="D30" s="9"/>
      <c r="E30" s="8">
        <v>480</v>
      </c>
      <c r="F30" s="8">
        <v>23101</v>
      </c>
      <c r="G30" s="8">
        <v>410</v>
      </c>
      <c r="H30" s="8">
        <v>460</v>
      </c>
      <c r="I30" s="8"/>
      <c r="J30" s="1"/>
      <c r="K30" s="1"/>
    </row>
    <row r="31" spans="1:11">
      <c r="A31" s="8">
        <v>23106</v>
      </c>
      <c r="B31" s="8">
        <v>450</v>
      </c>
      <c r="C31" s="8"/>
      <c r="D31" s="9"/>
      <c r="E31" s="8">
        <v>490</v>
      </c>
      <c r="F31" s="8" t="s">
        <v>134</v>
      </c>
      <c r="G31" s="8">
        <v>430</v>
      </c>
      <c r="H31" s="8">
        <v>480</v>
      </c>
      <c r="I31" s="8"/>
      <c r="J31" s="1"/>
      <c r="K31" s="1"/>
    </row>
    <row r="32" spans="1:11">
      <c r="A32" s="8">
        <v>21557</v>
      </c>
      <c r="B32" s="8">
        <v>400</v>
      </c>
      <c r="C32" s="8"/>
      <c r="D32" s="9"/>
      <c r="E32" s="8">
        <v>460</v>
      </c>
      <c r="F32" s="8">
        <v>23608</v>
      </c>
      <c r="G32" s="8">
        <v>400</v>
      </c>
      <c r="H32" s="8">
        <v>430</v>
      </c>
      <c r="I32" s="8"/>
      <c r="J32" s="1"/>
      <c r="K32" s="1"/>
    </row>
    <row r="33" spans="1:11">
      <c r="A33" s="8">
        <v>1110</v>
      </c>
      <c r="B33" s="8">
        <v>380</v>
      </c>
      <c r="C33" s="8"/>
      <c r="D33" s="9"/>
      <c r="E33" s="8">
        <v>410</v>
      </c>
      <c r="F33" s="8">
        <v>21391</v>
      </c>
      <c r="G33" s="8">
        <v>450</v>
      </c>
      <c r="H33" s="8">
        <v>500</v>
      </c>
      <c r="I33" s="8"/>
      <c r="J33" s="1"/>
      <c r="K33" s="1"/>
    </row>
    <row r="34" spans="1:11">
      <c r="A34" s="8" t="s">
        <v>104</v>
      </c>
      <c r="B34" s="8">
        <f>SUM(B4:B33)</f>
        <v>13512</v>
      </c>
      <c r="C34" s="8">
        <f>SUM(C4:C33)</f>
        <v>0</v>
      </c>
      <c r="D34" s="8">
        <f>SUM(D4:D33)</f>
        <v>0</v>
      </c>
      <c r="E34" s="8">
        <f>SUM(E4:E33)</f>
        <v>15335</v>
      </c>
      <c r="F34" s="8"/>
      <c r="G34" s="8">
        <f>SUM(G4:G33)</f>
        <v>13486</v>
      </c>
      <c r="H34" s="8">
        <f>SUM(H4:H33)</f>
        <v>15036</v>
      </c>
      <c r="I34" s="8"/>
      <c r="J34" s="1"/>
      <c r="K34" s="1"/>
    </row>
    <row r="35" spans="1:11">
      <c r="A35" s="8" t="s">
        <v>139</v>
      </c>
      <c r="B35" s="8">
        <v>30</v>
      </c>
      <c r="C35" s="8"/>
      <c r="D35" s="9"/>
      <c r="E35" s="8">
        <v>30</v>
      </c>
      <c r="F35" s="8"/>
      <c r="G35" s="8">
        <v>30</v>
      </c>
      <c r="H35" s="8">
        <v>30</v>
      </c>
      <c r="I35" s="8"/>
      <c r="J35" s="1"/>
      <c r="K35" s="1"/>
    </row>
    <row r="36" spans="1:11">
      <c r="A36" s="8" t="s">
        <v>105</v>
      </c>
      <c r="B36" s="9">
        <f>B34/B35</f>
        <v>450.4</v>
      </c>
      <c r="C36" s="9"/>
      <c r="D36" s="9"/>
      <c r="E36" s="9">
        <f>E34/E35</f>
        <v>511.166666666667</v>
      </c>
      <c r="F36" s="9"/>
      <c r="G36" s="9">
        <f>G34/G35</f>
        <v>449.533333333333</v>
      </c>
      <c r="H36" s="9">
        <f>H34/H35</f>
        <v>501.2</v>
      </c>
      <c r="I36" s="9"/>
      <c r="J36" s="11"/>
      <c r="K36" s="1"/>
    </row>
    <row r="37" spans="4:11">
      <c r="D37">
        <v>58</v>
      </c>
      <c r="E37" s="10">
        <f>E36-B36</f>
        <v>60.7666666666667</v>
      </c>
      <c r="F37" s="1"/>
      <c r="G37" s="1">
        <v>58</v>
      </c>
      <c r="H37" s="11">
        <f>H36-G36</f>
        <v>51.6666666666666</v>
      </c>
      <c r="I37" s="1"/>
      <c r="J37" s="12"/>
      <c r="K37" s="1"/>
    </row>
    <row r="38" spans="1:11">
      <c r="A38">
        <v>68</v>
      </c>
      <c r="B38" s="1">
        <v>22560</v>
      </c>
      <c r="E38" s="10">
        <f>E37/D37</f>
        <v>1.04770114942529</v>
      </c>
      <c r="F38" s="1"/>
      <c r="G38" s="1"/>
      <c r="H38" s="11">
        <f>H37/G37</f>
        <v>0.890804597701149</v>
      </c>
      <c r="I38" s="1"/>
      <c r="J38" s="1"/>
      <c r="K38" s="1"/>
    </row>
    <row r="39" spans="2:2">
      <c r="B39" s="11">
        <f>B38/A38</f>
        <v>331.764705882353</v>
      </c>
    </row>
    <row r="40" spans="2:2">
      <c r="B40" s="1">
        <f>B34+G34</f>
        <v>26998</v>
      </c>
    </row>
    <row r="41" spans="2:3">
      <c r="B41" s="1">
        <f>E34+H34</f>
        <v>30371</v>
      </c>
      <c r="C41" s="10">
        <f>B41/60</f>
        <v>506.183333333333</v>
      </c>
    </row>
    <row r="42" spans="1:3">
      <c r="A42">
        <v>152</v>
      </c>
      <c r="B42" s="1">
        <f>B41-B40</f>
        <v>3373</v>
      </c>
      <c r="C42" s="10">
        <f>C41-B39</f>
        <v>174.41862745098</v>
      </c>
    </row>
    <row r="43" spans="1:3">
      <c r="A43">
        <v>58</v>
      </c>
      <c r="B43" s="11">
        <f>B42/60</f>
        <v>56.2166666666667</v>
      </c>
      <c r="C43" s="10">
        <f>C42/A42</f>
        <v>1.14749097007224</v>
      </c>
    </row>
    <row r="44" spans="2:2">
      <c r="B44" s="11">
        <f>B43/A43</f>
        <v>0.969252873563218</v>
      </c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西杂</vt:lpstr>
      <vt:lpstr>安格斯</vt:lpstr>
      <vt:lpstr>三景</vt:lpstr>
      <vt:lpstr>三景 (2)</vt:lpstr>
      <vt:lpstr>三景 (3)试验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个人用户</dc:creator>
  <cp:lastModifiedBy>Administrator</cp:lastModifiedBy>
  <dcterms:created xsi:type="dcterms:W3CDTF">2022-06-25T01:07:00Z</dcterms:created>
  <cp:lastPrinted>2022-10-14T01:29:00Z</cp:lastPrinted>
  <dcterms:modified xsi:type="dcterms:W3CDTF">2023-07-21T10:11:51Z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411EF9EF3874465EBD04B68DB7D07D10</vt:lpwstr>
  </property>
  <property fmtid="{D5CDD505-2E9C-101B-9397-08002B2CF9AE}" pid="3" name="KSOProductBuildVer">
    <vt:lpwstr>2052-11.1.0.14309</vt:lpwstr>
  </property>
</Properties>
</file>